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96" yWindow="-96" windowWidth="23232" windowHeight="13872" tabRatio="817" firstSheet="6" activeTab="11" autoFilterDateGrouping="1"/>
  </bookViews>
  <sheets>
    <sheet xmlns:r="http://schemas.openxmlformats.org/officeDocument/2006/relationships" name="Home" sheetId="1" state="visible" r:id="rId1"/>
    <sheet xmlns:r="http://schemas.openxmlformats.org/officeDocument/2006/relationships" name="Types" sheetId="2" state="visible" r:id="rId2"/>
    <sheet xmlns:r="http://schemas.openxmlformats.org/officeDocument/2006/relationships" name="OptionalElements" sheetId="3" state="visible" r:id="rId3"/>
    <sheet xmlns:r="http://schemas.openxmlformats.org/officeDocument/2006/relationships" name="Interface" sheetId="4" state="visible" r:id="rId4"/>
    <sheet xmlns:r="http://schemas.openxmlformats.org/officeDocument/2006/relationships" name="Interface_Element" sheetId="5" state="visible" r:id="rId5"/>
    <sheet xmlns:r="http://schemas.openxmlformats.org/officeDocument/2006/relationships" name="CUTemplate" sheetId="6" state="visible" r:id="rId6"/>
    <sheet xmlns:r="http://schemas.openxmlformats.org/officeDocument/2006/relationships" name="Joining System Base" sheetId="7" state="visible" r:id="rId7"/>
    <sheet xmlns:r="http://schemas.openxmlformats.org/officeDocument/2006/relationships" name="Joining System Identification" sheetId="8" state="visible" r:id="rId8"/>
    <sheet xmlns:r="http://schemas.openxmlformats.org/officeDocument/2006/relationships" name="Joining System MBB" sheetId="9" state="visible" r:id="rId9"/>
    <sheet xmlns:r="http://schemas.openxmlformats.org/officeDocument/2006/relationships" name="Asset Management" sheetId="10" state="visible" r:id="rId10"/>
    <sheet xmlns:r="http://schemas.openxmlformats.org/officeDocument/2006/relationships" name="Result Management" sheetId="11" state="visible" r:id="rId11"/>
    <sheet xmlns:r="http://schemas.openxmlformats.org/officeDocument/2006/relationships" name="Single Result" sheetId="12" state="visible" r:id="rId12"/>
    <sheet xmlns:r="http://schemas.openxmlformats.org/officeDocument/2006/relationships" name="Basic Result" sheetId="13" state="visible" r:id="rId13"/>
    <sheet xmlns:r="http://schemas.openxmlformats.org/officeDocument/2006/relationships" name="Result Additional Data" sheetId="14" state="visible" r:id="rId14"/>
    <sheet xmlns:r="http://schemas.openxmlformats.org/officeDocument/2006/relationships" name="Result Extended Meta Data" sheetId="15" state="visible" r:id="rId15"/>
    <sheet xmlns:r="http://schemas.openxmlformats.org/officeDocument/2006/relationships" name="Result Processing Times" sheetId="16" state="visible" r:id="rId16"/>
    <sheet xmlns:r="http://schemas.openxmlformats.org/officeDocument/2006/relationships" name="Result Proc Times Durations" sheetId="17" state="visible" r:id="rId17"/>
    <sheet xmlns:r="http://schemas.openxmlformats.org/officeDocument/2006/relationships" name="Result Event Access" sheetId="18" state="visible" r:id="rId18"/>
    <sheet xmlns:r="http://schemas.openxmlformats.org/officeDocument/2006/relationships" name="Get Latest Result" sheetId="19" state="visible" r:id="rId19"/>
    <sheet xmlns:r="http://schemas.openxmlformats.org/officeDocument/2006/relationships" name="Get Result by Id" sheetId="20" state="visible" r:id="rId20"/>
    <sheet xmlns:r="http://schemas.openxmlformats.org/officeDocument/2006/relationships" name="Get Result with Filter Criteria" sheetId="21" state="visible" r:id="rId21"/>
    <sheet xmlns:r="http://schemas.openxmlformats.org/officeDocument/2006/relationships" name="Result Variable Access" sheetId="22" state="visible" r:id="rId22"/>
    <sheet xmlns:r="http://schemas.openxmlformats.org/officeDocument/2006/relationships" name="Result Internal Identifiers" sheetId="23" state="visible" r:id="rId23"/>
    <sheet xmlns:r="http://schemas.openxmlformats.org/officeDocument/2006/relationships" name="Result External Identifiers" sheetId="24" state="visible" r:id="rId24"/>
    <sheet xmlns:r="http://schemas.openxmlformats.org/officeDocument/2006/relationships" name="Joining Result Failure Reason" sheetId="25" state="visible" r:id="rId25"/>
    <sheet xmlns:r="http://schemas.openxmlformats.org/officeDocument/2006/relationships" name="J Result Overall Result Values" sheetId="26" state="visible" r:id="rId26"/>
    <sheet xmlns:r="http://schemas.openxmlformats.org/officeDocument/2006/relationships" name="Joining Result Step Results" sheetId="27" state="visible" r:id="rId27"/>
    <sheet xmlns:r="http://schemas.openxmlformats.org/officeDocument/2006/relationships" name="Joining Result Errors" sheetId="28" state="visible" r:id="rId28"/>
    <sheet xmlns:r="http://schemas.openxmlformats.org/officeDocument/2006/relationships" name="Joining Result Trace" sheetId="29" state="visible" r:id="rId29"/>
    <sheet xmlns:r="http://schemas.openxmlformats.org/officeDocument/2006/relationships" name="R Value Trace Point Time Offset" sheetId="30" state="visible" r:id="rId30"/>
    <sheet xmlns:r="http://schemas.openxmlformats.org/officeDocument/2006/relationships" name="Result Value Trace Point Index" sheetId="31" state="visible" r:id="rId31"/>
    <sheet xmlns:r="http://schemas.openxmlformats.org/officeDocument/2006/relationships" name="Sync Result" sheetId="32" state="visible" r:id="rId32"/>
    <sheet xmlns:r="http://schemas.openxmlformats.org/officeDocument/2006/relationships" name="Sync Result Counters" sheetId="33" state="visible" r:id="rId33"/>
    <sheet xmlns:r="http://schemas.openxmlformats.org/officeDocument/2006/relationships" name="Batch Result" sheetId="34" state="visible" r:id="rId34"/>
    <sheet xmlns:r="http://schemas.openxmlformats.org/officeDocument/2006/relationships" name="Intervention Result" sheetId="35" state="visible" r:id="rId35"/>
    <sheet xmlns:r="http://schemas.openxmlformats.org/officeDocument/2006/relationships" name="Batch Result Counters" sheetId="36" state="visible" r:id="rId36"/>
    <sheet xmlns:r="http://schemas.openxmlformats.org/officeDocument/2006/relationships" name="Job Result" sheetId="37" state="visible" r:id="rId37"/>
    <sheet xmlns:r="http://schemas.openxmlformats.org/officeDocument/2006/relationships" name="Result Value FINAL Tag" sheetId="38" state="visible" r:id="rId38"/>
    <sheet xmlns:r="http://schemas.openxmlformats.org/officeDocument/2006/relationships" name="S Contained Consolidated Result" sheetId="39" state="visible" r:id="rId39"/>
    <sheet xmlns:r="http://schemas.openxmlformats.org/officeDocument/2006/relationships" name="C Result with references" sheetId="40" state="visible" r:id="rId40"/>
    <sheet xmlns:r="http://schemas.openxmlformats.org/officeDocument/2006/relationships" name="Partial Consolidated Result" sheetId="41" state="visible" r:id="rId41"/>
    <sheet xmlns:r="http://schemas.openxmlformats.org/officeDocument/2006/relationships" name="Result Content" sheetId="42" state="visible" r:id="rId42"/>
    <sheet xmlns:r="http://schemas.openxmlformats.org/officeDocument/2006/relationships" name="Request Results" sheetId="43" state="visible" r:id="rId43"/>
    <sheet xmlns:r="http://schemas.openxmlformats.org/officeDocument/2006/relationships" name="R Result Variable Access" sheetId="44" state="visible" r:id="rId44"/>
    <sheet xmlns:r="http://schemas.openxmlformats.org/officeDocument/2006/relationships" name="Requested Result Event Access" sheetId="45" state="visible" r:id="rId45"/>
    <sheet xmlns:r="http://schemas.openxmlformats.org/officeDocument/2006/relationships" name="Acknowledge Results" sheetId="46" state="visible" r:id="rId46"/>
    <sheet xmlns:r="http://schemas.openxmlformats.org/officeDocument/2006/relationships" name="Request Unacknowledged Results" sheetId="47" state="visible" r:id="rId47"/>
    <sheet xmlns:r="http://schemas.openxmlformats.org/officeDocument/2006/relationships" name="Asset Management Controller" sheetId="48" state="visible" r:id="rId48"/>
    <sheet xmlns:r="http://schemas.openxmlformats.org/officeDocument/2006/relationships" name="Asset Management Tool" sheetId="49" state="visible" r:id="rId49"/>
    <sheet xmlns:r="http://schemas.openxmlformats.org/officeDocument/2006/relationships" name="Asset Management Servo" sheetId="50" state="visible" r:id="rId50"/>
    <sheet xmlns:r="http://schemas.openxmlformats.org/officeDocument/2006/relationships" name="Asset Management Memory Device" sheetId="51" state="visible" r:id="rId51"/>
    <sheet xmlns:r="http://schemas.openxmlformats.org/officeDocument/2006/relationships" name="Asset Management Cable" sheetId="52" state="visible" r:id="rId52"/>
    <sheet xmlns:r="http://schemas.openxmlformats.org/officeDocument/2006/relationships" name="Asset Management Power Supply" sheetId="53" state="visible" r:id="rId53"/>
    <sheet xmlns:r="http://schemas.openxmlformats.org/officeDocument/2006/relationships" name="Asset Management Feeder" sheetId="54" state="visible" r:id="rId54"/>
    <sheet xmlns:r="http://schemas.openxmlformats.org/officeDocument/2006/relationships" name="Asset Management Battery" sheetId="55" state="visible" r:id="rId55"/>
    <sheet xmlns:r="http://schemas.openxmlformats.org/officeDocument/2006/relationships" name="Asset Management Sensor" sheetId="56" state="visible" r:id="rId56"/>
    <sheet xmlns:r="http://schemas.openxmlformats.org/officeDocument/2006/relationships" name="Asset Management Accessory" sheetId="57" state="visible" r:id="rId57"/>
    <sheet xmlns:r="http://schemas.openxmlformats.org/officeDocument/2006/relationships" name="Asset Management Software" sheetId="58" state="visible" r:id="rId58"/>
    <sheet xmlns:r="http://schemas.openxmlformats.org/officeDocument/2006/relationships" name="Asset Management SubComponent" sheetId="59" state="visible" r:id="rId59"/>
    <sheet xmlns:r="http://schemas.openxmlformats.org/officeDocument/2006/relationships" name="A Management Virtual Station" sheetId="60" state="visible" r:id="rId60"/>
    <sheet xmlns:r="http://schemas.openxmlformats.org/officeDocument/2006/relationships" name="A Management Operation Counters" sheetId="61" state="visible" r:id="rId61"/>
    <sheet xmlns:r="http://schemas.openxmlformats.org/officeDocument/2006/relationships" name="A M T Operation Cycle Counter" sheetId="62" state="visible" r:id="rId62"/>
    <sheet xmlns:r="http://schemas.openxmlformats.org/officeDocument/2006/relationships" name="A M B Operation Cycle Counter" sheetId="63" state="visible" r:id="rId63"/>
    <sheet xmlns:r="http://schemas.openxmlformats.org/officeDocument/2006/relationships" name="Asset Management Health" sheetId="64" state="visible" r:id="rId64"/>
    <sheet xmlns:r="http://schemas.openxmlformats.org/officeDocument/2006/relationships" name="A Management Monitoring Health" sheetId="65" state="visible" r:id="rId65"/>
    <sheet xmlns:r="http://schemas.openxmlformats.org/officeDocument/2006/relationships" name="Asset Management Service" sheetId="66" state="visible" r:id="rId66"/>
    <sheet xmlns:r="http://schemas.openxmlformats.org/officeDocument/2006/relationships" name="Asset Management Calibration" sheetId="67" state="visible" r:id="rId67"/>
    <sheet xmlns:r="http://schemas.openxmlformats.org/officeDocument/2006/relationships" name="A M Additional Information" sheetId="68" state="visible" r:id="rId68"/>
    <sheet xmlns:r="http://schemas.openxmlformats.org/officeDocument/2006/relationships" name="A M Machinery Building Blocks" sheetId="69" state="visible" r:id="rId69"/>
    <sheet xmlns:r="http://schemas.openxmlformats.org/officeDocument/2006/relationships" name="Method Input Argument" sheetId="70" state="visible" r:id="rId70"/>
    <sheet xmlns:r="http://schemas.openxmlformats.org/officeDocument/2006/relationships" name="Disconnect Asset" sheetId="71" state="visible" r:id="rId71"/>
    <sheet xmlns:r="http://schemas.openxmlformats.org/officeDocument/2006/relationships" name="Enable Tool" sheetId="72" state="visible" r:id="rId72"/>
    <sheet xmlns:r="http://schemas.openxmlformats.org/officeDocument/2006/relationships" name="Send Identifiers Methods" sheetId="73" state="visible" r:id="rId73"/>
    <sheet xmlns:r="http://schemas.openxmlformats.org/officeDocument/2006/relationships" name="Get Identifiers Method" sheetId="74" state="visible" r:id="rId74"/>
    <sheet xmlns:r="http://schemas.openxmlformats.org/officeDocument/2006/relationships" name="Reset Identifiers Method" sheetId="75" state="visible" r:id="rId75"/>
    <sheet xmlns:r="http://schemas.openxmlformats.org/officeDocument/2006/relationships" name="Set Calibration" sheetId="76" state="visible" r:id="rId76"/>
    <sheet xmlns:r="http://schemas.openxmlformats.org/officeDocument/2006/relationships" name="Reboot Asset" sheetId="77" state="visible" r:id="rId77"/>
    <sheet xmlns:r="http://schemas.openxmlformats.org/officeDocument/2006/relationships" name="Feedback Methods" sheetId="78" state="visible" r:id="rId78"/>
    <sheet xmlns:r="http://schemas.openxmlformats.org/officeDocument/2006/relationships" name="Set Time" sheetId="79" state="visible" r:id="rId79"/>
    <sheet xmlns:r="http://schemas.openxmlformats.org/officeDocument/2006/relationships" name="Set Offline Timer" sheetId="80" state="visible" r:id="rId80"/>
    <sheet xmlns:r="http://schemas.openxmlformats.org/officeDocument/2006/relationships" name="IO Signals Methods" sheetId="81" state="visible" r:id="rId81"/>
    <sheet xmlns:r="http://schemas.openxmlformats.org/officeDocument/2006/relationships" name="Get Error Information" sheetId="82" state="visible" r:id="rId82"/>
    <sheet xmlns:r="http://schemas.openxmlformats.org/officeDocument/2006/relationships" name="Execute Operation" sheetId="83" state="visible" r:id="rId83"/>
    <sheet xmlns:r="http://schemas.openxmlformats.org/officeDocument/2006/relationships" name="Event Payload" sheetId="84" state="visible" r:id="rId84"/>
    <sheet xmlns:r="http://schemas.openxmlformats.org/officeDocument/2006/relationships" name="Event Condition Classes" sheetId="85" state="visible" r:id="rId85"/>
    <sheet xmlns:r="http://schemas.openxmlformats.org/officeDocument/2006/relationships" name="Asset Connection Event" sheetId="86" state="visible" r:id="rId86"/>
    <sheet xmlns:r="http://schemas.openxmlformats.org/officeDocument/2006/relationships" name="Asset Connection State Event" sheetId="87" state="visible" r:id="rId87"/>
    <sheet xmlns:r="http://schemas.openxmlformats.org/officeDocument/2006/relationships" name="Asset Enable State Event" sheetId="88" state="visible" r:id="rId88"/>
    <sheet xmlns:r="http://schemas.openxmlformats.org/officeDocument/2006/relationships" name="E Payload Associated Entities" sheetId="89" state="visible" r:id="rId89"/>
    <sheet xmlns:r="http://schemas.openxmlformats.org/officeDocument/2006/relationships" name="Event Payload Reported Values" sheetId="90" state="visible" r:id="rId90"/>
    <sheet xmlns:r="http://schemas.openxmlformats.org/officeDocument/2006/relationships" name="Identifiers Event" sheetId="91" state="visible" r:id="rId91"/>
    <sheet xmlns:r="http://schemas.openxmlformats.org/officeDocument/2006/relationships" name="Select Process Event" sheetId="92" state="visible" r:id="rId92"/>
    <sheet xmlns:r="http://schemas.openxmlformats.org/officeDocument/2006/relationships" name="Joining Process Management" sheetId="93" state="visible" r:id="rId93"/>
    <sheet xmlns:r="http://schemas.openxmlformats.org/officeDocument/2006/relationships" name="Get Joining Process List" sheetId="94" state="visible" r:id="rId94"/>
    <sheet xmlns:r="http://schemas.openxmlformats.org/officeDocument/2006/relationships" name="Abort Joining Process" sheetId="95" state="visible" r:id="rId95"/>
    <sheet xmlns:r="http://schemas.openxmlformats.org/officeDocument/2006/relationships" name="Start Selected Joining" sheetId="96" state="visible" r:id="rId96"/>
    <sheet xmlns:r="http://schemas.openxmlformats.org/officeDocument/2006/relationships" name="Select Joining Process" sheetId="97" state="visible" r:id="rId97"/>
    <sheet xmlns:r="http://schemas.openxmlformats.org/officeDocument/2006/relationships" name="Deselect Joining Process" sheetId="98" state="visible" r:id="rId98"/>
    <sheet xmlns:r="http://schemas.openxmlformats.org/officeDocument/2006/relationships" name="Reset Joining Process" sheetId="99" state="visible" r:id="rId99"/>
    <sheet xmlns:r="http://schemas.openxmlformats.org/officeDocument/2006/relationships" name="I Joining Process Counter" sheetId="100" state="visible" r:id="rId100"/>
    <sheet xmlns:r="http://schemas.openxmlformats.org/officeDocument/2006/relationships" name="D Joining Process Counter" sheetId="101" state="visible" r:id="rId101"/>
    <sheet xmlns:r="http://schemas.openxmlformats.org/officeDocument/2006/relationships" name="Set Joining Process Size" sheetId="102" state="visible" r:id="rId102"/>
    <sheet xmlns:r="http://schemas.openxmlformats.org/officeDocument/2006/relationships" name="Start Joining Process" sheetId="103" state="visible" r:id="rId103"/>
    <sheet xmlns:r="http://schemas.openxmlformats.org/officeDocument/2006/relationships" name="Delete Joining Process" sheetId="104" state="visible" r:id="rId104"/>
    <sheet xmlns:r="http://schemas.openxmlformats.org/officeDocument/2006/relationships" name="Get Selected Joining Program" sheetId="105" state="visible" r:id="rId105"/>
    <sheet xmlns:r="http://schemas.openxmlformats.org/officeDocument/2006/relationships" name="Send Joining Process" sheetId="106" state="visible" r:id="rId106"/>
    <sheet xmlns:r="http://schemas.openxmlformats.org/officeDocument/2006/relationships" name="Get Joining Process" sheetId="107" state="visible" r:id="rId107"/>
    <sheet xmlns:r="http://schemas.openxmlformats.org/officeDocument/2006/relationships" name="Set Joining Process Counter" sheetId="108" state="visible" r:id="rId108"/>
    <sheet xmlns:r="http://schemas.openxmlformats.org/officeDocument/2006/relationships" name="Set Joining Process Mapping" sheetId="109" state="visible" r:id="rId109"/>
    <sheet xmlns:r="http://schemas.openxmlformats.org/officeDocument/2006/relationships" name="Get Joining Proc Revision List" sheetId="110" state="visible" r:id="rId110"/>
    <sheet xmlns:r="http://schemas.openxmlformats.org/officeDocument/2006/relationships" name="Joint Management" sheetId="111" state="visible" r:id="rId111"/>
    <sheet xmlns:r="http://schemas.openxmlformats.org/officeDocument/2006/relationships" name="Send Joint" sheetId="112" state="visible" r:id="rId112"/>
    <sheet xmlns:r="http://schemas.openxmlformats.org/officeDocument/2006/relationships" name="Get Joint List" sheetId="113" state="visible" r:id="rId113"/>
    <sheet xmlns:r="http://schemas.openxmlformats.org/officeDocument/2006/relationships" name="Select Joint" sheetId="114" state="visible" r:id="rId114"/>
    <sheet xmlns:r="http://schemas.openxmlformats.org/officeDocument/2006/relationships" name="Get Joint" sheetId="115" state="visible" r:id="rId115"/>
    <sheet xmlns:r="http://schemas.openxmlformats.org/officeDocument/2006/relationships" name="Joint Data" sheetId="116" state="visible" r:id="rId116"/>
    <sheet xmlns:r="http://schemas.openxmlformats.org/officeDocument/2006/relationships" name="Delete Joint" sheetId="117" state="visible" r:id="rId117"/>
    <sheet xmlns:r="http://schemas.openxmlformats.org/officeDocument/2006/relationships" name="Send Joint Design" sheetId="118" state="visible" r:id="rId118"/>
    <sheet xmlns:r="http://schemas.openxmlformats.org/officeDocument/2006/relationships" name="Get Joint Design List" sheetId="119" state="visible" r:id="rId119"/>
    <sheet xmlns:r="http://schemas.openxmlformats.org/officeDocument/2006/relationships" name="Get Joint Design" sheetId="120" state="visible" r:id="rId120"/>
    <sheet xmlns:r="http://schemas.openxmlformats.org/officeDocument/2006/relationships" name="Joint Design Data" sheetId="121" state="visible" r:id="rId121"/>
    <sheet xmlns:r="http://schemas.openxmlformats.org/officeDocument/2006/relationships" name="Delete Joint Design" sheetId="122" state="visible" r:id="rId122"/>
    <sheet xmlns:r="http://schemas.openxmlformats.org/officeDocument/2006/relationships" name="Send Joint Component" sheetId="123" state="visible" r:id="rId123"/>
    <sheet xmlns:r="http://schemas.openxmlformats.org/officeDocument/2006/relationships" name="Get Joint Component List" sheetId="124" state="visible" r:id="rId124"/>
    <sheet xmlns:r="http://schemas.openxmlformats.org/officeDocument/2006/relationships" name="Get Joint Component" sheetId="125" state="visible" r:id="rId125"/>
    <sheet xmlns:r="http://schemas.openxmlformats.org/officeDocument/2006/relationships" name="Joint Component Data" sheetId="126" state="visible" r:id="rId126"/>
    <sheet xmlns:r="http://schemas.openxmlformats.org/officeDocument/2006/relationships" name="Delete Joint Component" sheetId="127" state="visible" r:id="rId127"/>
    <sheet xmlns:r="http://schemas.openxmlformats.org/officeDocument/2006/relationships" name="Get Joint Revision List" sheetId="128" state="visible" r:id="rId128"/>
    <sheet xmlns:r="http://schemas.openxmlformats.org/officeDocument/2006/relationships" name="Engineering Units" sheetId="129" state="visible" r:id="rId129"/>
  </sheets>
  <definedNames>
    <definedName name="_xlnm._FilterDatabase" localSheetId="0" hidden="1">'Home'!$A$2:$A$3</definedName>
  </definedNames>
  <calcPr calcId="191029" fullCalcOnLoad="1"/>
</workbook>
</file>

<file path=xl/styles.xml><?xml version="1.0" encoding="utf-8"?>
<styleSheet xmlns="http://schemas.openxmlformats.org/spreadsheetml/2006/main">
  <numFmts count="0"/>
  <fonts count="32">
    <font>
      <name val="Calibri"/>
      <family val="2"/>
      <color theme="1"/>
      <sz val="11"/>
      <scheme val="minor"/>
    </font>
    <font>
      <name val="Calibri"/>
      <family val="2"/>
      <b val="1"/>
      <color theme="1"/>
      <sz val="10"/>
      <scheme val="minor"/>
    </font>
    <font>
      <name val="Calibri"/>
      <family val="2"/>
      <color theme="1"/>
      <sz val="10"/>
      <scheme val="minor"/>
    </font>
    <font>
      <name val="Calibri"/>
      <family val="2"/>
      <b val="1"/>
      <color theme="1"/>
      <sz val="11"/>
      <scheme val="minor"/>
    </font>
    <font>
      <name val="Calibri"/>
      <b val="1"/>
      <color rgb="FFFFFFFF"/>
      <sz val="11"/>
    </font>
    <font>
      <name val="Calibri"/>
      <color rgb="FF000000"/>
      <sz val="10"/>
    </font>
    <font>
      <name val="Calibri"/>
      <b val="1"/>
      <color rgb="FFFFFFFF"/>
      <sz val="10"/>
    </font>
    <font>
      <name val="Calibri"/>
      <b val="1"/>
      <color rgb="FF1F497D"/>
      <sz val="10"/>
      <u val="single"/>
    </font>
    <font>
      <name val="Calibri"/>
      <b val="1"/>
      <color rgb="FF1F497D"/>
      <sz val="10"/>
    </font>
    <font>
      <name val="Calibri"/>
      <color rgb="FF000000"/>
      <sz val="10"/>
    </font>
    <font>
      <name val="Calibri"/>
      <color rgb="FF375623"/>
      <sz val="10"/>
    </font>
    <font>
      <name val="Calibri"/>
      <b val="1"/>
      <color rgb="FF000000"/>
      <sz val="11"/>
    </font>
    <font>
      <name val="Calibri"/>
      <b val="1"/>
      <color rgb="FFCC0000"/>
      <sz val="10"/>
    </font>
    <font>
      <name val="Calibri"/>
      <b val="1"/>
      <color rgb="FFFFFFFF"/>
      <sz val="18"/>
    </font>
    <font>
      <name val="Calibri"/>
      <b val="1"/>
      <color rgb="FFFFFFFF"/>
      <sz val="11"/>
    </font>
    <font>
      <name val="Calibri"/>
      <i val="1"/>
      <color rgb="FF595959"/>
      <sz val="8"/>
    </font>
    <font>
      <name val="Calibri"/>
      <b val="1"/>
      <color rgb="FF000000"/>
      <sz val="10"/>
    </font>
    <font>
      <name val="Calibri"/>
      <b val="1"/>
      <color rgb="FFFFFFFF"/>
      <sz val="10"/>
    </font>
    <font>
      <name val="Calibri"/>
      <b val="1"/>
      <color rgb="FF2E75B6"/>
      <sz val="10"/>
    </font>
    <font>
      <name val="Calibri"/>
      <b val="1"/>
      <color rgb="FF1F497D"/>
      <sz val="11"/>
    </font>
    <font>
      <name val="Calibri"/>
      <sz val="10"/>
    </font>
    <font>
      <name val="Calibri"/>
      <b val="1"/>
      <sz val="10"/>
    </font>
    <font>
      <name val="Calibri"/>
      <b val="1"/>
      <color rgb="FF1F497D"/>
      <sz val="10"/>
      <u val="single"/>
    </font>
    <font>
      <name val="Calibri"/>
      <b val="1"/>
      <color rgb="FF000000"/>
      <sz val="10"/>
    </font>
    <font>
      <name val="Calibri"/>
      <b val="1"/>
      <color rgb="FFFFFFFF"/>
      <sz val="14"/>
    </font>
    <font>
      <name val="Calibri"/>
      <b val="1"/>
      <color rgb="FFFFFFFF"/>
      <sz val="10"/>
    </font>
    <font>
      <name val="Calibri"/>
      <color rgb="FF000000"/>
      <sz val="9"/>
    </font>
    <font>
      <name val="Calibri"/>
      <sz val="9"/>
    </font>
    <font>
      <name val="Calibri"/>
      <family val="2"/>
      <color rgb="FF000000"/>
      <sz val="11"/>
    </font>
    <font>
      <b val="1"/>
      <color rgb="FFFFFFFF"/>
      <sz val="10"/>
    </font>
    <font>
      <sz val="10"/>
    </font>
    <font>
      <b val="1"/>
      <color rgb="FF000000"/>
      <sz val="10"/>
    </font>
  </fonts>
  <fills count="21">
    <fill>
      <patternFill/>
    </fill>
    <fill>
      <patternFill patternType="gray125"/>
    </fill>
    <fill>
      <patternFill patternType="solid">
        <fgColor theme="3" tint="0.7999816888943144"/>
        <bgColor indexed="64"/>
      </patternFill>
    </fill>
    <fill>
      <patternFill patternType="solid">
        <fgColor theme="0" tint="-0.0499893185216834"/>
        <bgColor indexed="64"/>
      </patternFill>
    </fill>
    <fill>
      <patternFill patternType="solid">
        <fgColor rgb="FF2E75B6"/>
      </patternFill>
    </fill>
    <fill>
      <patternFill patternType="solid">
        <fgColor rgb="FF1F497D"/>
      </patternFill>
    </fill>
    <fill>
      <patternFill patternType="solid">
        <fgColor rgb="FFFFFFFF"/>
      </patternFill>
    </fill>
    <fill>
      <patternFill patternType="solid">
        <fgColor rgb="FFFFF2CC"/>
      </patternFill>
    </fill>
    <fill>
      <patternFill patternType="solid">
        <fgColor rgb="FFDCE6F1"/>
      </patternFill>
    </fill>
    <fill>
      <patternFill patternType="solid">
        <fgColor rgb="FF1F497D"/>
      </patternFill>
    </fill>
    <fill>
      <patternFill patternType="solid">
        <fgColor rgb="FFFFF2CC"/>
      </patternFill>
    </fill>
    <fill>
      <patternFill patternType="solid">
        <fgColor rgb="FFDCE6F1"/>
      </patternFill>
    </fill>
    <fill>
      <patternFill patternType="solid">
        <fgColor rgb="FFD9E1F2"/>
      </patternFill>
    </fill>
    <fill>
      <patternFill patternType="solid">
        <fgColor rgb="FFFFFFFF"/>
      </patternFill>
    </fill>
    <fill>
      <patternFill patternType="solid">
        <fgColor rgb="FFEEF3FB"/>
      </patternFill>
    </fill>
    <fill>
      <patternFill patternType="solid">
        <fgColor rgb="FFFFC000"/>
      </patternFill>
    </fill>
    <fill>
      <patternFill patternType="solid">
        <fgColor rgb="FF2E75B6"/>
      </patternFill>
    </fill>
    <fill>
      <patternFill patternType="solid">
        <fgColor rgb="FFFFFFF0"/>
      </patternFill>
    </fill>
    <fill>
      <patternFill patternType="solid">
        <fgColor rgb="FFF2F2F2"/>
      </patternFill>
    </fill>
    <fill>
      <patternFill patternType="solid">
        <fgColor rgb="FF4472C4"/>
      </patternFill>
    </fill>
    <fill>
      <patternFill patternType="solid">
        <fgColor rgb="FFEBF3FB"/>
      </patternFill>
    </fill>
  </fills>
  <borders count="34">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auto="1"/>
      </right>
      <top style="thin">
        <color auto="1"/>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hair">
        <color rgb="FFD0D0D0"/>
      </left>
      <right style="hair">
        <color rgb="FFD0D0D0"/>
      </right>
      <top style="hair">
        <color rgb="FFD0D0D0"/>
      </top>
      <bottom style="hair">
        <color rgb="FFD0D0D0"/>
      </bottom>
      <diagonal/>
    </border>
    <border>
      <left/>
      <right/>
      <top style="thin">
        <color rgb="FFB8CCE4"/>
      </top>
      <bottom style="thin">
        <color rgb="FFB8CCE4"/>
      </bottom>
      <diagonal/>
    </border>
    <border>
      <left/>
      <right style="thin">
        <color rgb="FFB8CCE4"/>
      </right>
      <top style="thin">
        <color rgb="FFB8CCE4"/>
      </top>
      <bottom style="thin">
        <color rgb="FFB8CCE4"/>
      </bottom>
      <diagonal/>
    </border>
    <border>
      <left/>
      <right/>
      <top/>
      <bottom style="thin">
        <color indexed="64"/>
      </bottom>
      <diagonal/>
    </border>
    <border>
      <left/>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top/>
      <bottom style="thin">
        <color auto="1"/>
      </bottom>
      <diagonal/>
    </border>
    <border>
      <left/>
      <right/>
      <top style="thin">
        <color rgb="FFB8CCE4"/>
      </top>
      <bottom/>
      <diagonal/>
    </border>
    <border>
      <left/>
      <right style="thin">
        <color rgb="FFB8CCE4"/>
      </right>
      <top style="thin">
        <color rgb="FFB8CCE4"/>
      </top>
      <bottom/>
      <diagonal/>
    </border>
    <border>
      <left/>
      <right style="thin">
        <color indexed="64"/>
      </right>
      <top/>
      <bottom/>
      <diagonal/>
    </border>
    <border>
      <left/>
      <right/>
      <top style="thin">
        <color auto="1"/>
      </top>
      <bottom/>
      <diagonal/>
    </border>
    <border>
      <left/>
      <right style="thin">
        <color auto="1"/>
      </right>
      <top style="thin">
        <color auto="1"/>
      </top>
      <bottom/>
      <diagonal/>
    </border>
    <border>
      <left style="medium">
        <color rgb="FF1F497D"/>
      </left>
      <right style="medium">
        <color rgb="FF1F497D"/>
      </right>
      <top style="medium">
        <color rgb="FF1F497D"/>
      </top>
      <bottom style="medium">
        <color rgb="FF1F497D"/>
      </bottom>
    </border>
    <border>
      <left style="thin">
        <color rgb="FFB8CCE4"/>
      </left>
      <right style="thin">
        <color rgb="FFB8CCE4"/>
      </right>
      <top style="thin">
        <color rgb="FFB8CCE4"/>
      </top>
      <bottom style="thin">
        <color rgb="FFB8CCE4"/>
      </bottom>
    </border>
    <border>
      <left style="hair">
        <color rgb="FFD0D0D0"/>
      </left>
      <right style="hair">
        <color rgb="FFD0D0D0"/>
      </right>
      <top style="hair">
        <color rgb="FFD0D0D0"/>
      </top>
      <bottom style="hair">
        <color rgb="FFD0D0D0"/>
      </bottom>
    </border>
    <border>
      <left/>
      <right/>
      <top style="medium">
        <color rgb="FF1F497D"/>
      </top>
      <bottom/>
      <diagonal/>
    </border>
    <border>
      <left/>
      <right style="medium">
        <color rgb="FF1F497D"/>
      </right>
      <top style="medium">
        <color rgb="FF1F497D"/>
      </top>
      <bottom/>
      <diagonal/>
    </border>
    <border>
      <left/>
      <right/>
      <top style="medium">
        <color rgb="FF1F497D"/>
      </top>
      <bottom style="medium">
        <color rgb="FF1F497D"/>
      </bottom>
      <diagonal/>
    </border>
    <border>
      <left/>
      <right style="medium">
        <color rgb="FF1F497D"/>
      </right>
      <top style="medium">
        <color rgb="FF1F497D"/>
      </top>
      <bottom style="medium">
        <color rgb="FF1F497D"/>
      </bottom>
      <diagonal/>
    </border>
  </borders>
  <cellStyleXfs count="1">
    <xf numFmtId="0" fontId="0" fillId="0" borderId="0"/>
  </cellStyleXfs>
  <cellXfs count="213">
    <xf numFmtId="0" fontId="0" fillId="0" borderId="0" pivotButton="0" quotePrefix="0" xfId="0"/>
    <xf numFmtId="0" fontId="0" fillId="2" borderId="1" pivotButton="0" quotePrefix="0" xfId="0"/>
    <xf numFmtId="0" fontId="3" fillId="2" borderId="1" pivotButton="0" quotePrefix="0" xfId="0"/>
    <xf numFmtId="0" fontId="0" fillId="0" borderId="0" applyAlignment="1" pivotButton="0" quotePrefix="0" xfId="0">
      <alignment wrapText="1"/>
    </xf>
    <xf numFmtId="0" fontId="0" fillId="3" borderId="0" applyAlignment="1" pivotButton="0" quotePrefix="0" xfId="0">
      <alignment vertical="top" wrapText="1"/>
    </xf>
    <xf numFmtId="0" fontId="0" fillId="0" borderId="0" applyAlignment="1" pivotButton="0" quotePrefix="0" xfId="0">
      <alignment vertical="top" wrapText="1"/>
    </xf>
    <xf numFmtId="0" fontId="0" fillId="0" borderId="0" applyAlignment="1" pivotButton="0" quotePrefix="0" xfId="0">
      <alignment horizontal="center" vertical="top" wrapText="1"/>
    </xf>
    <xf numFmtId="9" fontId="0" fillId="0" borderId="0" applyAlignment="1" pivotButton="0" quotePrefix="0" xfId="0">
      <alignment horizontal="center" vertical="top" wrapText="1"/>
    </xf>
    <xf numFmtId="0" fontId="2" fillId="0" borderId="1" applyAlignment="1" pivotButton="0" quotePrefix="0" xfId="0">
      <alignment horizontal="center" vertical="top" wrapText="1"/>
    </xf>
    <xf numFmtId="0" fontId="2" fillId="0" borderId="1" applyAlignment="1" pivotButton="0" quotePrefix="0" xfId="0">
      <alignment horizontal="center" wrapText="1"/>
    </xf>
    <xf numFmtId="0" fontId="2" fillId="0" borderId="9" applyAlignment="1" pivotButton="0" quotePrefix="0" xfId="0">
      <alignment horizontal="center" vertical="top" wrapText="1"/>
    </xf>
    <xf numFmtId="0" fontId="2" fillId="0" borderId="2" applyAlignment="1" pivotButton="0" quotePrefix="0" xfId="0">
      <alignment horizontal="center" wrapText="1"/>
    </xf>
    <xf numFmtId="0" fontId="3" fillId="2" borderId="2" pivotButton="0" quotePrefix="0" xfId="0"/>
    <xf numFmtId="1" fontId="1" fillId="0" borderId="6" applyAlignment="1" pivotButton="0" quotePrefix="0" xfId="0">
      <alignment horizontal="center" vertical="top" wrapText="1"/>
    </xf>
    <xf numFmtId="0" fontId="1" fillId="0" borderId="6" applyAlignment="1" pivotButton="0" quotePrefix="0" xfId="0">
      <alignment horizontal="center" vertical="top" wrapText="1"/>
    </xf>
    <xf numFmtId="0" fontId="1" fillId="0" borderId="6" applyAlignment="1" pivotButton="0" quotePrefix="0" xfId="0">
      <alignment horizontal="center" wrapText="1"/>
    </xf>
    <xf numFmtId="0" fontId="1" fillId="0" borderId="7" applyAlignment="1" pivotButton="0" quotePrefix="0" xfId="0">
      <alignment horizontal="center" wrapText="1"/>
    </xf>
    <xf numFmtId="0" fontId="2" fillId="0" borderId="4" applyAlignment="1" pivotButton="0" quotePrefix="0" xfId="0">
      <alignment horizontal="center" vertical="top" wrapText="1"/>
    </xf>
    <xf numFmtId="1" fontId="2" fillId="0" borderId="5" applyAlignment="1" pivotButton="0" quotePrefix="0" xfId="0">
      <alignment horizontal="center" vertical="top" wrapText="1"/>
    </xf>
    <xf numFmtId="0" fontId="2" fillId="0" borderId="5" applyAlignment="1" pivotButton="0" quotePrefix="0" xfId="0">
      <alignment horizontal="center" vertical="top" wrapText="1"/>
    </xf>
    <xf numFmtId="0" fontId="2" fillId="0" borderId="5" applyAlignment="1" pivotButton="0" quotePrefix="0" xfId="0">
      <alignment horizontal="center" wrapText="1"/>
    </xf>
    <xf numFmtId="0" fontId="2" fillId="0" borderId="3" applyAlignment="1" pivotButton="0" quotePrefix="0" xfId="0">
      <alignment horizontal="center" wrapText="1"/>
    </xf>
    <xf numFmtId="1" fontId="2" fillId="0" borderId="1" applyAlignment="1" pivotButton="0" quotePrefix="1" xfId="0">
      <alignment horizontal="center" vertical="top" wrapText="1"/>
    </xf>
    <xf numFmtId="0" fontId="0" fillId="0" borderId="0" applyAlignment="1" pivotButton="0" quotePrefix="0" xfId="0">
      <alignment horizontal="center" vertical="center"/>
    </xf>
    <xf numFmtId="0" fontId="1" fillId="0" borderId="8" applyAlignment="1" pivotButton="0" quotePrefix="0" xfId="0">
      <alignment horizontal="center" vertical="top" wrapText="1"/>
    </xf>
    <xf numFmtId="0" fontId="0" fillId="0" borderId="1" applyAlignment="1" pivotButton="0" quotePrefix="0" xfId="0">
      <alignment textRotation="90" wrapText="1"/>
    </xf>
    <xf numFmtId="0" fontId="0" fillId="0" borderId="1" applyAlignment="1" pivotButton="0" quotePrefix="0" xfId="0">
      <alignment textRotation="90"/>
    </xf>
    <xf numFmtId="0" fontId="0" fillId="0" borderId="0" applyAlignment="1" pivotButton="0" quotePrefix="0" xfId="0">
      <alignment textRotation="90" wrapText="1"/>
    </xf>
    <xf numFmtId="0" fontId="0" fillId="0" borderId="0" applyAlignment="1" pivotButton="0" quotePrefix="0" xfId="0">
      <alignment textRotation="90"/>
    </xf>
    <xf numFmtId="0" fontId="3" fillId="2" borderId="9" pivotButton="0" quotePrefix="0" xfId="0"/>
    <xf numFmtId="0" fontId="14" fillId="9" borderId="12" applyAlignment="1" pivotButton="0" quotePrefix="0" xfId="0">
      <alignment horizontal="center" vertical="center" wrapText="1"/>
    </xf>
    <xf numFmtId="9" fontId="14" fillId="9" borderId="12" applyAlignment="1" pivotButton="0" quotePrefix="0" xfId="0">
      <alignment horizontal="center" vertical="center" wrapText="1"/>
    </xf>
    <xf numFmtId="0" fontId="6" fillId="9" borderId="12" applyAlignment="1" pivotButton="0" quotePrefix="0" xfId="0">
      <alignment horizontal="center" vertical="center" wrapText="1"/>
    </xf>
    <xf numFmtId="0" fontId="8" fillId="12" borderId="14" applyAlignment="1" pivotButton="0" quotePrefix="0" xfId="0">
      <alignment horizontal="center" vertical="center"/>
    </xf>
    <xf numFmtId="0" fontId="8" fillId="12" borderId="14" applyAlignment="1" pivotButton="0" quotePrefix="0" xfId="0">
      <alignment horizontal="left" vertical="center" wrapText="1"/>
    </xf>
    <xf numFmtId="0" fontId="8" fillId="12" borderId="14" applyAlignment="1" pivotButton="0" quotePrefix="0" xfId="0">
      <alignment horizontal="left" vertical="center"/>
    </xf>
    <xf numFmtId="0" fontId="9" fillId="13" borderId="14" applyAlignment="1" pivotButton="0" quotePrefix="0" xfId="0">
      <alignment horizontal="left" vertical="top" wrapText="1"/>
    </xf>
    <xf numFmtId="0" fontId="9" fillId="13" borderId="14" applyAlignment="1" pivotButton="0" quotePrefix="0" xfId="0">
      <alignment horizontal="center" vertical="center"/>
    </xf>
    <xf numFmtId="0" fontId="10" fillId="13" borderId="14" applyAlignment="1" pivotButton="0" quotePrefix="0" xfId="0">
      <alignment horizontal="center" vertical="center"/>
    </xf>
    <xf numFmtId="0" fontId="9" fillId="14" borderId="14" applyAlignment="1" pivotButton="0" quotePrefix="0" xfId="0">
      <alignment horizontal="left" vertical="top" wrapText="1"/>
    </xf>
    <xf numFmtId="0" fontId="9" fillId="14" borderId="14" applyAlignment="1" pivotButton="0" quotePrefix="0" xfId="0">
      <alignment horizontal="center" vertical="center"/>
    </xf>
    <xf numFmtId="0" fontId="10" fillId="14" borderId="14" applyAlignment="1" pivotButton="0" quotePrefix="0" xfId="0">
      <alignment horizontal="center" vertical="center"/>
    </xf>
    <xf numFmtId="0" fontId="11" fillId="15" borderId="14" applyAlignment="1" pivotButton="0" quotePrefix="0" xfId="0">
      <alignment horizontal="center" vertical="center"/>
    </xf>
    <xf numFmtId="0" fontId="9" fillId="15" borderId="14" pivotButton="0" quotePrefix="0" xfId="0"/>
    <xf numFmtId="0" fontId="8" fillId="10" borderId="14" applyAlignment="1" pivotButton="0" quotePrefix="0" xfId="0">
      <alignment horizontal="center" vertical="center"/>
    </xf>
    <xf numFmtId="0" fontId="8" fillId="10" borderId="14" applyAlignment="1" pivotButton="0" quotePrefix="0" xfId="0">
      <alignment horizontal="left" vertical="center" wrapText="1"/>
    </xf>
    <xf numFmtId="0" fontId="8" fillId="10" borderId="14" applyAlignment="1" pivotButton="0" quotePrefix="0" xfId="0">
      <alignment horizontal="left" vertical="center"/>
    </xf>
    <xf numFmtId="0" fontId="12" fillId="13" borderId="14" applyAlignment="1" pivotButton="0" quotePrefix="0" xfId="0">
      <alignment horizontal="center" vertical="center"/>
    </xf>
    <xf numFmtId="0" fontId="12" fillId="14" borderId="14" applyAlignment="1" pivotButton="0" quotePrefix="0" xfId="0">
      <alignment horizontal="center" vertical="center"/>
    </xf>
    <xf numFmtId="0" fontId="15" fillId="12" borderId="14" applyAlignment="1" pivotButton="0" quotePrefix="0" xfId="0">
      <alignment horizontal="left" vertical="center" wrapText="1"/>
    </xf>
    <xf numFmtId="0" fontId="16" fillId="17" borderId="0" pivotButton="0" quotePrefix="0" xfId="0"/>
    <xf numFmtId="0" fontId="18" fillId="0" borderId="9" applyAlignment="1" pivotButton="0" quotePrefix="0" xfId="0">
      <alignment horizontal="center" vertical="center"/>
    </xf>
    <xf numFmtId="0" fontId="17" fillId="9" borderId="9" applyAlignment="1" pivotButton="0" quotePrefix="0" xfId="0">
      <alignment horizontal="center" vertical="center"/>
    </xf>
    <xf numFmtId="1" fontId="17" fillId="9" borderId="1" applyAlignment="1" pivotButton="0" quotePrefix="1" xfId="0">
      <alignment horizontal="center" vertical="center"/>
    </xf>
    <xf numFmtId="0" fontId="17" fillId="9" borderId="1" applyAlignment="1" pivotButton="0" quotePrefix="0" xfId="0">
      <alignment horizontal="center" vertical="center"/>
    </xf>
    <xf numFmtId="0" fontId="17" fillId="9" borderId="2" applyAlignment="1" pivotButton="0" quotePrefix="0" xfId="0">
      <alignment horizontal="center" vertical="center"/>
    </xf>
    <xf numFmtId="0" fontId="21" fillId="12" borderId="9" applyAlignment="1" pivotButton="0" quotePrefix="0" xfId="0">
      <alignment horizontal="left" vertical="top" wrapText="1"/>
    </xf>
    <xf numFmtId="1" fontId="21" fillId="12" borderId="1" applyAlignment="1" pivotButton="0" quotePrefix="1" xfId="0">
      <alignment horizontal="left" vertical="top" wrapText="1"/>
    </xf>
    <xf numFmtId="0" fontId="21" fillId="12" borderId="1" applyAlignment="1" pivotButton="0" quotePrefix="0" xfId="0">
      <alignment horizontal="left" vertical="top" wrapText="1"/>
    </xf>
    <xf numFmtId="0" fontId="15" fillId="12" borderId="2" applyAlignment="1" pivotButton="0" quotePrefix="0" xfId="0">
      <alignment horizontal="left" vertical="top" wrapText="1"/>
    </xf>
    <xf numFmtId="0" fontId="20" fillId="2" borderId="9" applyAlignment="1" pivotButton="0" quotePrefix="0" xfId="0">
      <alignment horizontal="left" vertical="top" wrapText="1"/>
    </xf>
    <xf numFmtId="0" fontId="20" fillId="0" borderId="0" applyAlignment="1" pivotButton="0" quotePrefix="0" xfId="0">
      <alignment horizontal="left" vertical="top" wrapText="1"/>
    </xf>
    <xf numFmtId="0" fontId="20" fillId="2" borderId="2" applyAlignment="1" pivotButton="0" quotePrefix="0" xfId="0">
      <alignment horizontal="left" vertical="top" wrapText="1"/>
    </xf>
    <xf numFmtId="0" fontId="20" fillId="0" borderId="4" applyAlignment="1" pivotButton="0" quotePrefix="0" xfId="0">
      <alignment horizontal="left" vertical="top" wrapText="1"/>
    </xf>
    <xf numFmtId="1" fontId="20" fillId="0" borderId="5" applyAlignment="1" pivotButton="0" quotePrefix="0" xfId="0">
      <alignment horizontal="left" vertical="top" wrapText="1"/>
    </xf>
    <xf numFmtId="0" fontId="20" fillId="0" borderId="5" applyAlignment="1" pivotButton="0" quotePrefix="0" xfId="0">
      <alignment horizontal="left" vertical="top" wrapText="1"/>
    </xf>
    <xf numFmtId="0" fontId="20" fillId="0" borderId="3" applyAlignment="1" pivotButton="0" quotePrefix="0" xfId="0">
      <alignment horizontal="left" vertical="top" wrapText="1"/>
    </xf>
    <xf numFmtId="0" fontId="21" fillId="12" borderId="0" applyAlignment="1" pivotButton="0" quotePrefix="0" xfId="0">
      <alignment horizontal="left" vertical="top" wrapText="1"/>
    </xf>
    <xf numFmtId="0" fontId="16" fillId="15" borderId="0" applyAlignment="1" pivotButton="0" quotePrefix="0" xfId="0">
      <alignment horizontal="left" vertical="top" wrapText="1"/>
    </xf>
    <xf numFmtId="0" fontId="21" fillId="17" borderId="0" applyAlignment="1" pivotButton="0" quotePrefix="0" xfId="0">
      <alignment horizontal="left" vertical="top" wrapText="1"/>
    </xf>
    <xf numFmtId="0" fontId="21" fillId="12" borderId="4" applyAlignment="1" pivotButton="0" quotePrefix="0" xfId="0">
      <alignment horizontal="left" vertical="top" wrapText="1"/>
    </xf>
    <xf numFmtId="1" fontId="21" fillId="12" borderId="5" applyAlignment="1" pivotButton="0" quotePrefix="0" xfId="0">
      <alignment horizontal="left" vertical="top" wrapText="1"/>
    </xf>
    <xf numFmtId="0" fontId="21" fillId="12" borderId="5" applyAlignment="1" pivotButton="0" quotePrefix="0" xfId="0">
      <alignment horizontal="left" vertical="top" wrapText="1"/>
    </xf>
    <xf numFmtId="0" fontId="21" fillId="12" borderId="3" applyAlignment="1" pivotButton="0" quotePrefix="0" xfId="0">
      <alignment horizontal="left" vertical="top" wrapText="1"/>
    </xf>
    <xf numFmtId="0" fontId="21" fillId="12" borderId="2" applyAlignment="1" pivotButton="0" quotePrefix="0" xfId="0">
      <alignment horizontal="left" vertical="top" wrapText="1"/>
    </xf>
    <xf numFmtId="0" fontId="18" fillId="0" borderId="0" applyAlignment="1" pivotButton="0" quotePrefix="0" xfId="0">
      <alignment horizontal="center" vertical="center"/>
    </xf>
    <xf numFmtId="0" fontId="17" fillId="9" borderId="0" applyAlignment="1" pivotButton="0" quotePrefix="0" xfId="0">
      <alignment horizontal="center" vertical="center"/>
    </xf>
    <xf numFmtId="0" fontId="15" fillId="12" borderId="0" applyAlignment="1" pivotButton="0" quotePrefix="0" xfId="0">
      <alignment horizontal="left" vertical="top" wrapText="1"/>
    </xf>
    <xf numFmtId="0" fontId="5" fillId="6" borderId="11" applyAlignment="1" pivotButton="0" quotePrefix="0" xfId="0">
      <alignment horizontal="left" vertical="center" wrapText="1"/>
    </xf>
    <xf numFmtId="0" fontId="22" fillId="7" borderId="11" applyAlignment="1" pivotButton="0" quotePrefix="0" xfId="0">
      <alignment horizontal="left" vertical="center" wrapText="1"/>
    </xf>
    <xf numFmtId="9" fontId="5" fillId="6" borderId="11" applyAlignment="1" pivotButton="0" quotePrefix="0" xfId="0">
      <alignment horizontal="left" vertical="center" wrapText="1"/>
    </xf>
    <xf numFmtId="0" fontId="5" fillId="8" borderId="11" applyAlignment="1" pivotButton="0" quotePrefix="0" xfId="0">
      <alignment horizontal="left" vertical="center" wrapText="1"/>
    </xf>
    <xf numFmtId="9" fontId="5" fillId="8" borderId="11" applyAlignment="1" pivotButton="0" quotePrefix="0" xfId="0">
      <alignment horizontal="left" vertical="center" wrapText="1"/>
    </xf>
    <xf numFmtId="0" fontId="23" fillId="18" borderId="0" pivotButton="0" quotePrefix="0" xfId="0"/>
    <xf numFmtId="0" fontId="25" fillId="5" borderId="10" applyAlignment="1" pivotButton="0" quotePrefix="0" xfId="0">
      <alignment horizontal="center" vertical="center"/>
    </xf>
    <xf numFmtId="0" fontId="26" fillId="6" borderId="11" applyAlignment="1" pivotButton="0" quotePrefix="0" xfId="0">
      <alignment horizontal="left" vertical="center" wrapText="1"/>
    </xf>
    <xf numFmtId="0" fontId="26" fillId="8" borderId="11" applyAlignment="1" pivotButton="0" quotePrefix="0" xfId="0">
      <alignment horizontal="left" vertical="center" wrapText="1"/>
    </xf>
    <xf numFmtId="0" fontId="20" fillId="0" borderId="9" applyAlignment="1" pivotButton="0" quotePrefix="0" xfId="0">
      <alignment horizontal="left" vertical="top" wrapText="1"/>
    </xf>
    <xf numFmtId="1" fontId="20" fillId="0" borderId="1" applyAlignment="1" pivotButton="0" quotePrefix="1" xfId="0">
      <alignment horizontal="left" vertical="top" wrapText="1"/>
    </xf>
    <xf numFmtId="0" fontId="20" fillId="0" borderId="1" applyAlignment="1" pivotButton="0" quotePrefix="0" xfId="0">
      <alignment horizontal="left" vertical="top" wrapText="1"/>
    </xf>
    <xf numFmtId="0" fontId="20" fillId="0" borderId="2" applyAlignment="1" pivotButton="0" quotePrefix="0" xfId="0">
      <alignment horizontal="left" vertical="top" wrapText="1"/>
    </xf>
    <xf numFmtId="0" fontId="16" fillId="15" borderId="9" applyAlignment="1" pivotButton="0" quotePrefix="0" xfId="0">
      <alignment horizontal="left" vertical="top" wrapText="1"/>
    </xf>
    <xf numFmtId="1" fontId="16" fillId="15" borderId="1" applyAlignment="1" pivotButton="0" quotePrefix="1" xfId="0">
      <alignment horizontal="left" vertical="top" wrapText="1"/>
    </xf>
    <xf numFmtId="0" fontId="16" fillId="15" borderId="1" applyAlignment="1" pivotButton="0" quotePrefix="0" xfId="0">
      <alignment horizontal="left" vertical="top" wrapText="1"/>
    </xf>
    <xf numFmtId="0" fontId="16" fillId="15" borderId="2" applyAlignment="1" pivotButton="0" quotePrefix="0" xfId="0">
      <alignment horizontal="left" vertical="top" wrapText="1"/>
    </xf>
    <xf numFmtId="0" fontId="21" fillId="17" borderId="9" applyAlignment="1" pivotButton="0" quotePrefix="0" xfId="0">
      <alignment horizontal="left" vertical="top" wrapText="1"/>
    </xf>
    <xf numFmtId="1" fontId="21" fillId="17" borderId="1" applyAlignment="1" pivotButton="0" quotePrefix="1" xfId="0">
      <alignment horizontal="left" vertical="top" wrapText="1"/>
    </xf>
    <xf numFmtId="0" fontId="21" fillId="17" borderId="1" applyAlignment="1" pivotButton="0" quotePrefix="0" xfId="0">
      <alignment horizontal="left" vertical="top" wrapText="1"/>
    </xf>
    <xf numFmtId="0" fontId="21" fillId="17" borderId="2" applyAlignment="1" pivotButton="0" quotePrefix="0" xfId="0">
      <alignment horizontal="left" vertical="top" wrapText="1"/>
    </xf>
    <xf numFmtId="0" fontId="21" fillId="17" borderId="4" applyAlignment="1" pivotButton="0" quotePrefix="0" xfId="0">
      <alignment horizontal="left" vertical="top" wrapText="1"/>
    </xf>
    <xf numFmtId="1" fontId="21" fillId="17" borderId="5" applyAlignment="1" pivotButton="0" quotePrefix="0" xfId="0">
      <alignment horizontal="left" vertical="top" wrapText="1"/>
    </xf>
    <xf numFmtId="0" fontId="21" fillId="17" borderId="5" applyAlignment="1" pivotButton="0" quotePrefix="0" xfId="0">
      <alignment horizontal="left" vertical="top" wrapText="1"/>
    </xf>
    <xf numFmtId="0" fontId="21" fillId="17" borderId="3" applyAlignment="1" pivotButton="0" quotePrefix="0" xfId="0">
      <alignment horizontal="left" vertical="top" wrapText="1"/>
    </xf>
    <xf numFmtId="0" fontId="27" fillId="0" borderId="9" applyAlignment="1" pivotButton="0" quotePrefix="0" xfId="0">
      <alignment horizontal="left" vertical="top" wrapText="1"/>
    </xf>
    <xf numFmtId="1" fontId="27" fillId="0" borderId="1" applyAlignment="1" pivotButton="0" quotePrefix="1" xfId="0">
      <alignment horizontal="left" vertical="top" wrapText="1"/>
    </xf>
    <xf numFmtId="0" fontId="27" fillId="0" borderId="1" applyAlignment="1" pivotButton="0" quotePrefix="0" xfId="0">
      <alignment horizontal="left" vertical="top" wrapText="1"/>
    </xf>
    <xf numFmtId="0" fontId="27" fillId="0" borderId="2" applyAlignment="1" pivotButton="0" quotePrefix="0" xfId="0">
      <alignment horizontal="left" vertical="top" wrapText="1"/>
    </xf>
    <xf numFmtId="0" fontId="27" fillId="2" borderId="9" applyAlignment="1" pivotButton="0" quotePrefix="0" xfId="0">
      <alignment horizontal="left" vertical="top" wrapText="1"/>
    </xf>
    <xf numFmtId="0" fontId="27" fillId="0" borderId="0" applyAlignment="1" pivotButton="0" quotePrefix="0" xfId="0">
      <alignment horizontal="left" vertical="top" wrapText="1"/>
    </xf>
    <xf numFmtId="0" fontId="27" fillId="2" borderId="2" applyAlignment="1" pivotButton="0" quotePrefix="0" xfId="0">
      <alignment horizontal="left" vertical="top" wrapText="1"/>
    </xf>
    <xf numFmtId="0" fontId="16" fillId="17" borderId="0" applyAlignment="1" pivotButton="0" quotePrefix="0" xfId="0">
      <alignment vertical="top" wrapText="1"/>
    </xf>
    <xf numFmtId="0" fontId="20" fillId="0" borderId="0" applyAlignment="1" pivotButton="0" quotePrefix="0" xfId="0">
      <alignment vertical="top" wrapText="1"/>
    </xf>
    <xf numFmtId="0" fontId="16" fillId="17" borderId="9" applyAlignment="1" pivotButton="0" quotePrefix="0" xfId="0">
      <alignment vertical="top" wrapText="1"/>
    </xf>
    <xf numFmtId="1" fontId="16" fillId="17" borderId="1" applyAlignment="1" pivotButton="0" quotePrefix="1" xfId="0">
      <alignment vertical="top" wrapText="1"/>
    </xf>
    <xf numFmtId="0" fontId="16" fillId="17" borderId="1" applyAlignment="1" pivotButton="0" quotePrefix="0" xfId="0">
      <alignment vertical="top" wrapText="1"/>
    </xf>
    <xf numFmtId="0" fontId="16" fillId="17" borderId="2" applyAlignment="1" pivotButton="0" quotePrefix="0" xfId="0">
      <alignment vertical="top" wrapText="1"/>
    </xf>
    <xf numFmtId="0" fontId="20" fillId="0" borderId="9" applyAlignment="1" pivotButton="0" quotePrefix="0" xfId="0">
      <alignment vertical="top" wrapText="1"/>
    </xf>
    <xf numFmtId="1" fontId="20" fillId="0" borderId="1" applyAlignment="1" pivotButton="0" quotePrefix="1" xfId="0">
      <alignment vertical="top" wrapText="1"/>
    </xf>
    <xf numFmtId="0" fontId="20" fillId="0" borderId="1" applyAlignment="1" pivotButton="0" quotePrefix="0" xfId="0">
      <alignment vertical="top" wrapText="1"/>
    </xf>
    <xf numFmtId="0" fontId="20" fillId="0" borderId="2" applyAlignment="1" pivotButton="0" quotePrefix="0" xfId="0">
      <alignment vertical="top" wrapText="1"/>
    </xf>
    <xf numFmtId="0" fontId="20" fillId="0" borderId="4" applyAlignment="1" pivotButton="0" quotePrefix="0" xfId="0">
      <alignment vertical="top" wrapText="1"/>
    </xf>
    <xf numFmtId="1" fontId="20" fillId="0" borderId="5" applyAlignment="1" pivotButton="0" quotePrefix="0" xfId="0">
      <alignment vertical="top" wrapText="1"/>
    </xf>
    <xf numFmtId="0" fontId="20" fillId="0" borderId="5" applyAlignment="1" pivotButton="0" quotePrefix="0" xfId="0">
      <alignment vertical="top" wrapText="1"/>
    </xf>
    <xf numFmtId="0" fontId="20" fillId="0" borderId="3" applyAlignment="1" pivotButton="0" quotePrefix="0" xfId="0">
      <alignment vertical="top" wrapText="1"/>
    </xf>
    <xf numFmtId="0" fontId="16" fillId="15" borderId="0" pivotButton="0" quotePrefix="0" xfId="0"/>
    <xf numFmtId="0" fontId="16" fillId="17" borderId="4" applyAlignment="1" pivotButton="0" quotePrefix="0" xfId="0">
      <alignment vertical="top" wrapText="1"/>
    </xf>
    <xf numFmtId="1" fontId="16" fillId="17" borderId="5" applyAlignment="1" pivotButton="0" quotePrefix="0" xfId="0">
      <alignment vertical="top" wrapText="1"/>
    </xf>
    <xf numFmtId="0" fontId="16" fillId="17" borderId="5" applyAlignment="1" pivotButton="0" quotePrefix="0" xfId="0">
      <alignment vertical="top" wrapText="1"/>
    </xf>
    <xf numFmtId="0" fontId="16" fillId="17" borderId="3" applyAlignment="1" pivotButton="0" quotePrefix="0" xfId="0">
      <alignment vertical="top" wrapText="1"/>
    </xf>
    <xf numFmtId="0" fontId="13" fillId="16" borderId="0" applyAlignment="1" pivotButton="0" quotePrefix="0" xfId="0">
      <alignment horizontal="center" vertical="center"/>
    </xf>
    <xf numFmtId="0" fontId="0" fillId="0" borderId="0" applyAlignment="1" pivotButton="0" quotePrefix="0" xfId="0">
      <alignment vertical="top" wrapText="1"/>
    </xf>
    <xf numFmtId="0" fontId="0" fillId="0" borderId="0" applyAlignment="1" pivotButton="0" quotePrefix="0" xfId="0">
      <alignment horizontal="center" vertical="top" wrapText="1"/>
    </xf>
    <xf numFmtId="0" fontId="0" fillId="0" borderId="0" pivotButton="0" quotePrefix="0" xfId="0"/>
    <xf numFmtId="9" fontId="0" fillId="0" borderId="0" applyAlignment="1" pivotButton="0" quotePrefix="0" xfId="0">
      <alignment horizontal="center" vertical="top" wrapText="1"/>
    </xf>
    <xf numFmtId="0" fontId="24" fillId="4" borderId="0" applyAlignment="1" pivotButton="0" quotePrefix="0" xfId="0">
      <alignment horizontal="center" vertical="center"/>
    </xf>
    <xf numFmtId="0" fontId="25" fillId="19" borderId="0" applyAlignment="1" pivotButton="0" quotePrefix="0" xfId="0">
      <alignment horizontal="left" vertical="center"/>
    </xf>
    <xf numFmtId="0" fontId="4" fillId="5" borderId="0" applyAlignment="1" pivotButton="0" quotePrefix="0" xfId="0">
      <alignment horizontal="center" vertical="center"/>
    </xf>
    <xf numFmtId="0" fontId="0" fillId="2" borderId="1" pivotButton="0" quotePrefix="0" xfId="0"/>
    <xf numFmtId="0" fontId="3" fillId="2" borderId="1" pivotButton="0" quotePrefix="0" xfId="0"/>
    <xf numFmtId="0" fontId="8" fillId="11" borderId="13" applyAlignment="1" pivotButton="0" quotePrefix="0" xfId="0">
      <alignment horizontal="left" vertical="center"/>
    </xf>
    <xf numFmtId="0" fontId="0" fillId="0" borderId="15" pivotButton="0" quotePrefix="0" xfId="0"/>
    <xf numFmtId="0" fontId="0" fillId="0" borderId="16" pivotButton="0" quotePrefix="0" xfId="0"/>
    <xf numFmtId="0" fontId="7" fillId="10" borderId="13" applyAlignment="1" pivotButton="0" quotePrefix="0" xfId="0">
      <alignment horizontal="center" vertical="center"/>
    </xf>
    <xf numFmtId="0" fontId="17" fillId="16" borderId="8" applyAlignment="1" pivotButton="0" quotePrefix="0" xfId="0">
      <alignment horizontal="center" vertical="center"/>
    </xf>
    <xf numFmtId="0" fontId="0" fillId="0" borderId="17" pivotButton="0" quotePrefix="0" xfId="0"/>
    <xf numFmtId="0" fontId="0" fillId="0" borderId="8" pivotButton="0" quotePrefix="0" xfId="0"/>
    <xf numFmtId="0" fontId="19" fillId="0" borderId="1" applyAlignment="1" pivotButton="0" quotePrefix="0" xfId="0">
      <alignment horizontal="center" vertical="center"/>
    </xf>
    <xf numFmtId="0" fontId="0" fillId="0" borderId="18" pivotButton="0" quotePrefix="0" xfId="0"/>
    <xf numFmtId="0" fontId="0" fillId="0" borderId="9" pivotButton="0" quotePrefix="0" xfId="0"/>
    <xf numFmtId="0" fontId="17" fillId="16" borderId="0" applyAlignment="1" pivotButton="0" quotePrefix="0" xfId="0">
      <alignment horizontal="center" vertical="center"/>
    </xf>
    <xf numFmtId="0" fontId="19" fillId="0" borderId="0" applyAlignment="1" pivotButton="0" quotePrefix="0" xfId="0">
      <alignment horizontal="center" vertical="center"/>
    </xf>
    <xf numFmtId="0" fontId="4" fillId="5" borderId="19" applyAlignment="1" pivotButton="0" quotePrefix="0" xfId="0">
      <alignment horizontal="center" vertical="center"/>
    </xf>
    <xf numFmtId="0" fontId="0" fillId="0" borderId="21" pivotButton="0" quotePrefix="0" xfId="0"/>
    <xf numFmtId="0" fontId="0" fillId="0" borderId="19" pivotButton="0" quotePrefix="0" xfId="0"/>
    <xf numFmtId="0" fontId="25" fillId="19" borderId="19" applyAlignment="1" pivotButton="0" quotePrefix="0" xfId="0">
      <alignment horizontal="left" vertical="center"/>
    </xf>
    <xf numFmtId="0" fontId="13" fillId="16" borderId="0" applyAlignment="1" pivotButton="0" quotePrefix="0" xfId="0">
      <alignment horizontal="center" vertical="center"/>
    </xf>
    <xf numFmtId="0" fontId="14" fillId="9" borderId="27" applyAlignment="1" pivotButton="0" quotePrefix="0" xfId="0">
      <alignment horizontal="center" vertical="center" wrapText="1"/>
    </xf>
    <xf numFmtId="9" fontId="14" fillId="9" borderId="27" applyAlignment="1" pivotButton="0" quotePrefix="0" xfId="0">
      <alignment horizontal="center" vertical="center" wrapText="1"/>
    </xf>
    <xf numFmtId="0" fontId="9" fillId="11" borderId="28" applyAlignment="1" pivotButton="0" quotePrefix="0" xfId="0">
      <alignment horizontal="left" vertical="center"/>
    </xf>
    <xf numFmtId="0" fontId="22" fillId="10" borderId="28" applyAlignment="1" pivotButton="0" quotePrefix="0" xfId="0">
      <alignment horizontal="center" vertical="center"/>
    </xf>
    <xf numFmtId="0" fontId="9" fillId="11" borderId="28" applyAlignment="1" pivotButton="0" quotePrefix="0" xfId="0">
      <alignment horizontal="left" vertical="top" wrapText="1"/>
    </xf>
    <xf numFmtId="0" fontId="9" fillId="11" borderId="28" applyAlignment="1" pivotButton="0" quotePrefix="0" xfId="0">
      <alignment horizontal="center" vertical="center"/>
    </xf>
    <xf numFmtId="9" fontId="9" fillId="11" borderId="28" applyAlignment="1" pivotButton="0" quotePrefix="0" xfId="0">
      <alignment horizontal="center" vertical="center"/>
    </xf>
    <xf numFmtId="0" fontId="9" fillId="13" borderId="28" applyAlignment="1" pivotButton="0" quotePrefix="0" xfId="0">
      <alignment horizontal="left" vertical="center"/>
    </xf>
    <xf numFmtId="0" fontId="9" fillId="13" borderId="28" applyAlignment="1" pivotButton="0" quotePrefix="0" xfId="0">
      <alignment horizontal="left" vertical="top" wrapText="1"/>
    </xf>
    <xf numFmtId="0" fontId="9" fillId="13" borderId="28" applyAlignment="1" pivotButton="0" quotePrefix="0" xfId="0">
      <alignment horizontal="center" vertical="center"/>
    </xf>
    <xf numFmtId="9" fontId="9" fillId="13" borderId="28" applyAlignment="1" pivotButton="0" quotePrefix="0" xfId="0">
      <alignment horizontal="center" vertical="center"/>
    </xf>
    <xf numFmtId="0" fontId="26" fillId="11" borderId="29" applyAlignment="1" pivotButton="0" quotePrefix="0" xfId="0">
      <alignment horizontal="left" vertical="center" wrapText="1"/>
    </xf>
    <xf numFmtId="0" fontId="26" fillId="11" borderId="29" applyAlignment="1" pivotButton="0" quotePrefix="0" xfId="0">
      <alignment horizontal="left" vertical="top" wrapText="1"/>
    </xf>
    <xf numFmtId="0" fontId="26" fillId="11" borderId="29" applyAlignment="1" pivotButton="0" quotePrefix="0" xfId="0">
      <alignment horizontal="center" vertical="center"/>
    </xf>
    <xf numFmtId="9" fontId="26" fillId="11" borderId="29" applyAlignment="1" pivotButton="0" quotePrefix="0" xfId="0">
      <alignment horizontal="center" vertical="center"/>
    </xf>
    <xf numFmtId="0" fontId="26" fillId="13" borderId="29" applyAlignment="1" pivotButton="0" quotePrefix="0" xfId="0">
      <alignment horizontal="left" vertical="center" wrapText="1"/>
    </xf>
    <xf numFmtId="0" fontId="26" fillId="13" borderId="29" applyAlignment="1" pivotButton="0" quotePrefix="0" xfId="0">
      <alignment horizontal="left" vertical="top" wrapText="1"/>
    </xf>
    <xf numFmtId="0" fontId="26" fillId="13" borderId="29" applyAlignment="1" pivotButton="0" quotePrefix="0" xfId="0">
      <alignment horizontal="center" vertical="center"/>
    </xf>
    <xf numFmtId="9" fontId="26" fillId="13" borderId="29" applyAlignment="1" pivotButton="0" quotePrefix="0" xfId="0">
      <alignment horizontal="center" vertical="center"/>
    </xf>
    <xf numFmtId="0" fontId="11" fillId="12" borderId="28" applyAlignment="1" pivotButton="0" quotePrefix="0" xfId="0">
      <alignment horizontal="center" vertical="center"/>
    </xf>
    <xf numFmtId="0" fontId="9" fillId="20" borderId="0" applyAlignment="1" pivotButton="0" quotePrefix="0" xfId="0">
      <alignment horizontal="left" vertical="center"/>
    </xf>
    <xf numFmtId="0" fontId="23" fillId="20" borderId="0" applyAlignment="1" pivotButton="0" quotePrefix="0" xfId="0">
      <alignment horizontal="left" vertical="center"/>
    </xf>
    <xf numFmtId="0" fontId="25" fillId="9" borderId="27" applyAlignment="1" pivotButton="0" quotePrefix="0" xfId="0">
      <alignment horizontal="center" vertical="center" wrapText="1"/>
    </xf>
    <xf numFmtId="0" fontId="8" fillId="11" borderId="28" applyAlignment="1" pivotButton="0" quotePrefix="0" xfId="0">
      <alignment horizontal="left" vertical="center"/>
    </xf>
    <xf numFmtId="0" fontId="8" fillId="12" borderId="29" applyAlignment="1" pivotButton="0" quotePrefix="0" xfId="0">
      <alignment horizontal="center" vertical="center"/>
    </xf>
    <xf numFmtId="0" fontId="8" fillId="12" borderId="29" applyAlignment="1" pivotButton="0" quotePrefix="0" xfId="0">
      <alignment horizontal="left" vertical="center" wrapText="1"/>
    </xf>
    <xf numFmtId="0" fontId="8" fillId="12" borderId="29" applyAlignment="1" pivotButton="0" quotePrefix="0" xfId="0">
      <alignment horizontal="left" vertical="center"/>
    </xf>
    <xf numFmtId="0" fontId="9" fillId="13" borderId="29" applyAlignment="1" pivotButton="0" quotePrefix="0" xfId="0">
      <alignment horizontal="left" vertical="top" wrapText="1"/>
    </xf>
    <xf numFmtId="0" fontId="9" fillId="13" borderId="29" applyAlignment="1" pivotButton="0" quotePrefix="0" xfId="0">
      <alignment horizontal="center" vertical="center"/>
    </xf>
    <xf numFmtId="0" fontId="10" fillId="13" borderId="29" applyAlignment="1" pivotButton="0" quotePrefix="0" xfId="0">
      <alignment horizontal="center" vertical="center"/>
    </xf>
    <xf numFmtId="0" fontId="9" fillId="14" borderId="29" applyAlignment="1" pivotButton="0" quotePrefix="0" xfId="0">
      <alignment horizontal="left" vertical="top" wrapText="1"/>
    </xf>
    <xf numFmtId="0" fontId="9" fillId="14" borderId="29" applyAlignment="1" pivotButton="0" quotePrefix="0" xfId="0">
      <alignment horizontal="center" vertical="center"/>
    </xf>
    <xf numFmtId="0" fontId="10" fillId="14" borderId="29" applyAlignment="1" pivotButton="0" quotePrefix="0" xfId="0">
      <alignment horizontal="center" vertical="center"/>
    </xf>
    <xf numFmtId="0" fontId="11" fillId="15" borderId="29" applyAlignment="1" pivotButton="0" quotePrefix="0" xfId="0">
      <alignment horizontal="center" vertical="center"/>
    </xf>
    <xf numFmtId="0" fontId="9" fillId="15" borderId="29" pivotButton="0" quotePrefix="0" xfId="0"/>
    <xf numFmtId="0" fontId="8" fillId="10" borderId="29" applyAlignment="1" pivotButton="0" quotePrefix="0" xfId="0">
      <alignment horizontal="center" vertical="center"/>
    </xf>
    <xf numFmtId="0" fontId="8" fillId="10" borderId="29" applyAlignment="1" pivotButton="0" quotePrefix="0" xfId="0">
      <alignment horizontal="left" vertical="center" wrapText="1"/>
    </xf>
    <xf numFmtId="0" fontId="8" fillId="10" borderId="29" applyAlignment="1" pivotButton="0" quotePrefix="0" xfId="0">
      <alignment horizontal="left" vertical="center"/>
    </xf>
    <xf numFmtId="0" fontId="12" fillId="13" borderId="29" applyAlignment="1" pivotButton="0" quotePrefix="0" xfId="0">
      <alignment horizontal="center" vertical="center"/>
    </xf>
    <xf numFmtId="0" fontId="12" fillId="14" borderId="29" applyAlignment="1" pivotButton="0" quotePrefix="0" xfId="0">
      <alignment horizontal="center" vertical="center"/>
    </xf>
    <xf numFmtId="0" fontId="29" fillId="16" borderId="27" applyAlignment="1" pivotButton="0" quotePrefix="0" xfId="0">
      <alignment horizontal="center" vertical="center"/>
    </xf>
    <xf numFmtId="0" fontId="0" fillId="0" borderId="32" pivotButton="0" quotePrefix="0" xfId="0"/>
    <xf numFmtId="0" fontId="0" fillId="0" borderId="33" pivotButton="0" quotePrefix="0" xfId="0"/>
    <xf numFmtId="0" fontId="29" fillId="9" borderId="13" applyAlignment="1" pivotButton="0" quotePrefix="0" xfId="0">
      <alignment horizontal="center" vertical="center"/>
    </xf>
    <xf numFmtId="0" fontId="29" fillId="9" borderId="16" applyAlignment="1" pivotButton="0" quotePrefix="0" xfId="0">
      <alignment horizontal="center" vertical="center"/>
    </xf>
    <xf numFmtId="0" fontId="29" fillId="9" borderId="15" applyAlignment="1" pivotButton="0" quotePrefix="0" xfId="0">
      <alignment horizontal="center" vertical="center"/>
    </xf>
    <xf numFmtId="0" fontId="30" fillId="13" borderId="29" applyAlignment="1" pivotButton="0" quotePrefix="0" xfId="0">
      <alignment horizontal="left" vertical="top" wrapText="1"/>
    </xf>
    <xf numFmtId="0" fontId="30" fillId="14" borderId="29" applyAlignment="1" pivotButton="0" quotePrefix="0" xfId="0">
      <alignment horizontal="left" vertical="top" wrapText="1"/>
    </xf>
    <xf numFmtId="0" fontId="31" fillId="12" borderId="29" applyAlignment="1" pivotButton="0" quotePrefix="0" xfId="0">
      <alignment horizontal="center" vertical="center"/>
    </xf>
    <xf numFmtId="0" fontId="31" fillId="12" borderId="29" applyAlignment="1" pivotButton="0" quotePrefix="0" xfId="0">
      <alignment horizontal="left" vertical="center" wrapText="1"/>
    </xf>
    <xf numFmtId="0" fontId="31" fillId="12" borderId="29" applyAlignment="1" pivotButton="0" quotePrefix="0" xfId="0">
      <alignment horizontal="left" vertical="center"/>
    </xf>
    <xf numFmtId="0" fontId="31" fillId="12" borderId="29" applyAlignment="1" pivotButton="0" quotePrefix="0" xfId="0">
      <alignment horizontal="left" vertical="top" wrapText="1"/>
    </xf>
    <xf numFmtId="0" fontId="30" fillId="10" borderId="29" applyAlignment="1" pivotButton="0" quotePrefix="0" xfId="0">
      <alignment horizontal="left" vertical="top" wrapText="1"/>
    </xf>
    <xf numFmtId="0" fontId="31" fillId="15" borderId="29" applyAlignment="1" pivotButton="0" quotePrefix="0" xfId="0">
      <alignment horizontal="left" vertical="top" wrapText="1"/>
    </xf>
    <xf numFmtId="0" fontId="31" fillId="17" borderId="29" applyAlignment="1" pivotButton="0" quotePrefix="0" xfId="0">
      <alignment horizontal="left" vertical="top" wrapText="1"/>
    </xf>
    <xf numFmtId="0" fontId="31" fillId="12" borderId="0" applyAlignment="1" pivotButton="0" quotePrefix="0" xfId="0">
      <alignment horizontal="left" vertical="top" wrapText="1"/>
    </xf>
    <xf numFmtId="0" fontId="30" fillId="0" borderId="0" applyAlignment="1" pivotButton="0" quotePrefix="0" xfId="0">
      <alignment horizontal="left" vertical="top" wrapText="1"/>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worksheet" Target="/xl/worksheets/sheet51.xml" Id="rId51"/><Relationship Type="http://schemas.openxmlformats.org/officeDocument/2006/relationships/worksheet" Target="/xl/worksheets/sheet52.xml" Id="rId52"/><Relationship Type="http://schemas.openxmlformats.org/officeDocument/2006/relationships/worksheet" Target="/xl/worksheets/sheet53.xml" Id="rId53"/><Relationship Type="http://schemas.openxmlformats.org/officeDocument/2006/relationships/worksheet" Target="/xl/worksheets/sheet54.xml" Id="rId54"/><Relationship Type="http://schemas.openxmlformats.org/officeDocument/2006/relationships/worksheet" Target="/xl/worksheets/sheet55.xml" Id="rId55"/><Relationship Type="http://schemas.openxmlformats.org/officeDocument/2006/relationships/worksheet" Target="/xl/worksheets/sheet56.xml" Id="rId56"/><Relationship Type="http://schemas.openxmlformats.org/officeDocument/2006/relationships/worksheet" Target="/xl/worksheets/sheet57.xml" Id="rId57"/><Relationship Type="http://schemas.openxmlformats.org/officeDocument/2006/relationships/worksheet" Target="/xl/worksheets/sheet58.xml" Id="rId58"/><Relationship Type="http://schemas.openxmlformats.org/officeDocument/2006/relationships/worksheet" Target="/xl/worksheets/sheet59.xml" Id="rId59"/><Relationship Type="http://schemas.openxmlformats.org/officeDocument/2006/relationships/worksheet" Target="/xl/worksheets/sheet60.xml" Id="rId60"/><Relationship Type="http://schemas.openxmlformats.org/officeDocument/2006/relationships/worksheet" Target="/xl/worksheets/sheet61.xml" Id="rId61"/><Relationship Type="http://schemas.openxmlformats.org/officeDocument/2006/relationships/worksheet" Target="/xl/worksheets/sheet62.xml" Id="rId62"/><Relationship Type="http://schemas.openxmlformats.org/officeDocument/2006/relationships/worksheet" Target="/xl/worksheets/sheet63.xml" Id="rId63"/><Relationship Type="http://schemas.openxmlformats.org/officeDocument/2006/relationships/worksheet" Target="/xl/worksheets/sheet64.xml" Id="rId64"/><Relationship Type="http://schemas.openxmlformats.org/officeDocument/2006/relationships/worksheet" Target="/xl/worksheets/sheet65.xml" Id="rId65"/><Relationship Type="http://schemas.openxmlformats.org/officeDocument/2006/relationships/worksheet" Target="/xl/worksheets/sheet66.xml" Id="rId66"/><Relationship Type="http://schemas.openxmlformats.org/officeDocument/2006/relationships/worksheet" Target="/xl/worksheets/sheet67.xml" Id="rId67"/><Relationship Type="http://schemas.openxmlformats.org/officeDocument/2006/relationships/worksheet" Target="/xl/worksheets/sheet68.xml" Id="rId68"/><Relationship Type="http://schemas.openxmlformats.org/officeDocument/2006/relationships/worksheet" Target="/xl/worksheets/sheet69.xml" Id="rId69"/><Relationship Type="http://schemas.openxmlformats.org/officeDocument/2006/relationships/worksheet" Target="/xl/worksheets/sheet70.xml" Id="rId70"/><Relationship Type="http://schemas.openxmlformats.org/officeDocument/2006/relationships/worksheet" Target="/xl/worksheets/sheet71.xml" Id="rId71"/><Relationship Type="http://schemas.openxmlformats.org/officeDocument/2006/relationships/worksheet" Target="/xl/worksheets/sheet72.xml" Id="rId72"/><Relationship Type="http://schemas.openxmlformats.org/officeDocument/2006/relationships/worksheet" Target="/xl/worksheets/sheet73.xml" Id="rId73"/><Relationship Type="http://schemas.openxmlformats.org/officeDocument/2006/relationships/worksheet" Target="/xl/worksheets/sheet74.xml" Id="rId74"/><Relationship Type="http://schemas.openxmlformats.org/officeDocument/2006/relationships/worksheet" Target="/xl/worksheets/sheet75.xml" Id="rId75"/><Relationship Type="http://schemas.openxmlformats.org/officeDocument/2006/relationships/worksheet" Target="/xl/worksheets/sheet76.xml" Id="rId76"/><Relationship Type="http://schemas.openxmlformats.org/officeDocument/2006/relationships/worksheet" Target="/xl/worksheets/sheet77.xml" Id="rId77"/><Relationship Type="http://schemas.openxmlformats.org/officeDocument/2006/relationships/worksheet" Target="/xl/worksheets/sheet78.xml" Id="rId78"/><Relationship Type="http://schemas.openxmlformats.org/officeDocument/2006/relationships/worksheet" Target="/xl/worksheets/sheet79.xml" Id="rId79"/><Relationship Type="http://schemas.openxmlformats.org/officeDocument/2006/relationships/worksheet" Target="/xl/worksheets/sheet80.xml" Id="rId80"/><Relationship Type="http://schemas.openxmlformats.org/officeDocument/2006/relationships/worksheet" Target="/xl/worksheets/sheet81.xml" Id="rId81"/><Relationship Type="http://schemas.openxmlformats.org/officeDocument/2006/relationships/worksheet" Target="/xl/worksheets/sheet82.xml" Id="rId82"/><Relationship Type="http://schemas.openxmlformats.org/officeDocument/2006/relationships/worksheet" Target="/xl/worksheets/sheet83.xml" Id="rId83"/><Relationship Type="http://schemas.openxmlformats.org/officeDocument/2006/relationships/worksheet" Target="/xl/worksheets/sheet84.xml" Id="rId84"/><Relationship Type="http://schemas.openxmlformats.org/officeDocument/2006/relationships/worksheet" Target="/xl/worksheets/sheet85.xml" Id="rId85"/><Relationship Type="http://schemas.openxmlformats.org/officeDocument/2006/relationships/worksheet" Target="/xl/worksheets/sheet86.xml" Id="rId86"/><Relationship Type="http://schemas.openxmlformats.org/officeDocument/2006/relationships/worksheet" Target="/xl/worksheets/sheet87.xml" Id="rId87"/><Relationship Type="http://schemas.openxmlformats.org/officeDocument/2006/relationships/worksheet" Target="/xl/worksheets/sheet88.xml" Id="rId88"/><Relationship Type="http://schemas.openxmlformats.org/officeDocument/2006/relationships/worksheet" Target="/xl/worksheets/sheet89.xml" Id="rId89"/><Relationship Type="http://schemas.openxmlformats.org/officeDocument/2006/relationships/worksheet" Target="/xl/worksheets/sheet90.xml" Id="rId90"/><Relationship Type="http://schemas.openxmlformats.org/officeDocument/2006/relationships/worksheet" Target="/xl/worksheets/sheet91.xml" Id="rId91"/><Relationship Type="http://schemas.openxmlformats.org/officeDocument/2006/relationships/worksheet" Target="/xl/worksheets/sheet92.xml" Id="rId92"/><Relationship Type="http://schemas.openxmlformats.org/officeDocument/2006/relationships/worksheet" Target="/xl/worksheets/sheet93.xml" Id="rId93"/><Relationship Type="http://schemas.openxmlformats.org/officeDocument/2006/relationships/worksheet" Target="/xl/worksheets/sheet94.xml" Id="rId94"/><Relationship Type="http://schemas.openxmlformats.org/officeDocument/2006/relationships/worksheet" Target="/xl/worksheets/sheet95.xml" Id="rId95"/><Relationship Type="http://schemas.openxmlformats.org/officeDocument/2006/relationships/worksheet" Target="/xl/worksheets/sheet96.xml" Id="rId96"/><Relationship Type="http://schemas.openxmlformats.org/officeDocument/2006/relationships/worksheet" Target="/xl/worksheets/sheet97.xml" Id="rId97"/><Relationship Type="http://schemas.openxmlformats.org/officeDocument/2006/relationships/worksheet" Target="/xl/worksheets/sheet98.xml" Id="rId98"/><Relationship Type="http://schemas.openxmlformats.org/officeDocument/2006/relationships/worksheet" Target="/xl/worksheets/sheet99.xml" Id="rId99"/><Relationship Type="http://schemas.openxmlformats.org/officeDocument/2006/relationships/worksheet" Target="/xl/worksheets/sheet100.xml" Id="rId100"/><Relationship Type="http://schemas.openxmlformats.org/officeDocument/2006/relationships/worksheet" Target="/xl/worksheets/sheet101.xml" Id="rId101"/><Relationship Type="http://schemas.openxmlformats.org/officeDocument/2006/relationships/worksheet" Target="/xl/worksheets/sheet102.xml" Id="rId102"/><Relationship Type="http://schemas.openxmlformats.org/officeDocument/2006/relationships/worksheet" Target="/xl/worksheets/sheet103.xml" Id="rId103"/><Relationship Type="http://schemas.openxmlformats.org/officeDocument/2006/relationships/worksheet" Target="/xl/worksheets/sheet104.xml" Id="rId104"/><Relationship Type="http://schemas.openxmlformats.org/officeDocument/2006/relationships/worksheet" Target="/xl/worksheets/sheet105.xml" Id="rId105"/><Relationship Type="http://schemas.openxmlformats.org/officeDocument/2006/relationships/worksheet" Target="/xl/worksheets/sheet106.xml" Id="rId106"/><Relationship Type="http://schemas.openxmlformats.org/officeDocument/2006/relationships/worksheet" Target="/xl/worksheets/sheet107.xml" Id="rId107"/><Relationship Type="http://schemas.openxmlformats.org/officeDocument/2006/relationships/worksheet" Target="/xl/worksheets/sheet108.xml" Id="rId108"/><Relationship Type="http://schemas.openxmlformats.org/officeDocument/2006/relationships/worksheet" Target="/xl/worksheets/sheet109.xml" Id="rId109"/><Relationship Type="http://schemas.openxmlformats.org/officeDocument/2006/relationships/worksheet" Target="/xl/worksheets/sheet110.xml" Id="rId110"/><Relationship Type="http://schemas.openxmlformats.org/officeDocument/2006/relationships/worksheet" Target="/xl/worksheets/sheet111.xml" Id="rId111"/><Relationship Type="http://schemas.openxmlformats.org/officeDocument/2006/relationships/worksheet" Target="/xl/worksheets/sheet112.xml" Id="rId112"/><Relationship Type="http://schemas.openxmlformats.org/officeDocument/2006/relationships/worksheet" Target="/xl/worksheets/sheet113.xml" Id="rId113"/><Relationship Type="http://schemas.openxmlformats.org/officeDocument/2006/relationships/worksheet" Target="/xl/worksheets/sheet114.xml" Id="rId114"/><Relationship Type="http://schemas.openxmlformats.org/officeDocument/2006/relationships/worksheet" Target="/xl/worksheets/sheet115.xml" Id="rId115"/><Relationship Type="http://schemas.openxmlformats.org/officeDocument/2006/relationships/worksheet" Target="/xl/worksheets/sheet116.xml" Id="rId116"/><Relationship Type="http://schemas.openxmlformats.org/officeDocument/2006/relationships/worksheet" Target="/xl/worksheets/sheet117.xml" Id="rId117"/><Relationship Type="http://schemas.openxmlformats.org/officeDocument/2006/relationships/worksheet" Target="/xl/worksheets/sheet118.xml" Id="rId118"/><Relationship Type="http://schemas.openxmlformats.org/officeDocument/2006/relationships/worksheet" Target="/xl/worksheets/sheet119.xml" Id="rId119"/><Relationship Type="http://schemas.openxmlformats.org/officeDocument/2006/relationships/worksheet" Target="/xl/worksheets/sheet120.xml" Id="rId120"/><Relationship Type="http://schemas.openxmlformats.org/officeDocument/2006/relationships/worksheet" Target="/xl/worksheets/sheet121.xml" Id="rId121"/><Relationship Type="http://schemas.openxmlformats.org/officeDocument/2006/relationships/worksheet" Target="/xl/worksheets/sheet122.xml" Id="rId122"/><Relationship Type="http://schemas.openxmlformats.org/officeDocument/2006/relationships/worksheet" Target="/xl/worksheets/sheet123.xml" Id="rId123"/><Relationship Type="http://schemas.openxmlformats.org/officeDocument/2006/relationships/worksheet" Target="/xl/worksheets/sheet124.xml" Id="rId124"/><Relationship Type="http://schemas.openxmlformats.org/officeDocument/2006/relationships/worksheet" Target="/xl/worksheets/sheet125.xml" Id="rId125"/><Relationship Type="http://schemas.openxmlformats.org/officeDocument/2006/relationships/worksheet" Target="/xl/worksheets/sheet126.xml" Id="rId126"/><Relationship Type="http://schemas.openxmlformats.org/officeDocument/2006/relationships/worksheet" Target="/xl/worksheets/sheet127.xml" Id="rId127"/><Relationship Type="http://schemas.openxmlformats.org/officeDocument/2006/relationships/worksheet" Target="/xl/worksheets/sheet128.xml" Id="rId128"/><Relationship Type="http://schemas.openxmlformats.org/officeDocument/2006/relationships/worksheet" Target="/xl/worksheets/sheet129.xml" Id="rId129"/><Relationship Type="http://schemas.openxmlformats.org/officeDocument/2006/relationships/styles" Target="styles.xml" Id="rId130"/><Relationship Type="http://schemas.openxmlformats.org/officeDocument/2006/relationships/theme" Target="theme/theme1.xml" Id="rId131"/><Relationship Type="http://schemas.microsoft.com/office/2006/relationships/vbaProject" Target="vbaProject.bin" Id="rId132"/></Relationships>
</file>

<file path=xl/ctrlProps/ctrlProp1.xml><?xml version="1.0" encoding="utf-8"?>
<formControlPr xmlns="http://schemas.microsoft.com/office/spreadsheetml/2009/9/main" objectType="Button" lockText="1"/>
</file>

<file path=xl/tables/table1.xml><?xml version="1.0" encoding="utf-8"?>
<table xmlns="http://schemas.openxmlformats.org/spreadsheetml/2006/main" id="1" name="TableHome" displayName="TableHome" ref="B2:N125" headerRowCount="1">
  <autoFilter ref="B2:N125"/>
  <tableColumns count="13">
    <tableColumn id="2" name="Category"/>
    <tableColumn id="3" name="Conformance Unit"/>
    <tableColumn id="4" name="Navigation"/>
    <tableColumn id="5" name="Description"/>
    <tableColumn id="6" name="Owner"/>
    <tableColumn id="7" name="PRI"/>
    <tableColumn id="8" name="# Test Cases"/>
    <tableColumn id="9" name="# CTT"/>
    <tableColumn id="10" name="# Lab"/>
    <tableColumn id="11" name="# Reviewed"/>
    <tableColumn id="12" name="# Remain"/>
    <tableColumn id="13" name="% Complete"/>
    <tableColumn id="14" name="% Completio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1F497D"/>
    <outlinePr summaryBelow="1" summaryRight="1"/>
    <pageSetUpPr/>
  </sheetPr>
  <dimension ref="A1:N136"/>
  <sheetViews>
    <sheetView zoomScaleNormal="100" workbookViewId="0">
      <pane ySplit="2" topLeftCell="A3" activePane="bottomLeft" state="frozen"/>
      <selection pane="bottomLeft" activeCell="J3" sqref="J3"/>
    </sheetView>
  </sheetViews>
  <sheetFormatPr baseColWidth="8" defaultColWidth="0" defaultRowHeight="0" customHeight="1" zeroHeight="1"/>
  <cols>
    <col width="5" bestFit="1" customWidth="1" style="4" min="1" max="1"/>
    <col width="10" customWidth="1" style="130" min="2" max="2"/>
    <col width="40" customWidth="1" style="130" min="3" max="3"/>
    <col width="38" customWidth="1" style="130" min="4" max="4"/>
    <col width="55" customWidth="1" style="131" min="5" max="5"/>
    <col width="12" customWidth="1" style="131" min="6" max="6"/>
    <col width="6" customWidth="1" style="131" min="7" max="7"/>
    <col width="12" customWidth="1" style="131" min="8" max="8"/>
    <col width="10" customWidth="1" style="131" min="9" max="9"/>
    <col width="10" bestFit="1" customWidth="1" style="131" min="10" max="10"/>
    <col width="12" customWidth="1" style="131" min="11" max="11"/>
    <col width="10" customWidth="1" style="132" min="12" max="12"/>
    <col width="12" bestFit="1" customWidth="1" style="133" min="13" max="13"/>
    <col hidden="1" width="12" customWidth="1" style="130" min="14" max="14"/>
    <col hidden="1" width="13" customWidth="1" style="130" min="15" max="19"/>
    <col hidden="1" width="9.15625" customWidth="1" style="130" min="20" max="20"/>
    <col hidden="1" width="13" customWidth="1" style="130" min="21" max="23"/>
    <col hidden="1" width="9.15625" customWidth="1" style="130" min="24" max="24"/>
    <col hidden="1" width="9.15625" customWidth="1" style="130" min="25" max="16384"/>
  </cols>
  <sheetData>
    <row r="1" ht="36" customHeight="1" s="132">
      <c r="A1" s="155" t="inlineStr">
        <is>
          <t>Project Progress: IJT OPC UA for Joining Systems – OPC 40450-1 (Server)</t>
        </is>
      </c>
    </row>
    <row r="2" ht="36" customHeight="1" s="132">
      <c r="A2" s="156" t="inlineStr">
        <is>
          <t>#</t>
        </is>
      </c>
      <c r="B2" s="156" t="inlineStr">
        <is>
          <t>Category</t>
        </is>
      </c>
      <c r="C2" s="156" t="inlineStr">
        <is>
          <t>Conformance Unit</t>
        </is>
      </c>
      <c r="D2" s="156" t="inlineStr">
        <is>
          <t>Navigation</t>
        </is>
      </c>
      <c r="E2" s="156" t="inlineStr">
        <is>
          <t>Description</t>
        </is>
      </c>
      <c r="F2" s="156" t="inlineStr">
        <is>
          <t>Owner</t>
        </is>
      </c>
      <c r="G2" s="156" t="inlineStr">
        <is>
          <t>PRI</t>
        </is>
      </c>
      <c r="H2" s="156" t="inlineStr">
        <is>
          <t># Test Cases</t>
        </is>
      </c>
      <c r="I2" s="156" t="inlineStr">
        <is>
          <t># CTT</t>
        </is>
      </c>
      <c r="J2" s="156" t="inlineStr">
        <is>
          <t># Lab</t>
        </is>
      </c>
      <c r="K2" s="156" t="inlineStr">
        <is>
          <t># Reviewed</t>
        </is>
      </c>
      <c r="L2" s="156" t="inlineStr">
        <is>
          <t># Remain</t>
        </is>
      </c>
      <c r="M2" s="157" t="inlineStr">
        <is>
          <t>% Complete</t>
        </is>
      </c>
      <c r="N2" s="156" t="inlineStr">
        <is>
          <t>% Completion</t>
        </is>
      </c>
    </row>
    <row r="3" ht="52" customFormat="1" customHeight="1" s="3">
      <c r="A3" s="158" t="n">
        <v>1</v>
      </c>
      <c r="B3" s="158" t="inlineStr">
        <is>
          <t>Server</t>
        </is>
      </c>
      <c r="C3" s="158" t="inlineStr">
        <is>
          <t>IJT Joining System Base</t>
        </is>
      </c>
      <c r="D3" s="159">
        <f>HYPERLINK("#'Joining System Base'!A1","▶ Joining System Base")</f>
        <v/>
      </c>
      <c r="E3" s="160" t="inlineStr">
        <is>
          <t>Server implements at least one instance of JoiningSystemType.</t>
        </is>
      </c>
      <c r="F3" s="158" t="n"/>
      <c r="G3" s="158" t="n">
        <v>1</v>
      </c>
      <c r="H3" s="161">
        <f>COUNT('Joining System Base'!B:B)</f>
        <v/>
      </c>
      <c r="I3" s="161">
        <f>COUNTIF('Joining System Base'!A:A,"y")</f>
        <v/>
      </c>
      <c r="J3" s="161">
        <f>COUNTIF('Joining System Base'!A:A,"n")</f>
        <v/>
      </c>
      <c r="K3" s="161">
        <f>COUNTIF('Joining System Base'!I:I,"y")</f>
        <v/>
      </c>
      <c r="L3" s="161">
        <f>TableHome[[#This Row],['# Test Cases]]-TableHome[[#This Row],['# Reviewed]]</f>
        <v/>
      </c>
      <c r="M3" s="162">
        <f>TableHome[[#This Row],['# Reviewed]]/TableHome[[#This Row],['# Test Cases]]</f>
        <v/>
      </c>
      <c r="N3" s="162">
        <f>TableHome[[#This Row],['# Reviewed]]/TableHome[[#This Row],['# Test Cases]]</f>
        <v/>
      </c>
    </row>
    <row r="4" ht="52" customFormat="1" customHeight="1" s="3">
      <c r="A4" s="163" t="n">
        <v>2</v>
      </c>
      <c r="B4" s="163" t="inlineStr">
        <is>
          <t>Server</t>
        </is>
      </c>
      <c r="C4" s="163" t="inlineStr">
        <is>
          <t>IJT Joining System Identification</t>
        </is>
      </c>
      <c r="D4" s="159">
        <f>HYPERLINK("#'Joining System Identification'!A1","▶ Joining System Identification")</f>
        <v/>
      </c>
      <c r="E4" s="164" t="inlineStr">
        <is>
          <t>JoiningSystem includes Identification AddIn of type JoiningSystemIdentificationType with optional properties: ProductInstanceUri, Manufacturer, ManufacturerUri.</t>
        </is>
      </c>
      <c r="F4" s="163" t="n"/>
      <c r="G4" s="163" t="n">
        <v>1</v>
      </c>
      <c r="H4" s="165">
        <f>COUNT('Joining System Identification'!B:B)</f>
        <v/>
      </c>
      <c r="I4" s="165">
        <f>COUNTIF('Joining System Identification'!A:A,"y")</f>
        <v/>
      </c>
      <c r="J4" s="165">
        <f>COUNTIF('Joining System Identification'!A:A,"n")</f>
        <v/>
      </c>
      <c r="K4" s="165">
        <f>COUNTIF('Joining System Identification'!I:I,"y")</f>
        <v/>
      </c>
      <c r="L4" s="165">
        <f>TableHome[[#This Row],['# Test Cases]]-TableHome[[#This Row],['# Reviewed]]</f>
        <v/>
      </c>
      <c r="M4" s="166">
        <f>TableHome[[#This Row],['# Reviewed]]/TableHome[[#This Row],['# Test Cases]]</f>
        <v/>
      </c>
      <c r="N4" s="166">
        <f>TableHome[[#This Row],['# Reviewed]]/TableHome[[#This Row],['# Test Cases]]</f>
        <v/>
      </c>
    </row>
    <row r="5" ht="52" customFormat="1" customHeight="1" s="3">
      <c r="A5" s="158" t="n">
        <v>3</v>
      </c>
      <c r="B5" s="158" t="inlineStr">
        <is>
          <t>Server</t>
        </is>
      </c>
      <c r="C5" s="158" t="inlineStr">
        <is>
          <t>IJT Joining System Machinery Building Blocks</t>
        </is>
      </c>
      <c r="D5" s="159">
        <f>HYPERLINK("#'Joining System MBB'!A1","▶ Joining System MBB")</f>
        <v/>
      </c>
      <c r="E5" s="160" t="inlineStr">
        <is>
          <t>JoiningSystem includes the optional MachineryBuildingBlocks per OPC 40001-1.</t>
        </is>
      </c>
      <c r="F5" s="158" t="n"/>
      <c r="G5" s="158" t="n">
        <v>1</v>
      </c>
      <c r="H5" s="161">
        <f>COUNT('Joining System MBB'!B:B)</f>
        <v/>
      </c>
      <c r="I5" s="161">
        <f>COUNTIF('Joining System MBB'!A:A,"y")</f>
        <v/>
      </c>
      <c r="J5" s="161">
        <f>COUNTIF('Joining System MBB'!A:A,"n")</f>
        <v/>
      </c>
      <c r="K5" s="161">
        <f>COUNTIF('Joining System MBB'!I:I,"y")</f>
        <v/>
      </c>
      <c r="L5" s="161">
        <f>TableHome[[#This Row],['# Test Cases]]-TableHome[[#This Row],['# Reviewed]]</f>
        <v/>
      </c>
      <c r="M5" s="162">
        <f>TableHome[[#This Row],['# Reviewed]]/TableHome[[#This Row],['# Test Cases]]</f>
        <v/>
      </c>
      <c r="N5" s="162">
        <f>TableHome[[#This Row],['# Reviewed]]/TableHome[[#This Row],['# Test Cases]]</f>
        <v/>
      </c>
    </row>
    <row r="6" ht="52" customFormat="1" customHeight="1" s="3">
      <c r="A6" s="163" t="n">
        <v>4</v>
      </c>
      <c r="B6" s="163" t="inlineStr">
        <is>
          <t>Server</t>
        </is>
      </c>
      <c r="C6" s="163" t="inlineStr">
        <is>
          <t>IJT Asset Management</t>
        </is>
      </c>
      <c r="D6" s="159">
        <f>HYPERLINK("#'Asset Management'!A1","▶ Asset Management")</f>
        <v/>
      </c>
      <c r="E6" s="164" t="inlineStr">
        <is>
          <t>JoiningSystem includes optional AssetManagement with Assets folder, sub-folders, and MethodSet of type JoiningSystemAssetMethodSetType.</t>
        </is>
      </c>
      <c r="F6" s="163" t="n"/>
      <c r="G6" s="163" t="n">
        <v>1</v>
      </c>
      <c r="H6" s="165">
        <f>COUNT('Asset Management'!B:B)</f>
        <v/>
      </c>
      <c r="I6" s="165">
        <f>COUNTIF('Asset Management'!A:A,"y")</f>
        <v/>
      </c>
      <c r="J6" s="165">
        <f>COUNTIF('Asset Management'!A:A,"n")</f>
        <v/>
      </c>
      <c r="K6" s="165">
        <f>COUNTIF('Asset Management'!I:I,"y")</f>
        <v/>
      </c>
      <c r="L6" s="165">
        <f>TableHome[[#This Row],['# Test Cases]]-TableHome[[#This Row],['# Reviewed]]</f>
        <v/>
      </c>
      <c r="M6" s="166">
        <f>TableHome[[#This Row],['# Reviewed]]/TableHome[[#This Row],['# Test Cases]]</f>
        <v/>
      </c>
      <c r="N6" s="166">
        <f>TableHome[[#This Row],['# Reviewed]]/TableHome[[#This Row],['# Test Cases]]</f>
        <v/>
      </c>
    </row>
    <row r="7" ht="52" customFormat="1" customHeight="1" s="3">
      <c r="A7" s="158" t="n">
        <v>5</v>
      </c>
      <c r="B7" s="158" t="inlineStr">
        <is>
          <t>Server</t>
        </is>
      </c>
      <c r="C7" s="158" t="inlineStr">
        <is>
          <t>IJT Result Management</t>
        </is>
      </c>
      <c r="D7" s="159">
        <f>HYPERLINK("#'Result Management'!A1","▶ Result Management")</f>
        <v/>
      </c>
      <c r="E7" s="160" t="inlineStr">
        <is>
          <t>JoiningSystem includes optional ResultManagement with Results folder.</t>
        </is>
      </c>
      <c r="F7" s="158" t="n"/>
      <c r="G7" s="158" t="n">
        <v>2</v>
      </c>
      <c r="H7" s="161">
        <f>COUNT('Result Management'!B:B)</f>
        <v/>
      </c>
      <c r="I7" s="161">
        <f>COUNTIF('Result Management'!A:A,"y")</f>
        <v/>
      </c>
      <c r="J7" s="161">
        <f>COUNTIF('Result Management'!A:A,"n")</f>
        <v/>
      </c>
      <c r="K7" s="161">
        <f>COUNTIF('Result Management'!I:I,"y")</f>
        <v/>
      </c>
      <c r="L7" s="161">
        <f>TableHome[[#This Row],['# Test Cases]]-TableHome[[#This Row],['# Reviewed]]</f>
        <v/>
      </c>
      <c r="M7" s="162">
        <f>TableHome[[#This Row],['# Reviewed]]/TableHome[[#This Row],['# Test Cases]]</f>
        <v/>
      </c>
      <c r="N7" s="162">
        <f>TableHome[[#This Row],['# Reviewed]]/TableHome[[#This Row],['# Test Cases]]</f>
        <v/>
      </c>
    </row>
    <row r="8" ht="52" customFormat="1" customHeight="1" s="3">
      <c r="A8" s="163" t="n">
        <v>6</v>
      </c>
      <c r="B8" s="163" t="inlineStr">
        <is>
          <t>Server</t>
        </is>
      </c>
      <c r="C8" s="163" t="inlineStr">
        <is>
          <t>IJT Single Result</t>
        </is>
      </c>
      <c r="D8" s="159">
        <f>HYPERLINK("#'Single Result'!A1","▶ Single Result")</f>
        <v/>
      </c>
      <c r="E8" s="164" t="inlineStr">
        <is>
          <t>Server supports generating Single Results where Result.ResultMetaData.Classification = SINGLE_RESULT.</t>
        </is>
      </c>
      <c r="F8" s="163" t="n"/>
      <c r="G8" s="163" t="n">
        <v>1</v>
      </c>
      <c r="H8" s="165">
        <f>COUNT('Single Result'!B:B)</f>
        <v/>
      </c>
      <c r="I8" s="165">
        <f>COUNTIF('Single Result'!A:A,"y")</f>
        <v/>
      </c>
      <c r="J8" s="165">
        <f>COUNTIF('Single Result'!A:A,"n")</f>
        <v/>
      </c>
      <c r="K8" s="165">
        <f>COUNTIF('Single Result'!I:I,"y")</f>
        <v/>
      </c>
      <c r="L8" s="165">
        <f>TableHome[[#This Row],['# Test Cases]]-TableHome[[#This Row],['# Reviewed]]</f>
        <v/>
      </c>
      <c r="M8" s="166">
        <f>TableHome[[#This Row],['# Reviewed]]/TableHome[[#This Row],['# Test Cases]]</f>
        <v/>
      </c>
      <c r="N8" s="166">
        <f>TableHome[[#This Row],['# Reviewed]]/TableHome[[#This Row],['# Test Cases]]</f>
        <v/>
      </c>
    </row>
    <row r="9" ht="52" customFormat="1" customHeight="1" s="3">
      <c r="A9" s="158" t="n">
        <v>7</v>
      </c>
      <c r="B9" s="158" t="inlineStr">
        <is>
          <t>Server</t>
        </is>
      </c>
      <c r="C9" s="158" t="inlineStr">
        <is>
          <t>IJT Basic Result</t>
        </is>
      </c>
      <c r="D9" s="159">
        <f>HYPERLINK("#'Basic Result'!A1","▶ Basic Result")</f>
        <v/>
      </c>
      <c r="E9" s="160" t="inlineStr">
        <is>
          <t>Result includes mandatory ResultMetaData fields: ResultId, Classification, IsSimulated, IsPartial, ResultEvaluation, JoiningTechnology, ResultState, SequenceNumber, CreationTime.</t>
        </is>
      </c>
      <c r="F9" s="158" t="n"/>
      <c r="G9" s="158" t="n">
        <v>1</v>
      </c>
      <c r="H9" s="161">
        <f>COUNT('Basic Result'!B:B)</f>
        <v/>
      </c>
      <c r="I9" s="161">
        <f>COUNTIF('Basic Result'!A:A,"y")</f>
        <v/>
      </c>
      <c r="J9" s="161">
        <f>COUNTIF('Basic Result'!A:A,"n")</f>
        <v/>
      </c>
      <c r="K9" s="161">
        <f>COUNTIF('Basic Result'!I:I,"y")</f>
        <v/>
      </c>
      <c r="L9" s="161">
        <f>TableHome[[#This Row],['# Test Cases]]-TableHome[[#This Row],['# Reviewed]]</f>
        <v/>
      </c>
      <c r="M9" s="162">
        <f>TableHome[[#This Row],['# Reviewed]]/TableHome[[#This Row],['# Test Cases]]</f>
        <v/>
      </c>
      <c r="N9" s="162">
        <f>TableHome[[#This Row],['# Reviewed]]/TableHome[[#This Row],['# Test Cases]]</f>
        <v/>
      </c>
    </row>
    <row r="10" ht="52" customFormat="1" customHeight="1" s="3">
      <c r="A10" s="163" t="n">
        <v>8</v>
      </c>
      <c r="B10" s="163" t="inlineStr">
        <is>
          <t>Server</t>
        </is>
      </c>
      <c r="C10" s="163" t="inlineStr">
        <is>
          <t>IJT Result Additional Data</t>
        </is>
      </c>
      <c r="D10" s="159">
        <f>HYPERLINK("#'Result Additional Data'!A1","▶ Result Additional Data")</f>
        <v/>
      </c>
      <c r="E10" s="164" t="inlineStr">
        <is>
          <t>Result.ResultMetaData includes optional fields: Name, Description, ResultEvaluationCode, ResultEvaluationDetails, AssemblyType, OperationMode.</t>
        </is>
      </c>
      <c r="F10" s="163" t="n"/>
      <c r="G10" s="163" t="n">
        <v>2</v>
      </c>
      <c r="H10" s="165">
        <f>COUNT('Result Additional Data'!B:B)</f>
        <v/>
      </c>
      <c r="I10" s="165">
        <f>COUNTIF('Result Additional Data'!A:A,"y")</f>
        <v/>
      </c>
      <c r="J10" s="165">
        <f>COUNTIF('Result Additional Data'!A:A,"n")</f>
        <v/>
      </c>
      <c r="K10" s="165">
        <f>COUNTIF('Result Additional Data'!I:I,"y")</f>
        <v/>
      </c>
      <c r="L10" s="165">
        <f>TableHome[[#This Row],['# Test Cases]]-TableHome[[#This Row],['# Reviewed]]</f>
        <v/>
      </c>
      <c r="M10" s="166">
        <f>TableHome[[#This Row],['# Reviewed]]/TableHome[[#This Row],['# Test Cases]]</f>
        <v/>
      </c>
      <c r="N10" s="166">
        <f>TableHome[[#This Row],['# Reviewed]]/TableHome[[#This Row],['# Test Cases]]</f>
        <v/>
      </c>
    </row>
    <row r="11" ht="52" customFormat="1" customHeight="1" s="3">
      <c r="A11" s="158" t="n">
        <v>9</v>
      </c>
      <c r="B11" s="158" t="inlineStr">
        <is>
          <t>Server</t>
        </is>
      </c>
      <c r="C11" s="158" t="inlineStr">
        <is>
          <t>IJT Result Extended Meta Data</t>
        </is>
      </c>
      <c r="D11" s="159">
        <f>HYPERLINK("#'Result Extended Meta Data'!A1","▶ Result Extended Meta Data")</f>
        <v/>
      </c>
      <c r="E11" s="160" t="inlineStr">
        <is>
          <t>Result.ResultMetaData.ExtendedMetaData[] provides additional meta data as KeyValueDataType entries.</t>
        </is>
      </c>
      <c r="F11" s="158" t="n"/>
      <c r="G11" s="158" t="n">
        <v>2</v>
      </c>
      <c r="H11" s="161">
        <f>COUNT('Result Extended Meta Data'!B:B)</f>
        <v/>
      </c>
      <c r="I11" s="161">
        <f>COUNTIF('Result Extended Meta Data'!A:A,"y")</f>
        <v/>
      </c>
      <c r="J11" s="161">
        <f>COUNTIF('Result Extended Meta Data'!A:A,"n")</f>
        <v/>
      </c>
      <c r="K11" s="161">
        <f>COUNTIF('Result Extended Meta Data'!I:I,"y")</f>
        <v/>
      </c>
      <c r="L11" s="161">
        <f>TableHome[[#This Row],['# Test Cases]]-TableHome[[#This Row],['# Reviewed]]</f>
        <v/>
      </c>
      <c r="M11" s="162">
        <f>TableHome[[#This Row],['# Reviewed]]/TableHome[[#This Row],['# Test Cases]]</f>
        <v/>
      </c>
      <c r="N11" s="162">
        <f>TableHome[[#This Row],['# Reviewed]]/TableHome[[#This Row],['# Test Cases]]</f>
        <v/>
      </c>
    </row>
    <row r="12" ht="52" customFormat="1" customHeight="1" s="3">
      <c r="A12" s="163" t="n">
        <v>10</v>
      </c>
      <c r="B12" s="163" t="inlineStr">
        <is>
          <t>Server</t>
        </is>
      </c>
      <c r="C12" s="163" t="inlineStr">
        <is>
          <t>IJT Result Processing Times</t>
        </is>
      </c>
      <c r="D12" s="159">
        <f>HYPERLINK("#'Result Processing Times'!A1","▶ Result Processing Times")</f>
        <v/>
      </c>
      <c r="E12" s="164" t="inlineStr">
        <is>
          <t>Result.ResultMetaData.ProcessingTimes includes StartTime and EndTime.</t>
        </is>
      </c>
      <c r="F12" s="163" t="n"/>
      <c r="G12" s="163" t="n">
        <v>2</v>
      </c>
      <c r="H12" s="165">
        <f>COUNT('Result Processing Times'!B:B)</f>
        <v/>
      </c>
      <c r="I12" s="165">
        <f>COUNTIF('Result Processing Times'!A:A,"y")</f>
        <v/>
      </c>
      <c r="J12" s="165">
        <f>COUNTIF('Result Processing Times'!A:A,"n")</f>
        <v/>
      </c>
      <c r="K12" s="165">
        <f>COUNTIF('Result Processing Times'!I:I,"y")</f>
        <v/>
      </c>
      <c r="L12" s="165">
        <f>TableHome[[#This Row],['# Test Cases]]-TableHome[[#This Row],['# Reviewed]]</f>
        <v/>
      </c>
      <c r="M12" s="166">
        <f>TableHome[[#This Row],['# Reviewed]]/TableHome[[#This Row],['# Test Cases]]</f>
        <v/>
      </c>
      <c r="N12" s="166">
        <f>TableHome[[#This Row],['# Reviewed]]/TableHome[[#This Row],['# Test Cases]]</f>
        <v/>
      </c>
    </row>
    <row r="13" ht="52" customFormat="1" customHeight="1" s="3">
      <c r="A13" s="158" t="n">
        <v>11</v>
      </c>
      <c r="B13" s="158" t="inlineStr">
        <is>
          <t>Server</t>
        </is>
      </c>
      <c r="C13" s="158" t="inlineStr">
        <is>
          <t>IJT Result Processing Times Durations</t>
        </is>
      </c>
      <c r="D13" s="159">
        <f>HYPERLINK("#'Result Proc Times Durations'!A1","▶ Result Proc Times Durations")</f>
        <v/>
      </c>
      <c r="E13" s="160" t="inlineStr">
        <is>
          <t>Result.ResultMetaData.ProcessingTimes includes AcquisitionDuration and ProcessingDuration.</t>
        </is>
      </c>
      <c r="F13" s="158" t="n"/>
      <c r="G13" s="158" t="n">
        <v>2</v>
      </c>
      <c r="H13" s="161">
        <f>COUNT('Result Proc Times Durations'!B:B)</f>
        <v/>
      </c>
      <c r="I13" s="161">
        <f>COUNTIF('Result Proc Times Durations'!A:A,"y")</f>
        <v/>
      </c>
      <c r="J13" s="161">
        <f>COUNTIF('Result Proc Times Durations'!A:A,"n")</f>
        <v/>
      </c>
      <c r="K13" s="161">
        <f>COUNTIF('Result Proc Times Durations'!I:I,"y")</f>
        <v/>
      </c>
      <c r="L13" s="161">
        <f>TableHome[[#This Row],['# Test Cases]]-TableHome[[#This Row],['# Reviewed]]</f>
        <v/>
      </c>
      <c r="M13" s="162">
        <f>TableHome[[#This Row],['# Reviewed]]/TableHome[[#This Row],['# Test Cases]]</f>
        <v/>
      </c>
      <c r="N13" s="162">
        <f>TableHome[[#This Row],['# Reviewed]]/TableHome[[#This Row],['# Test Cases]]</f>
        <v/>
      </c>
    </row>
    <row r="14" ht="52" customFormat="1" customHeight="1" s="3">
      <c r="A14" s="163" t="n">
        <v>12</v>
      </c>
      <c r="B14" s="163" t="inlineStr">
        <is>
          <t>Server</t>
        </is>
      </c>
      <c r="C14" s="163" t="inlineStr">
        <is>
          <t>IJT Result Event Access</t>
        </is>
      </c>
      <c r="D14" s="159">
        <f>HYPERLINK("#'Result Event Access'!A1","▶ Result Event Access")</f>
        <v/>
      </c>
      <c r="E14" s="164" t="inlineStr">
        <is>
          <t>Server reports Results by generating events of JoiningSystemResultReadyEventType.</t>
        </is>
      </c>
      <c r="F14" s="163" t="n"/>
      <c r="G14" s="163" t="n">
        <v>1</v>
      </c>
      <c r="H14" s="165">
        <f>COUNT('Result Event Access'!B:B)</f>
        <v/>
      </c>
      <c r="I14" s="165">
        <f>COUNTIF('Result Event Access'!A:A,"y")</f>
        <v/>
      </c>
      <c r="J14" s="165">
        <f>COUNTIF('Result Event Access'!A:A,"n")</f>
        <v/>
      </c>
      <c r="K14" s="165">
        <f>COUNTIF('Result Event Access'!I:I,"y")</f>
        <v/>
      </c>
      <c r="L14" s="165">
        <f>TableHome[[#This Row],['# Test Cases]]-TableHome[[#This Row],['# Reviewed]]</f>
        <v/>
      </c>
      <c r="M14" s="166">
        <f>TableHome[[#This Row],['# Reviewed]]/TableHome[[#This Row],['# Test Cases]]</f>
        <v/>
      </c>
      <c r="N14" s="166">
        <f>TableHome[[#This Row],['# Reviewed]]/TableHome[[#This Row],['# Test Cases]]</f>
        <v/>
      </c>
    </row>
    <row r="15" ht="52" customFormat="1" customHeight="1" s="3">
      <c r="A15" s="158" t="n">
        <v>13</v>
      </c>
      <c r="B15" s="158" t="inlineStr">
        <is>
          <t>Server</t>
        </is>
      </c>
      <c r="C15" s="158" t="inlineStr">
        <is>
          <t>IJT Get Latest Result</t>
        </is>
      </c>
      <c r="D15" s="159">
        <f>HYPERLINK("#'Get Latest Result'!A1","▶ Get Latest Result")</f>
        <v/>
      </c>
      <c r="E15" s="160" t="inlineStr">
        <is>
          <t>The Server shall support GetLatestResult method which returns the last available result in the output argument.</t>
        </is>
      </c>
      <c r="F15" s="158" t="n"/>
      <c r="G15" s="158" t="n">
        <v>2</v>
      </c>
      <c r="H15" s="161">
        <f>COUNT('Get Latest Result'!B:B)</f>
        <v/>
      </c>
      <c r="I15" s="161">
        <f>COUNTIF('Get Latest Result'!A:A,"y")</f>
        <v/>
      </c>
      <c r="J15" s="161">
        <f>COUNTIF('Get Latest Result'!A:A,"n")</f>
        <v/>
      </c>
      <c r="K15" s="161">
        <f>COUNTIF('Get Latest Result'!I:I,"y")</f>
        <v/>
      </c>
      <c r="L15" s="161">
        <f>TableHome[[#This Row],['# Test Cases]]-TableHome[[#This Row],['# Reviewed]]</f>
        <v/>
      </c>
      <c r="M15" s="162">
        <f>TableHome[[#This Row],['# Reviewed]]/TableHome[[#This Row],['# Test Cases]]</f>
        <v/>
      </c>
      <c r="N15" s="162">
        <f>TableHome[[#This Row],['# Reviewed]]/TableHome[[#This Row],['# Test Cases]]</f>
        <v/>
      </c>
    </row>
    <row r="16" ht="52" customFormat="1" customHeight="1" s="3">
      <c r="A16" s="163" t="n">
        <v>14</v>
      </c>
      <c r="B16" s="163" t="inlineStr">
        <is>
          <t>Server</t>
        </is>
      </c>
      <c r="C16" s="163" t="inlineStr">
        <is>
          <t>IJT Get Result by Id</t>
        </is>
      </c>
      <c r="D16" s="159">
        <f>HYPERLINK("#'Get Result by Id'!A1","▶ Get Result by Id")</f>
        <v/>
      </c>
      <c r="E16" s="164" t="inlineStr">
        <is>
          <t>The Server shall support GetResultById method which returns the complete result including Result.ResultMetaData and Result.ResultContent based on the input identifier.</t>
        </is>
      </c>
      <c r="F16" s="163" t="n"/>
      <c r="G16" s="163" t="n">
        <v>2</v>
      </c>
      <c r="H16" s="165">
        <f>COUNT('Get Result by Id'!B:B)</f>
        <v/>
      </c>
      <c r="I16" s="165">
        <f>COUNTIF('Get Result by Id'!A:A,"y")</f>
        <v/>
      </c>
      <c r="J16" s="165">
        <f>COUNTIF('Get Result by Id'!A:A,"n")</f>
        <v/>
      </c>
      <c r="K16" s="165">
        <f>COUNTIF('Get Result by Id'!I:I,"y")</f>
        <v/>
      </c>
      <c r="L16" s="165">
        <f>TableHome[[#This Row],['# Test Cases]]-TableHome[[#This Row],['# Reviewed]]</f>
        <v/>
      </c>
      <c r="M16" s="166">
        <f>TableHome[[#This Row],['# Reviewed]]/TableHome[[#This Row],['# Test Cases]]</f>
        <v/>
      </c>
      <c r="N16" s="166">
        <f>TableHome[[#This Row],['# Reviewed]]/TableHome[[#This Row],['# Test Cases]]</f>
        <v/>
      </c>
    </row>
    <row r="17" ht="52" customFormat="1" customHeight="1" s="3">
      <c r="A17" s="158" t="n">
        <v>15</v>
      </c>
      <c r="B17" s="158" t="inlineStr">
        <is>
          <t>Server</t>
        </is>
      </c>
      <c r="C17" s="158" t="inlineStr">
        <is>
          <t>IJT Get Result with Filter Criteria</t>
        </is>
      </c>
      <c r="D17" s="159">
        <f>HYPERLINK("#'Get Result with Filter Criteria'!A1","▶ Get Result with Filter Criteria")</f>
        <v/>
      </c>
      <c r="E17" s="160" t="inlineStr">
        <is>
          <t>The Server shall support GetResultIdListFiltered and GetResultById methods to retrieve Results based on Result.ResultMetaData.SequenceNumber. It may support other types of filter criteria.</t>
        </is>
      </c>
      <c r="F17" s="158" t="n"/>
      <c r="G17" s="158" t="n">
        <v>2</v>
      </c>
      <c r="H17" s="161">
        <f>COUNT('Get Result with Filter Criteria'!B:B)</f>
        <v/>
      </c>
      <c r="I17" s="161">
        <f>COUNTIF('Get Result with Filter Criteria'!A:A,"y")</f>
        <v/>
      </c>
      <c r="J17" s="161">
        <f>COUNTIF('Get Result with Filter Criteria'!A:A,"n")</f>
        <v/>
      </c>
      <c r="K17" s="161">
        <f>COUNTIF('Get Result with Filter Criteria'!I:I,"y")</f>
        <v/>
      </c>
      <c r="L17" s="161">
        <f>TableHome[[#This Row],['# Test Cases]]-TableHome[[#This Row],['# Reviewed]]</f>
        <v/>
      </c>
      <c r="M17" s="162">
        <f>TableHome[[#This Row],['# Reviewed]]/TableHome[[#This Row],['# Test Cases]]</f>
        <v/>
      </c>
      <c r="N17" s="162">
        <f>TableHome[[#This Row],['# Reviewed]]/TableHome[[#This Row],['# Test Cases]]</f>
        <v/>
      </c>
    </row>
    <row r="18" ht="22" customFormat="1" customHeight="1" s="3">
      <c r="A18" s="167" t="n">
        <v>16</v>
      </c>
      <c r="B18" s="167" t="inlineStr">
        <is>
          <t>Server</t>
        </is>
      </c>
      <c r="C18" s="167" t="inlineStr">
        <is>
          <t>IJT Result Variable Access</t>
        </is>
      </c>
      <c r="D18" s="167">
        <f>HYPERLINK("#'Result Variable Access'!A1","▶ Result Variable Access")</f>
        <v/>
      </c>
      <c r="E18" s="168" t="inlineStr">
        <is>
          <t>The Server shall expose results as a ResultVariable in the address space with at least Result.ResultMetaData as per JoiningSystemResultType.</t>
        </is>
      </c>
      <c r="F18" s="167" t="n"/>
      <c r="G18" s="167" t="n">
        <v>2</v>
      </c>
      <c r="H18" s="169">
        <f>COUNT('Result Variable Access'!B:B)</f>
        <v/>
      </c>
      <c r="I18" s="169">
        <f>COUNTIF('Result Variable Access'!A:A,"y")</f>
        <v/>
      </c>
      <c r="J18" s="169">
        <f>COUNTIF('Result Variable Access'!A:A,"n")</f>
        <v/>
      </c>
      <c r="K18" s="169">
        <f>COUNTIF('Result Variable Access'!I:I,"y")</f>
        <v/>
      </c>
      <c r="L18" s="169">
        <f>TableHome[[#This Row],['# Test Cases]]-TableHome[[#This Row],['# Reviewed]]</f>
        <v/>
      </c>
      <c r="M18" s="170">
        <f>TableHome[[#This Row],['# Reviewed]]/TableHome[[#This Row],['# Test Cases]]</f>
        <v/>
      </c>
      <c r="N18" s="170">
        <f>TableHome[[#This Row],['# Reviewed]]/TableHome[[#This Row],['# Test Cases]]</f>
        <v/>
      </c>
    </row>
    <row r="19" ht="22" customFormat="1" customHeight="1" s="3">
      <c r="A19" s="171" t="n">
        <v>17</v>
      </c>
      <c r="B19" s="171" t="inlineStr">
        <is>
          <t>Server</t>
        </is>
      </c>
      <c r="C19" s="171" t="inlineStr">
        <is>
          <t>IJT Result Internal Identifiers</t>
        </is>
      </c>
      <c r="D19" s="171">
        <f>HYPERLINK("#'Result Internal Identifiers'!A1","▶ Result Internal Identifiers")</f>
        <v/>
      </c>
      <c r="E19" s="172" t="inlineStr">
        <is>
          <t>Result.ResultMetaData.AssociatedEntities[] includes CONTROLLER and TOOL identifiers; also MEMORY_DEVICE, SERVO etc. and Joining Process identifiers.</t>
        </is>
      </c>
      <c r="F19" s="171" t="n"/>
      <c r="G19" s="171" t="n">
        <v>1</v>
      </c>
      <c r="H19" s="173">
        <f>COUNT('Result Internal Identifiers'!B:B)</f>
        <v/>
      </c>
      <c r="I19" s="173">
        <f>COUNTIF('Result Internal Identifiers'!A:A,"y")</f>
        <v/>
      </c>
      <c r="J19" s="173">
        <f>COUNTIF('Result Internal Identifiers'!A:A,"n")</f>
        <v/>
      </c>
      <c r="K19" s="173">
        <f>COUNTIF('Result Internal Identifiers'!I:I,"y")</f>
        <v/>
      </c>
      <c r="L19" s="173">
        <f>TableHome[[#This Row],['# Test Cases]]-TableHome[[#This Row],['# Reviewed]]</f>
        <v/>
      </c>
      <c r="M19" s="174">
        <f>TableHome[[#This Row],['# Reviewed]]/TableHome[[#This Row],['# Test Cases]]</f>
        <v/>
      </c>
      <c r="N19" s="174">
        <f>TableHome[[#This Row],['# Reviewed]]/TableHome[[#This Row],['# Test Cases]]</f>
        <v/>
      </c>
    </row>
    <row r="20" ht="22" customFormat="1" customHeight="1" s="3">
      <c r="A20" s="167" t="n">
        <v>18</v>
      </c>
      <c r="B20" s="167" t="inlineStr">
        <is>
          <t>Server</t>
        </is>
      </c>
      <c r="C20" s="167" t="inlineStr">
        <is>
          <t>IJT Result External Identifiers</t>
        </is>
      </c>
      <c r="D20" s="167">
        <f>HYPERLINK("#'Result External Identifiers'!A1","▶ Result External Identifiers")</f>
        <v/>
      </c>
      <c r="E20" s="168" t="inlineStr">
        <is>
          <t>Result.ResultMetaData.AssociatedEntities[] includes at least one of: VEHICLE, PRODUCT, PART, JOINT, ORDER, MODEL identifiers.</t>
        </is>
      </c>
      <c r="F20" s="167" t="n"/>
      <c r="G20" s="167" t="n">
        <v>1</v>
      </c>
      <c r="H20" s="169">
        <f>COUNT('Result External Identifiers'!B:B)</f>
        <v/>
      </c>
      <c r="I20" s="169">
        <f>COUNTIF('Result External Identifiers'!A:A,"y")</f>
        <v/>
      </c>
      <c r="J20" s="169">
        <f>COUNTIF('Result External Identifiers'!A:A,"n")</f>
        <v/>
      </c>
      <c r="K20" s="169">
        <f>COUNTIF('Result External Identifiers'!I:I,"y")</f>
        <v/>
      </c>
      <c r="L20" s="169">
        <f>TableHome[[#This Row],['# Test Cases]]-TableHome[[#This Row],['# Reviewed]]</f>
        <v/>
      </c>
      <c r="M20" s="170">
        <f>TableHome[[#This Row],['# Reviewed]]/TableHome[[#This Row],['# Test Cases]]</f>
        <v/>
      </c>
      <c r="N20" s="170">
        <f>TableHome[[#This Row],['# Reviewed]]/TableHome[[#This Row],['# Test Cases]]</f>
        <v/>
      </c>
    </row>
    <row r="21" ht="22" customFormat="1" customHeight="1" s="3">
      <c r="A21" s="171" t="n">
        <v>19</v>
      </c>
      <c r="B21" s="171" t="inlineStr">
        <is>
          <t>Server</t>
        </is>
      </c>
      <c r="C21" s="171" t="inlineStr">
        <is>
          <t>IJT Joining Result Failure Reason</t>
        </is>
      </c>
      <c r="D21" s="171">
        <f>HYPERLINK("#'Joining Result Failure Reason'!A1","▶ Joining Result Failure Reason")</f>
        <v/>
      </c>
      <c r="E21" s="172" t="inlineStr">
        <is>
          <t>JoiningResultDataType provides FailureReason when Result.ResultMetaData.ResultEvaluation=NotOK.</t>
        </is>
      </c>
      <c r="F21" s="171" t="n"/>
      <c r="G21" s="171" t="n">
        <v>2</v>
      </c>
      <c r="H21" s="173">
        <f>COUNT('Joining Result Failure Reason'!B:B)</f>
        <v/>
      </c>
      <c r="I21" s="173">
        <f>COUNTIF('Joining Result Failure Reason'!A:A,"y")</f>
        <v/>
      </c>
      <c r="J21" s="173">
        <f>COUNTIF('Joining Result Failure Reason'!A:A,"n")</f>
        <v/>
      </c>
      <c r="K21" s="173">
        <f>COUNTIF('Joining Result Failure Reason'!I:I,"y")</f>
        <v/>
      </c>
      <c r="L21" s="173">
        <f>TableHome[[#This Row],['# Test Cases]]-TableHome[[#This Row],['# Reviewed]]</f>
        <v/>
      </c>
      <c r="M21" s="174">
        <f>TableHome[[#This Row],['# Reviewed]]/TableHome[[#This Row],['# Test Cases]]</f>
        <v/>
      </c>
      <c r="N21" s="174">
        <f>TableHome[[#This Row],['# Reviewed]]/TableHome[[#This Row],['# Test Cases]]</f>
        <v/>
      </c>
    </row>
    <row r="22" ht="22" customFormat="1" customHeight="1" s="3">
      <c r="A22" s="167" t="n">
        <v>20</v>
      </c>
      <c r="B22" s="167" t="inlineStr">
        <is>
          <t>Server</t>
        </is>
      </c>
      <c r="C22" s="167" t="inlineStr">
        <is>
          <t>IJT Joining Result Overall Result Values</t>
        </is>
      </c>
      <c r="D22" s="167">
        <f>HYPERLINK("#'J Result Overall Result Values'!A1","▶ J Result Overall Result Values")</f>
        <v/>
      </c>
      <c r="E22" s="168" t="inlineStr">
        <is>
          <t>JoiningResultDataType.OverallResultValues[] includes MeasuredValue, PhysicalQuantity, Name, ResultEvaluation; ViolationType and ViolationConsequence if ResultEvaluation=NotOK.</t>
        </is>
      </c>
      <c r="F22" s="167" t="n"/>
      <c r="G22" s="167" t="n">
        <v>2</v>
      </c>
      <c r="H22" s="169">
        <f>COUNT('J Result Overall Result Values'!B:B)</f>
        <v/>
      </c>
      <c r="I22" s="169">
        <f>COUNTIF('J Result Overall Result Values'!A:A,"y")</f>
        <v/>
      </c>
      <c r="J22" s="169">
        <f>COUNTIF('J Result Overall Result Values'!A:A,"n")</f>
        <v/>
      </c>
      <c r="K22" s="169">
        <f>COUNTIF('J Result Overall Result Values'!I:I,"y")</f>
        <v/>
      </c>
      <c r="L22" s="169">
        <f>TableHome[[#This Row],['# Test Cases]]-TableHome[[#This Row],['# Reviewed]]</f>
        <v/>
      </c>
      <c r="M22" s="170">
        <f>TableHome[[#This Row],['# Reviewed]]/TableHome[[#This Row],['# Test Cases]]</f>
        <v/>
      </c>
      <c r="N22" s="170">
        <f>TableHome[[#This Row],['# Reviewed]]/TableHome[[#This Row],['# Test Cases]]</f>
        <v/>
      </c>
    </row>
    <row r="23" ht="22" customFormat="1" customHeight="1" s="3">
      <c r="A23" s="171" t="n">
        <v>21</v>
      </c>
      <c r="B23" s="171" t="inlineStr">
        <is>
          <t>Server</t>
        </is>
      </c>
      <c r="C23" s="171" t="inlineStr">
        <is>
          <t>IJT Joining Result Step Results</t>
        </is>
      </c>
      <c r="D23" s="171">
        <f>HYPERLINK("#'Joining Result Step Results'!A1","▶ Joining Result Step Results")</f>
        <v/>
      </c>
      <c r="E23" s="172" t="inlineStr">
        <is>
          <t>JoiningResult.StepResults[] each includes StepResultId, ProgramStepId or ProgramStep, Name, ResultEvaluation, StepTraceId+StartTimeOffset if traces present. StepResultValues[] includes MeasuredValue, PhysicalQuantity, Name, ResultEvaluation.</t>
        </is>
      </c>
      <c r="F23" s="171" t="n"/>
      <c r="G23" s="171" t="n">
        <v>2</v>
      </c>
      <c r="H23" s="173">
        <f>COUNT('Joining Result Step Results'!B:B)</f>
        <v/>
      </c>
      <c r="I23" s="173">
        <f>COUNTIF('Joining Result Step Results'!A:A,"y")</f>
        <v/>
      </c>
      <c r="J23" s="173">
        <f>COUNTIF('Joining Result Step Results'!A:A,"n")</f>
        <v/>
      </c>
      <c r="K23" s="173">
        <f>COUNTIF('Joining Result Step Results'!I:I,"y")</f>
        <v/>
      </c>
      <c r="L23" s="173">
        <f>TableHome[[#This Row],['# Test Cases]]-TableHome[[#This Row],['# Reviewed]]</f>
        <v/>
      </c>
      <c r="M23" s="174">
        <f>TableHome[[#This Row],['# Reviewed]]/TableHome[[#This Row],['# Test Cases]]</f>
        <v/>
      </c>
      <c r="N23" s="174">
        <f>TableHome[[#This Row],['# Reviewed]]/TableHome[[#This Row],['# Test Cases]]</f>
        <v/>
      </c>
    </row>
    <row r="24" ht="22" customFormat="1" customHeight="1" s="3">
      <c r="A24" s="167" t="n">
        <v>22</v>
      </c>
      <c r="B24" s="167" t="inlineStr">
        <is>
          <t>Server</t>
        </is>
      </c>
      <c r="C24" s="167" t="inlineStr">
        <is>
          <t>IJT Joining Result Errors</t>
        </is>
      </c>
      <c r="D24" s="167">
        <f>HYPERLINK("#'Joining Result Errors'!A1","▶ Joining Result Errors")</f>
        <v/>
      </c>
      <c r="E24" s="168" t="inlineStr">
        <is>
          <t>JoiningResultDataType.Errors[] each instance of ErrorInformationDataType includes at least ErrorType and ErrorMessage.</t>
        </is>
      </c>
      <c r="F24" s="167" t="n"/>
      <c r="G24" s="167" t="n">
        <v>2</v>
      </c>
      <c r="H24" s="169">
        <f>COUNT('Joining Result Errors'!B:B)</f>
        <v/>
      </c>
      <c r="I24" s="169">
        <f>COUNTIF('Joining Result Errors'!A:A,"y")</f>
        <v/>
      </c>
      <c r="J24" s="169">
        <f>COUNTIF('Joining Result Errors'!A:A,"n")</f>
        <v/>
      </c>
      <c r="K24" s="169">
        <f>COUNTIF('Joining Result Errors'!I:I,"y")</f>
        <v/>
      </c>
      <c r="L24" s="169">
        <f>TableHome[[#This Row],['# Test Cases]]-TableHome[[#This Row],['# Reviewed]]</f>
        <v/>
      </c>
      <c r="M24" s="170">
        <f>TableHome[[#This Row],['# Reviewed]]/TableHome[[#This Row],['# Test Cases]]</f>
        <v/>
      </c>
      <c r="N24" s="170">
        <f>TableHome[[#This Row],['# Reviewed]]/TableHome[[#This Row],['# Test Cases]]</f>
        <v/>
      </c>
    </row>
    <row r="25" ht="22" customFormat="1" customHeight="1" s="3">
      <c r="A25" s="171" t="n">
        <v>23</v>
      </c>
      <c r="B25" s="171" t="inlineStr">
        <is>
          <t>Server</t>
        </is>
      </c>
      <c r="C25" s="171" t="inlineStr">
        <is>
          <t>IJT Joining Result Trace</t>
        </is>
      </c>
      <c r="D25" s="171">
        <f>HYPERLINK("#'Joining Result Trace'!A1","▶ Joining Result Trace")</f>
        <v/>
      </c>
      <c r="E25" s="172" t="inlineStr">
        <is>
          <t>JoiningResultDataType.Trace (JoiningTraceDataType) includes TraceId, ResultId, StepTraces[]. Each StepTraceDataType includes StepTraceId, StepResultId, NumberOfTracePoints, StepTraceContent[], StartTimeOffset or SamplingInterval.</t>
        </is>
      </c>
      <c r="F25" s="171" t="n"/>
      <c r="G25" s="171" t="n">
        <v>2</v>
      </c>
      <c r="H25" s="173">
        <f>COUNT('Joining Result Trace'!B:B)</f>
        <v/>
      </c>
      <c r="I25" s="173">
        <f>COUNTIF('Joining Result Trace'!A:A,"y")</f>
        <v/>
      </c>
      <c r="J25" s="173">
        <f>COUNTIF('Joining Result Trace'!A:A,"n")</f>
        <v/>
      </c>
      <c r="K25" s="173">
        <f>COUNTIF('Joining Result Trace'!I:I,"y")</f>
        <v/>
      </c>
      <c r="L25" s="173">
        <f>TableHome[[#This Row],['# Test Cases]]-TableHome[[#This Row],['# Reviewed]]</f>
        <v/>
      </c>
      <c r="M25" s="174">
        <f>TableHome[[#This Row],['# Reviewed]]/TableHome[[#This Row],['# Test Cases]]</f>
        <v/>
      </c>
      <c r="N25" s="174">
        <f>TableHome[[#This Row],['# Reviewed]]/TableHome[[#This Row],['# Test Cases]]</f>
        <v/>
      </c>
    </row>
    <row r="26" ht="22" customFormat="1" customHeight="1" s="3">
      <c r="A26" s="167" t="n">
        <v>24</v>
      </c>
      <c r="B26" s="167" t="inlineStr">
        <is>
          <t>Server</t>
        </is>
      </c>
      <c r="C26" s="167" t="inlineStr">
        <is>
          <t>IJT Result Value Trace Point Time Offset</t>
        </is>
      </c>
      <c r="D26" s="167">
        <f>HYPERLINK("#'R Value Trace Point Time Offset'!A1","▶ R Value Trace Point Time Offset")</f>
        <v/>
      </c>
      <c r="E26" s="168" t="inlineStr">
        <is>
          <t>StepResultValues[] includes TracePointOffset (time-based trace point reference).</t>
        </is>
      </c>
      <c r="F26" s="167" t="n"/>
      <c r="G26" s="167" t="n">
        <v>2</v>
      </c>
      <c r="H26" s="169">
        <f>COUNT('R Value Trace Point Time Offset'!B:B)</f>
        <v/>
      </c>
      <c r="I26" s="169">
        <f>COUNTIF('R Value Trace Point Time Offset'!A:A,"y")</f>
        <v/>
      </c>
      <c r="J26" s="169">
        <f>COUNTIF('R Value Trace Point Time Offset'!A:A,"n")</f>
        <v/>
      </c>
      <c r="K26" s="169">
        <f>COUNTIF('R Value Trace Point Time Offset'!I:I,"y")</f>
        <v/>
      </c>
      <c r="L26" s="169">
        <f>TableHome[[#This Row],['# Test Cases]]-TableHome[[#This Row],['# Reviewed]]</f>
        <v/>
      </c>
      <c r="M26" s="170">
        <f>TableHome[[#This Row],['# Reviewed]]/TableHome[[#This Row],['# Test Cases]]</f>
        <v/>
      </c>
      <c r="N26" s="170">
        <f>TableHome[[#This Row],['# Reviewed]]/TableHome[[#This Row],['# Test Cases]]</f>
        <v/>
      </c>
    </row>
    <row r="27" ht="22" customFormat="1" customHeight="1" s="3">
      <c r="A27" s="171" t="n">
        <v>25</v>
      </c>
      <c r="B27" s="171" t="inlineStr">
        <is>
          <t>Server</t>
        </is>
      </c>
      <c r="C27" s="171" t="inlineStr">
        <is>
          <t>IJT Result Value Trace Point Index</t>
        </is>
      </c>
      <c r="D27" s="171">
        <f>HYPERLINK("#'Result Value Trace Point Index'!A1","▶ Result Value Trace Point Index")</f>
        <v/>
      </c>
      <c r="E27" s="172" t="inlineStr">
        <is>
          <t>The respective StepResultValue shall include the TracePointIndex which can point to a specific sample in a TraceContent array.</t>
        </is>
      </c>
      <c r="F27" s="171" t="n"/>
      <c r="G27" s="171" t="n">
        <v>2</v>
      </c>
      <c r="H27" s="173">
        <f>COUNT('Result Value Trace Point Index'!B:B)</f>
        <v/>
      </c>
      <c r="I27" s="173">
        <f>COUNTIF('Result Value Trace Point Index'!A:A,"y")</f>
        <v/>
      </c>
      <c r="J27" s="173">
        <f>COUNTIF('Result Value Trace Point Index'!A:A,"n")</f>
        <v/>
      </c>
      <c r="K27" s="173">
        <f>COUNTIF('Result Value Trace Point Index'!I:I,"y")</f>
        <v/>
      </c>
      <c r="L27" s="173">
        <f>TableHome[[#This Row],['# Test Cases]]-TableHome[[#This Row],['# Reviewed]]</f>
        <v/>
      </c>
      <c r="M27" s="174">
        <f>TableHome[[#This Row],['# Reviewed]]/TableHome[[#This Row],['# Test Cases]]</f>
        <v/>
      </c>
      <c r="N27" s="174">
        <f>TableHome[[#This Row],['# Reviewed]]/TableHome[[#This Row],['# Test Cases]]</f>
        <v/>
      </c>
    </row>
    <row r="28" ht="22" customFormat="1" customHeight="1" s="3">
      <c r="A28" s="167" t="n">
        <v>26</v>
      </c>
      <c r="B28" s="167" t="inlineStr">
        <is>
          <t>Server</t>
        </is>
      </c>
      <c r="C28" s="167" t="inlineStr">
        <is>
          <t>IJT Sync Result</t>
        </is>
      </c>
      <c r="D28" s="167">
        <f>HYPERLINK("#'Sync Result'!A1","▶ Sync Result")</f>
        <v/>
      </c>
      <c r="E28" s="168" t="inlineStr">
        <is>
          <t>The joining system shall support the Result with Result.ResultMetaData.Classification as SYNC_RESULT.</t>
        </is>
      </c>
      <c r="F28" s="167" t="n"/>
      <c r="G28" s="167" t="n">
        <v>2</v>
      </c>
      <c r="H28" s="169">
        <f>COUNT('Sync Result'!B:B)</f>
        <v/>
      </c>
      <c r="I28" s="169">
        <f>COUNTIF('Sync Result'!A:A,"y")</f>
        <v/>
      </c>
      <c r="J28" s="169">
        <f>COUNTIF('Sync Result'!A:A,"n")</f>
        <v/>
      </c>
      <c r="K28" s="169">
        <f>COUNTIF('Sync Result'!I:I,"y")</f>
        <v/>
      </c>
      <c r="L28" s="169">
        <f>TableHome[[#This Row],['# Test Cases]]-TableHome[[#This Row],['# Reviewed]]</f>
        <v/>
      </c>
      <c r="M28" s="170">
        <f>TableHome[[#This Row],['# Reviewed]]/TableHome[[#This Row],['# Test Cases]]</f>
        <v/>
      </c>
      <c r="N28" s="170">
        <f>TableHome[[#This Row],['# Reviewed]]/TableHome[[#This Row],['# Test Cases]]</f>
        <v/>
      </c>
    </row>
    <row r="29" ht="22" customFormat="1" customHeight="1" s="3">
      <c r="A29" s="171" t="n">
        <v>27</v>
      </c>
      <c r="B29" s="171" t="inlineStr">
        <is>
          <t>Server</t>
        </is>
      </c>
      <c r="C29" s="171" t="inlineStr">
        <is>
          <t>IJT Sync Result Counters</t>
        </is>
      </c>
      <c r="D29" s="171">
        <f>HYPERLINK("#'Sync Result Counters'!A1","▶ Sync Result Counters")</f>
        <v/>
      </c>
      <c r="E29" s="172" t="inlineStr">
        <is>
          <t>If Result.ResultMetaData.Classification is SYNC_RESULT, then Result.ResultMetaData.ResultCounters[] shall contain at least one of the following counters and may contain other counters. CHANNEL_NUMBER SPINDLE_NUMBER</t>
        </is>
      </c>
      <c r="F29" s="171" t="n"/>
      <c r="G29" s="171" t="n">
        <v>2</v>
      </c>
      <c r="H29" s="173">
        <f>COUNT('Sync Result Counters'!B:B)</f>
        <v/>
      </c>
      <c r="I29" s="173">
        <f>COUNTIF('Sync Result Counters'!A:A,"y")</f>
        <v/>
      </c>
      <c r="J29" s="173">
        <f>COUNTIF('Sync Result Counters'!A:A,"n")</f>
        <v/>
      </c>
      <c r="K29" s="173">
        <f>COUNTIF('Sync Result Counters'!I:I,"y")</f>
        <v/>
      </c>
      <c r="L29" s="173">
        <f>TableHome[[#This Row],['# Test Cases]]-TableHome[[#This Row],['# Reviewed]]</f>
        <v/>
      </c>
      <c r="M29" s="174">
        <f>TableHome[[#This Row],['# Reviewed]]/TableHome[[#This Row],['# Test Cases]]</f>
        <v/>
      </c>
      <c r="N29" s="174">
        <f>TableHome[[#This Row],['# Reviewed]]/TableHome[[#This Row],['# Test Cases]]</f>
        <v/>
      </c>
    </row>
    <row r="30" ht="22" customFormat="1" customHeight="1" s="3">
      <c r="A30" s="167" t="n">
        <v>28</v>
      </c>
      <c r="B30" s="167" t="inlineStr">
        <is>
          <t>Server</t>
        </is>
      </c>
      <c r="C30" s="167" t="inlineStr">
        <is>
          <t>IJT Batch Result</t>
        </is>
      </c>
      <c r="D30" s="167">
        <f>HYPERLINK("#'Batch Result'!A1","▶ Batch Result")</f>
        <v/>
      </c>
      <c r="E30" s="168" t="inlineStr">
        <is>
          <t>The joining system shall support the Result with Result.ResultMetaData.Classification as BATCH_RESULT.</t>
        </is>
      </c>
      <c r="F30" s="167" t="n"/>
      <c r="G30" s="167" t="n">
        <v>2</v>
      </c>
      <c r="H30" s="169">
        <f>COUNT('Batch Result'!B:B)</f>
        <v/>
      </c>
      <c r="I30" s="169">
        <f>COUNTIF('Batch Result'!A:A,"y")</f>
        <v/>
      </c>
      <c r="J30" s="169">
        <f>COUNTIF('Batch Result'!A:A,"n")</f>
        <v/>
      </c>
      <c r="K30" s="169">
        <f>COUNTIF('Batch Result'!I:I,"y")</f>
        <v/>
      </c>
      <c r="L30" s="169">
        <f>TableHome[[#This Row],['# Test Cases]]-TableHome[[#This Row],['# Reviewed]]</f>
        <v/>
      </c>
      <c r="M30" s="170">
        <f>TableHome[[#This Row],['# Reviewed]]/TableHome[[#This Row],['# Test Cases]]</f>
        <v/>
      </c>
      <c r="N30" s="170">
        <f>TableHome[[#This Row],['# Reviewed]]/TableHome[[#This Row],['# Test Cases]]</f>
        <v/>
      </c>
    </row>
    <row r="31" ht="22" customFormat="1" customHeight="1" s="3">
      <c r="A31" s="171" t="n">
        <v>29</v>
      </c>
      <c r="B31" s="171" t="inlineStr">
        <is>
          <t>Server</t>
        </is>
      </c>
      <c r="C31" s="171" t="inlineStr">
        <is>
          <t>IJT Intervention Result</t>
        </is>
      </c>
      <c r="D31" s="171">
        <f>HYPERLINK("#'Intervention Result'!A1","▶ Intervention Result")</f>
        <v/>
      </c>
      <c r="E31" s="172" t="inlineStr">
        <is>
          <t>Result.ResultMetaData.Classification=INTERVENTION_RESULT; includes Result.ResultMetaData.InterventionType with appropriate value.</t>
        </is>
      </c>
      <c r="F31" s="171" t="n"/>
      <c r="G31" s="171" t="n">
        <v>2</v>
      </c>
      <c r="H31" s="173">
        <f>COUNT('Intervention Result'!B:B)</f>
        <v/>
      </c>
      <c r="I31" s="173">
        <f>COUNTIF('Intervention Result'!A:A,"y")</f>
        <v/>
      </c>
      <c r="J31" s="173">
        <f>COUNTIF('Intervention Result'!A:A,"n")</f>
        <v/>
      </c>
      <c r="K31" s="173">
        <f>COUNTIF('Intervention Result'!I:I,"y")</f>
        <v/>
      </c>
      <c r="L31" s="173">
        <f>TableHome[[#This Row],['# Test Cases]]-TableHome[[#This Row],['# Reviewed]]</f>
        <v/>
      </c>
      <c r="M31" s="174">
        <f>TableHome[[#This Row],['# Reviewed]]/TableHome[[#This Row],['# Test Cases]]</f>
        <v/>
      </c>
      <c r="N31" s="174">
        <f>TableHome[[#This Row],['# Reviewed]]/TableHome[[#This Row],['# Test Cases]]</f>
        <v/>
      </c>
    </row>
    <row r="32" ht="22" customFormat="1" customHeight="1" s="3">
      <c r="A32" s="167" t="n">
        <v>30</v>
      </c>
      <c r="B32" s="167" t="inlineStr">
        <is>
          <t>Server</t>
        </is>
      </c>
      <c r="C32" s="167" t="inlineStr">
        <is>
          <t>IJT Batch Result Counters</t>
        </is>
      </c>
      <c r="D32" s="167">
        <f>HYPERLINK("#'Batch Result Counters'!A1","▶ Batch Result Counters")</f>
        <v/>
      </c>
      <c r="E32" s="168" t="inlineStr">
        <is>
          <t>If Result.ResultMetaData.Classification is BATCH_RESULT, then Result.ResultMetaData.ResultCounters[] shall contain at least the following counters and may contain other counters. BATCH_SIZE BATCH_COUNT</t>
        </is>
      </c>
      <c r="F32" s="167" t="n"/>
      <c r="G32" s="167" t="n">
        <v>2</v>
      </c>
      <c r="H32" s="169">
        <f>COUNT('Batch Result Counters'!B:B)</f>
        <v/>
      </c>
      <c r="I32" s="169">
        <f>COUNTIF('Batch Result Counters'!A:A,"y")</f>
        <v/>
      </c>
      <c r="J32" s="169">
        <f>COUNTIF('Batch Result Counters'!A:A,"n")</f>
        <v/>
      </c>
      <c r="K32" s="169">
        <f>COUNTIF('Batch Result Counters'!I:I,"y")</f>
        <v/>
      </c>
      <c r="L32" s="169">
        <f>TableHome[[#This Row],['# Test Cases]]-TableHome[[#This Row],['# Reviewed]]</f>
        <v/>
      </c>
      <c r="M32" s="170">
        <f>TableHome[[#This Row],['# Reviewed]]/TableHome[[#This Row],['# Test Cases]]</f>
        <v/>
      </c>
      <c r="N32" s="170">
        <f>TableHome[[#This Row],['# Reviewed]]/TableHome[[#This Row],['# Test Cases]]</f>
        <v/>
      </c>
    </row>
    <row r="33" ht="22" customFormat="1" customHeight="1" s="3">
      <c r="A33" s="171" t="n">
        <v>31</v>
      </c>
      <c r="B33" s="171" t="inlineStr">
        <is>
          <t>Server</t>
        </is>
      </c>
      <c r="C33" s="171" t="inlineStr">
        <is>
          <t>IJT Job Result</t>
        </is>
      </c>
      <c r="D33" s="171">
        <f>HYPERLINK("#'Job Result'!A1","▶ Job Result")</f>
        <v/>
      </c>
      <c r="E33" s="172" t="inlineStr">
        <is>
          <t>The joining system shall support the Result with Result.ResultMetaData.Classification as JOB_RESULT.</t>
        </is>
      </c>
      <c r="F33" s="171" t="n"/>
      <c r="G33" s="171" t="n">
        <v>2</v>
      </c>
      <c r="H33" s="173">
        <f>COUNT('Job Result'!B:B)</f>
        <v/>
      </c>
      <c r="I33" s="173">
        <f>COUNTIF('Job Result'!A:A,"y")</f>
        <v/>
      </c>
      <c r="J33" s="173">
        <f>COUNTIF('Job Result'!A:A,"n")</f>
        <v/>
      </c>
      <c r="K33" s="173">
        <f>COUNTIF('Job Result'!I:I,"y")</f>
        <v/>
      </c>
      <c r="L33" s="173">
        <f>TableHome[[#This Row],['# Test Cases]]-TableHome[[#This Row],['# Reviewed]]</f>
        <v/>
      </c>
      <c r="M33" s="174">
        <f>TableHome[[#This Row],['# Reviewed]]/TableHome[[#This Row],['# Test Cases]]</f>
        <v/>
      </c>
      <c r="N33" s="174">
        <f>TableHome[[#This Row],['# Reviewed]]/TableHome[[#This Row],['# Test Cases]]</f>
        <v/>
      </c>
    </row>
    <row r="34" ht="22" customFormat="1" customHeight="1" s="3">
      <c r="A34" s="167" t="n">
        <v>32</v>
      </c>
      <c r="B34" s="167" t="inlineStr">
        <is>
          <t>Server</t>
        </is>
      </c>
      <c r="C34" s="167" t="inlineStr">
        <is>
          <t>IJT Result Value FINAL Tag</t>
        </is>
      </c>
      <c r="D34" s="167">
        <f>HYPERLINK("#'Result Value FINAL Tag'!A1","▶ Result Value FINAL Tag")</f>
        <v/>
      </c>
      <c r="E34" s="168" t="inlineStr">
        <is>
          <t>The instance of JoiningResultDataType containing one or more instances of StepResultDataType shall contain at least one Torque and Angle value in StepResults[].StepResultValues[] with a ResultValueDataType.ValueTag = FINAL. JoiningResultDataType.OverallResultValues[] can also include key values such as Final Torque, Final Angle, etc.</t>
        </is>
      </c>
      <c r="F34" s="167" t="n"/>
      <c r="G34" s="167" t="n">
        <v>2</v>
      </c>
      <c r="H34" s="169">
        <f>COUNT('Result Value FINAL Tag'!B:B)</f>
        <v/>
      </c>
      <c r="I34" s="169">
        <f>COUNTIF('Result Value FINAL Tag'!A:A,"y")</f>
        <v/>
      </c>
      <c r="J34" s="169">
        <f>COUNTIF('Result Value FINAL Tag'!A:A,"n")</f>
        <v/>
      </c>
      <c r="K34" s="169">
        <f>COUNTIF('Result Value FINAL Tag'!I:I,"y")</f>
        <v/>
      </c>
      <c r="L34" s="169">
        <f>TableHome[[#This Row],['# Test Cases]]-TableHome[[#This Row],['# Reviewed]]</f>
        <v/>
      </c>
      <c r="M34" s="170">
        <f>TableHome[[#This Row],['# Reviewed]]/TableHome[[#This Row],['# Test Cases]]</f>
        <v/>
      </c>
      <c r="N34" s="170">
        <f>TableHome[[#This Row],['# Reviewed]]/TableHome[[#This Row],['# Test Cases]]</f>
        <v/>
      </c>
    </row>
    <row r="35" ht="22" customFormat="1" customHeight="1" s="3">
      <c r="A35" s="171" t="n">
        <v>33</v>
      </c>
      <c r="B35" s="171" t="inlineStr">
        <is>
          <t>Server</t>
        </is>
      </c>
      <c r="C35" s="171" t="inlineStr">
        <is>
          <t>IJT Self Contained Consolidated Result</t>
        </is>
      </c>
      <c r="D35" s="171">
        <f>HYPERLINK("#'S Contained Consolidated Result'!A1","▶ S Contained Consolidated Result")</f>
        <v/>
      </c>
      <c r="E35" s="172" t="inlineStr">
        <is>
          <t>Consolidated Result (BATCH/JOB/SYNC/STITCHING_RESULT) where ResultContent contains sub-results with both ResultMetaData and ResultContent populated.</t>
        </is>
      </c>
      <c r="F35" s="171" t="n"/>
      <c r="G35" s="171" t="n">
        <v>2</v>
      </c>
      <c r="H35" s="173">
        <f>COUNT('S Contained Consolidated Result'!B:B)</f>
        <v/>
      </c>
      <c r="I35" s="173">
        <f>COUNTIF('S Contained Consolidated Result'!A:A,"y")</f>
        <v/>
      </c>
      <c r="J35" s="173">
        <f>COUNTIF('S Contained Consolidated Result'!A:A,"n")</f>
        <v/>
      </c>
      <c r="K35" s="173">
        <f>COUNTIF('S Contained Consolidated Result'!I:I,"y")</f>
        <v/>
      </c>
      <c r="L35" s="173">
        <f>TableHome[[#This Row],['# Test Cases]]-TableHome[[#This Row],['# Reviewed]]</f>
        <v/>
      </c>
      <c r="M35" s="174">
        <f>TableHome[[#This Row],['# Reviewed]]/TableHome[[#This Row],['# Test Cases]]</f>
        <v/>
      </c>
      <c r="N35" s="174">
        <f>TableHome[[#This Row],['# Reviewed]]/TableHome[[#This Row],['# Test Cases]]</f>
        <v/>
      </c>
    </row>
    <row r="36" ht="22" customFormat="1" customHeight="1" s="3">
      <c r="A36" s="167" t="n">
        <v>34</v>
      </c>
      <c r="B36" s="167" t="inlineStr">
        <is>
          <t>Server</t>
        </is>
      </c>
      <c r="C36" s="167" t="inlineStr">
        <is>
          <t>IJT Consolidated Result with References</t>
        </is>
      </c>
      <c r="D36" s="167">
        <f>HYPERLINK("#'C Result with references'!A1","▶ C Result with references")</f>
        <v/>
      </c>
      <c r="E36" s="168" t="inlineStr">
        <is>
          <t>Consolidated Result where ResultContent sub-results include only ResultId and Classification; ResultContent of sub-results is empty array.</t>
        </is>
      </c>
      <c r="F36" s="167" t="n"/>
      <c r="G36" s="167" t="n">
        <v>2</v>
      </c>
      <c r="H36" s="169">
        <f>COUNT('C Result with references'!B:B)</f>
        <v/>
      </c>
      <c r="I36" s="169">
        <f>COUNTIF('C Result with references'!A:A,"y")</f>
        <v/>
      </c>
      <c r="J36" s="169">
        <f>COUNTIF('C Result with references'!A:A,"n")</f>
        <v/>
      </c>
      <c r="K36" s="169">
        <f>COUNTIF('C Result with references'!I:I,"y")</f>
        <v/>
      </c>
      <c r="L36" s="169">
        <f>TableHome[[#This Row],['# Test Cases]]-TableHome[[#This Row],['# Reviewed]]</f>
        <v/>
      </c>
      <c r="M36" s="170">
        <f>TableHome[[#This Row],['# Reviewed]]/TableHome[[#This Row],['# Test Cases]]</f>
        <v/>
      </c>
      <c r="N36" s="170">
        <f>TableHome[[#This Row],['# Reviewed]]/TableHome[[#This Row],['# Test Cases]]</f>
        <v/>
      </c>
    </row>
    <row r="37" ht="22" customFormat="1" customHeight="1" s="3">
      <c r="A37" s="171" t="n">
        <v>35</v>
      </c>
      <c r="B37" s="171" t="inlineStr">
        <is>
          <t>Server</t>
        </is>
      </c>
      <c r="C37" s="171" t="inlineStr">
        <is>
          <t>IJT Partial Consolidated Result</t>
        </is>
      </c>
      <c r="D37" s="171">
        <f>HYPERLINK("#'Partial Consolidated Result'!A1","▶ Partial Consolidated Result")</f>
        <v/>
      </c>
      <c r="E37" s="172" t="inlineStr">
        <is>
          <t>Partial Consolidated Result: IsPartial=TRUE, ResultState=Processing, Classification=BATCH/JOB/SYNC/STITCHING_RESULT.</t>
        </is>
      </c>
      <c r="F37" s="171" t="n"/>
      <c r="G37" s="171" t="n">
        <v>2</v>
      </c>
      <c r="H37" s="173">
        <f>COUNT('Partial Consolidated Result'!B:B)</f>
        <v/>
      </c>
      <c r="I37" s="173">
        <f>COUNTIF('Partial Consolidated Result'!A:A,"y")</f>
        <v/>
      </c>
      <c r="J37" s="173">
        <f>COUNTIF('Partial Consolidated Result'!A:A,"n")</f>
        <v/>
      </c>
      <c r="K37" s="173">
        <f>COUNTIF('Partial Consolidated Result'!I:I,"y")</f>
        <v/>
      </c>
      <c r="L37" s="173">
        <f>TableHome[[#This Row],['# Test Cases]]-TableHome[[#This Row],['# Reviewed]]</f>
        <v/>
      </c>
      <c r="M37" s="174">
        <f>TableHome[[#This Row],['# Reviewed]]/TableHome[[#This Row],['# Test Cases]]</f>
        <v/>
      </c>
      <c r="N37" s="174">
        <f>TableHome[[#This Row],['# Reviewed]]/TableHome[[#This Row],['# Test Cases]]</f>
        <v/>
      </c>
    </row>
    <row r="38" ht="22" customFormat="1" customHeight="1" s="3">
      <c r="A38" s="167" t="n">
        <v>36</v>
      </c>
      <c r="B38" s="167" t="inlineStr">
        <is>
          <t>Server</t>
        </is>
      </c>
      <c r="C38" s="167" t="inlineStr">
        <is>
          <t>IJT Result Content</t>
        </is>
      </c>
      <c r="D38" s="167">
        <f>HYPERLINK("#'Result Content'!A1","▶ Result Content")</f>
        <v/>
      </c>
      <c r="E38" s="168" t="inlineStr">
        <is>
          <t>Result.ResultContent entries match Classification: SINGLE_RESULT -&gt; one ResultDataType payload; BATCH_RESULT, SYNC_RESULT, JOB_RESULT, and STITCHING_RESULT -&gt; parent ResultContent contains child ResultDataType entries. In reference mode, each child entry may be a reference stub with ResultMetaData.ResultId and Classification; the child stub's own ResultContent is empty. INTERVENTION_RESULT -&gt; empty/null or one ResultDataType payload entry; TEXT_RESULT -&gt; string payload entries.</t>
        </is>
      </c>
      <c r="F38" s="167" t="n"/>
      <c r="G38" s="167" t="n">
        <v>1</v>
      </c>
      <c r="H38" s="169">
        <f>COUNT('Result Content'!B:B)</f>
        <v/>
      </c>
      <c r="I38" s="169">
        <f>COUNTIF('Result Content'!A:A,"y")</f>
        <v/>
      </c>
      <c r="J38" s="169">
        <f>COUNTIF('Result Content'!A:A,"n")</f>
        <v/>
      </c>
      <c r="K38" s="169">
        <f>COUNTIF('Result Content'!I:I,"y")</f>
        <v/>
      </c>
      <c r="L38" s="169">
        <f>TableHome[[#This Row],['# Test Cases]]-TableHome[[#This Row],['# Reviewed]]</f>
        <v/>
      </c>
      <c r="M38" s="170">
        <f>TableHome[[#This Row],['# Reviewed]]/TableHome[[#This Row],['# Test Cases]]</f>
        <v/>
      </c>
      <c r="N38" s="170">
        <f>TableHome[[#This Row],['# Reviewed]]/TableHome[[#This Row],['# Test Cases]]</f>
        <v/>
      </c>
    </row>
    <row r="39" ht="22" customFormat="1" customHeight="1" s="3">
      <c r="A39" s="171" t="n">
        <v>37</v>
      </c>
      <c r="B39" s="171" t="inlineStr">
        <is>
          <t>Server</t>
        </is>
      </c>
      <c r="C39" s="171" t="inlineStr">
        <is>
          <t>IJT Request Results</t>
        </is>
      </c>
      <c r="D39" s="171">
        <f>HYPERLINK("#'Request Results'!A1","▶ Request Results")</f>
        <v/>
      </c>
      <c r="E39" s="172" t="inlineStr">
        <is>
          <t>The Server shall support RequestResults method which sends the stored results from the joining system using RequestedResultEventType or RequestedResultVariable.</t>
        </is>
      </c>
      <c r="F39" s="171" t="n"/>
      <c r="G39" s="171" t="n">
        <v>1</v>
      </c>
      <c r="H39" s="173">
        <f>COUNT('Request Results'!B:B)</f>
        <v/>
      </c>
      <c r="I39" s="173">
        <f>COUNTIF('Request Results'!A:A,"y")</f>
        <v/>
      </c>
      <c r="J39" s="173">
        <f>COUNTIF('Request Results'!A:A,"n")</f>
        <v/>
      </c>
      <c r="K39" s="173">
        <f>COUNTIF('Request Results'!I:I,"y")</f>
        <v/>
      </c>
      <c r="L39" s="173">
        <f>TableHome[[#This Row],['# Test Cases]]-TableHome[[#This Row],['# Reviewed]]</f>
        <v/>
      </c>
      <c r="M39" s="174">
        <f>TableHome[[#This Row],['# Reviewed]]/TableHome[[#This Row],['# Test Cases]]</f>
        <v/>
      </c>
      <c r="N39" s="174">
        <f>TableHome[[#This Row],['# Reviewed]]/TableHome[[#This Row],['# Test Cases]]</f>
        <v/>
      </c>
    </row>
    <row r="40" ht="22" customFormat="1" customHeight="1" s="3">
      <c r="A40" s="167" t="n">
        <v>38</v>
      </c>
      <c r="B40" s="167" t="inlineStr">
        <is>
          <t>Server</t>
        </is>
      </c>
      <c r="C40" s="167" t="inlineStr">
        <is>
          <t>IJT Requested Result Variable Access</t>
        </is>
      </c>
      <c r="D40" s="167">
        <f>HYPERLINK("#'R Result Variable Access'!A1","▶ R Result Variable Access")</f>
        <v/>
      </c>
      <c r="E40" s="168" t="inlineStr">
        <is>
          <t>Server reports results as RequestedResultVariable on RequestResults execution.</t>
        </is>
      </c>
      <c r="F40" s="167" t="n"/>
      <c r="G40" s="167" t="n">
        <v>1</v>
      </c>
      <c r="H40" s="169">
        <f>COUNT('R Result Variable Access'!B:B)</f>
        <v/>
      </c>
      <c r="I40" s="169">
        <f>COUNTIF('R Result Variable Access'!A:A,"y")</f>
        <v/>
      </c>
      <c r="J40" s="169">
        <f>COUNTIF('R Result Variable Access'!A:A,"n")</f>
        <v/>
      </c>
      <c r="K40" s="169">
        <f>COUNTIF('R Result Variable Access'!I:I,"y")</f>
        <v/>
      </c>
      <c r="L40" s="169">
        <f>TableHome[[#This Row],['# Test Cases]]-TableHome[[#This Row],['# Reviewed]]</f>
        <v/>
      </c>
      <c r="M40" s="170">
        <f>TableHome[[#This Row],['# Reviewed]]/TableHome[[#This Row],['# Test Cases]]</f>
        <v/>
      </c>
      <c r="N40" s="170">
        <f>TableHome[[#This Row],['# Reviewed]]/TableHome[[#This Row],['# Test Cases]]</f>
        <v/>
      </c>
    </row>
    <row r="41" ht="22" customFormat="1" customHeight="1" s="3">
      <c r="A41" s="171" t="n">
        <v>39</v>
      </c>
      <c r="B41" s="171" t="inlineStr">
        <is>
          <t>Server</t>
        </is>
      </c>
      <c r="C41" s="171" t="inlineStr">
        <is>
          <t>IJT Requested Result Event Access</t>
        </is>
      </c>
      <c r="D41" s="171">
        <f>HYPERLINK("#'Requested Result Event Access'!A1","▶ Requested Result Event Access")</f>
        <v/>
      </c>
      <c r="E41" s="172" t="inlineStr">
        <is>
          <t>The Server shall report Results using the instance of following event: RequestedResultEventType.</t>
        </is>
      </c>
      <c r="F41" s="171" t="n"/>
      <c r="G41" s="171" t="n">
        <v>1</v>
      </c>
      <c r="H41" s="173">
        <f>COUNT('Requested Result Event Access'!B:B)</f>
        <v/>
      </c>
      <c r="I41" s="173">
        <f>COUNTIF('Requested Result Event Access'!A:A,"y")</f>
        <v/>
      </c>
      <c r="J41" s="173">
        <f>COUNTIF('Requested Result Event Access'!A:A,"n")</f>
        <v/>
      </c>
      <c r="K41" s="173">
        <f>COUNTIF('Requested Result Event Access'!I:I,"y")</f>
        <v/>
      </c>
      <c r="L41" s="173">
        <f>TableHome[[#This Row],['# Test Cases]]-TableHome[[#This Row],['# Reviewed]]</f>
        <v/>
      </c>
      <c r="M41" s="174">
        <f>TableHome[[#This Row],['# Reviewed]]/TableHome[[#This Row],['# Test Cases]]</f>
        <v/>
      </c>
      <c r="N41" s="174">
        <f>TableHome[[#This Row],['# Reviewed]]/TableHome[[#This Row],['# Test Cases]]</f>
        <v/>
      </c>
    </row>
    <row r="42" ht="22" customFormat="1" customHeight="1" s="3">
      <c r="A42" s="167" t="n">
        <v>40</v>
      </c>
      <c r="B42" s="167" t="inlineStr">
        <is>
          <t>Server</t>
        </is>
      </c>
      <c r="C42" s="167" t="inlineStr">
        <is>
          <t>IJT Acknowledge Results</t>
        </is>
      </c>
      <c r="D42" s="167">
        <f>HYPERLINK("#'Acknowledge Results'!A1","▶ Acknowledge Results")</f>
        <v/>
      </c>
      <c r="E42" s="168" t="inlineStr">
        <is>
          <t>The Server shall support the AcknowledgeResults method to acknowledge the result set using the input list of result identifiers. It shall be used only by the Client that is responsible for exclusively storing the results.</t>
        </is>
      </c>
      <c r="F42" s="167" t="n"/>
      <c r="G42" s="167" t="n">
        <v>2</v>
      </c>
      <c r="H42" s="169">
        <f>COUNT('Acknowledge Results'!B:B)</f>
        <v/>
      </c>
      <c r="I42" s="169">
        <f>COUNTIF('Acknowledge Results'!A:A,"y")</f>
        <v/>
      </c>
      <c r="J42" s="169">
        <f>COUNTIF('Acknowledge Results'!A:A,"n")</f>
        <v/>
      </c>
      <c r="K42" s="169">
        <f>COUNTIF('Acknowledge Results'!I:I,"y")</f>
        <v/>
      </c>
      <c r="L42" s="169">
        <f>TableHome[[#This Row],['# Test Cases]]-TableHome[[#This Row],['# Reviewed]]</f>
        <v/>
      </c>
      <c r="M42" s="170">
        <f>TableHome[[#This Row],['# Reviewed]]/TableHome[[#This Row],['# Test Cases]]</f>
        <v/>
      </c>
      <c r="N42" s="170">
        <f>TableHome[[#This Row],['# Reviewed]]/TableHome[[#This Row],['# Test Cases]]</f>
        <v/>
      </c>
    </row>
    <row r="43" ht="22" customFormat="1" customHeight="1" s="3">
      <c r="A43" s="171" t="n">
        <v>41</v>
      </c>
      <c r="B43" s="171" t="inlineStr">
        <is>
          <t>Server</t>
        </is>
      </c>
      <c r="C43" s="171" t="inlineStr">
        <is>
          <t>IJT Request Unacknowledged Results</t>
        </is>
      </c>
      <c r="D43" s="171">
        <f>HYPERLINK("#'Request Unacknowledged Results'!A1","▶ Request Unacknowledged Results")</f>
        <v/>
      </c>
      <c r="E43" s="172" t="inlineStr">
        <is>
          <t>The Server shall support RequestUnacknowledgedResults method which sends the stored results from the joining system using RequestedResultEventType or RequestedResultVariable. It shall be used only by the Client that is responsible for exclusively storing the results.</t>
        </is>
      </c>
      <c r="F43" s="171" t="n"/>
      <c r="G43" s="171" t="n">
        <v>2</v>
      </c>
      <c r="H43" s="173">
        <f>COUNT('Request Unacknowledged Results'!B:B)</f>
        <v/>
      </c>
      <c r="I43" s="173">
        <f>COUNTIF('Request Unacknowledged Results'!A:A,"y")</f>
        <v/>
      </c>
      <c r="J43" s="173">
        <f>COUNTIF('Request Unacknowledged Results'!A:A,"n")</f>
        <v/>
      </c>
      <c r="K43" s="173">
        <f>COUNTIF('Request Unacknowledged Results'!I:I,"y")</f>
        <v/>
      </c>
      <c r="L43" s="173">
        <f>TableHome[[#This Row],['# Test Cases]]-TableHome[[#This Row],['# Reviewed]]</f>
        <v/>
      </c>
      <c r="M43" s="174">
        <f>TableHome[[#This Row],['# Reviewed]]/TableHome[[#This Row],['# Test Cases]]</f>
        <v/>
      </c>
      <c r="N43" s="174">
        <f>TableHome[[#This Row],['# Reviewed]]/TableHome[[#This Row],['# Test Cases]]</f>
        <v/>
      </c>
    </row>
    <row r="44" ht="22" customFormat="1" customHeight="1" s="3">
      <c r="A44" s="167" t="n">
        <v>42</v>
      </c>
      <c r="B44" s="167" t="inlineStr">
        <is>
          <t>Server</t>
        </is>
      </c>
      <c r="C44" s="167" t="inlineStr">
        <is>
          <t>IJT Asset Management Controller</t>
        </is>
      </c>
      <c r="D44" s="167">
        <f>HYPERLINK("#'Asset Management Controller'!A1","▶ Asset Management Controller")</f>
        <v/>
      </c>
      <c r="E44" s="168" t="inlineStr">
        <is>
          <t>The instance of Controllers folder shall include at least one instance of a Controller which implements IControllerType interface and all its mandatory instance declarations. The Identification AddIn of the asset shall be MachineIdentificationType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Controller may include Monitoring.Health, OperationCounters, Maintenance.Service, Maintenance.Calibration objects.</t>
        </is>
      </c>
      <c r="F44" s="167" t="n"/>
      <c r="G44" s="167" t="n">
        <v>1</v>
      </c>
      <c r="H44" s="169">
        <f>COUNT('Asset Management Controller'!B:B)</f>
        <v/>
      </c>
      <c r="I44" s="169">
        <f>COUNTIF('Asset Management Controller'!A:A,"y")</f>
        <v/>
      </c>
      <c r="J44" s="169">
        <f>COUNTIF('Asset Management Controller'!A:A,"n")</f>
        <v/>
      </c>
      <c r="K44" s="169">
        <f>COUNTIF('Asset Management Controller'!I:I,"y")</f>
        <v/>
      </c>
      <c r="L44" s="169">
        <f>TableHome[[#This Row],['# Test Cases]]-TableHome[[#This Row],['# Reviewed]]</f>
        <v/>
      </c>
      <c r="M44" s="170">
        <f>TableHome[[#This Row],['# Reviewed]]/TableHome[[#This Row],['# Test Cases]]</f>
        <v/>
      </c>
      <c r="N44" s="170">
        <f>TableHome[[#This Row],['# Reviewed]]/TableHome[[#This Row],['# Test Cases]]</f>
        <v/>
      </c>
    </row>
    <row r="45" ht="22" customFormat="1" customHeight="1" s="3">
      <c r="A45" s="171" t="n">
        <v>43</v>
      </c>
      <c r="B45" s="171" t="inlineStr">
        <is>
          <t>Server</t>
        </is>
      </c>
      <c r="C45" s="171" t="inlineStr">
        <is>
          <t>IJT Asset Management Tool</t>
        </is>
      </c>
      <c r="D45" s="171">
        <f>HYPERLINK("#'Asset Management Tool'!A1","▶ Asset Management Tool")</f>
        <v/>
      </c>
      <c r="E45" s="172" t="inlineStr">
        <is>
          <t>The instance of Tools folder shall include at least one instance of a Tool which implements IToolType and all its mandatory instance declarations. The 2:Identification AddIn of the asset shall be 4:MachineIdentificationType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Tool may include Monitoring.Health, OperationCounters, Maintenance.Service, Maintenance.Calibration objects.</t>
        </is>
      </c>
      <c r="F45" s="171" t="n"/>
      <c r="G45" s="171" t="n">
        <v>1</v>
      </c>
      <c r="H45" s="173">
        <f>COUNT('Asset Management Tool'!B:B)</f>
        <v/>
      </c>
      <c r="I45" s="173">
        <f>COUNTIF('Asset Management Tool'!A:A,"y")</f>
        <v/>
      </c>
      <c r="J45" s="173">
        <f>COUNTIF('Asset Management Tool'!A:A,"n")</f>
        <v/>
      </c>
      <c r="K45" s="173">
        <f>COUNTIF('Asset Management Tool'!I:I,"y")</f>
        <v/>
      </c>
      <c r="L45" s="173">
        <f>TableHome[[#This Row],['# Test Cases]]-TableHome[[#This Row],['# Reviewed]]</f>
        <v/>
      </c>
      <c r="M45" s="174">
        <f>TableHome[[#This Row],['# Reviewed]]/TableHome[[#This Row],['# Test Cases]]</f>
        <v/>
      </c>
      <c r="N45" s="174">
        <f>TableHome[[#This Row],['# Reviewed]]/TableHome[[#This Row],['# Test Cases]]</f>
        <v/>
      </c>
    </row>
    <row r="46" ht="22" customFormat="1" customHeight="1" s="3">
      <c r="A46" s="167" t="n">
        <v>44</v>
      </c>
      <c r="B46" s="167" t="inlineStr">
        <is>
          <t>Server</t>
        </is>
      </c>
      <c r="C46" s="167" t="inlineStr">
        <is>
          <t>IJT Asset Management Servo</t>
        </is>
      </c>
      <c r="D46" s="167">
        <f>HYPERLINK("#'Asset Management Servo'!A1","▶ Asset Management Servo")</f>
        <v/>
      </c>
      <c r="E46" s="168" t="inlineStr">
        <is>
          <t>The instance of Servos folder shall include at least one instance of a Servo which implements IServoType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NodeNumber. It may include other optional properties. An instance of Servo may include Monitoring.Health, OperationCounters, Maintenance.Service, Maintenance.Calibration objects.</t>
        </is>
      </c>
      <c r="F46" s="167" t="n"/>
      <c r="G46" s="167" t="n">
        <v>2</v>
      </c>
      <c r="H46" s="169">
        <f>COUNT('Asset Management Servo'!B:B)</f>
        <v/>
      </c>
      <c r="I46" s="169">
        <f>COUNTIF('Asset Management Servo'!A:A,"y")</f>
        <v/>
      </c>
      <c r="J46" s="169">
        <f>COUNTIF('Asset Management Servo'!A:A,"n")</f>
        <v/>
      </c>
      <c r="K46" s="169">
        <f>COUNTIF('Asset Management Servo'!I:I,"y")</f>
        <v/>
      </c>
      <c r="L46" s="169">
        <f>TableHome[[#This Row],['# Test Cases]]-TableHome[[#This Row],['# Reviewed]]</f>
        <v/>
      </c>
      <c r="M46" s="170">
        <f>TableHome[[#This Row],['# Reviewed]]/TableHome[[#This Row],['# Test Cases]]</f>
        <v/>
      </c>
      <c r="N46" s="170">
        <f>TableHome[[#This Row],['# Reviewed]]/TableHome[[#This Row],['# Test Cases]]</f>
        <v/>
      </c>
    </row>
    <row r="47" ht="22" customFormat="1" customHeight="1" s="3">
      <c r="A47" s="171" t="n">
        <v>45</v>
      </c>
      <c r="B47" s="171" t="inlineStr">
        <is>
          <t>Server</t>
        </is>
      </c>
      <c r="C47" s="171" t="inlineStr">
        <is>
          <t>IJT Asset Management Memory Device</t>
        </is>
      </c>
      <c r="D47" s="171">
        <f>HYPERLINK("#'Asset Management Memory Device'!A1","▶ Asset Management Memory Device")</f>
        <v/>
      </c>
      <c r="E47" s="172" t="inlineStr">
        <is>
          <t>The instance of MemoryDevices folder shall include at least one instance of a MemoryDevice which implements IMemoryDeviceType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MemoryDevice may include Monitoring.Health, OperationCounters, Maintenance.Service, Maintenance.Calibration objects.</t>
        </is>
      </c>
      <c r="F47" s="171" t="n"/>
      <c r="G47" s="171" t="n">
        <v>2</v>
      </c>
      <c r="H47" s="173">
        <f>COUNT('Asset Management Memory Device'!B:B)</f>
        <v/>
      </c>
      <c r="I47" s="173">
        <f>COUNTIF('Asset Management Memory Device'!A:A,"y")</f>
        <v/>
      </c>
      <c r="J47" s="173">
        <f>COUNTIF('Asset Management Memory Device'!A:A,"n")</f>
        <v/>
      </c>
      <c r="K47" s="173">
        <f>COUNTIF('Asset Management Memory Device'!I:I,"y")</f>
        <v/>
      </c>
      <c r="L47" s="173">
        <f>TableHome[[#This Row],['# Test Cases]]-TableHome[[#This Row],['# Reviewed]]</f>
        <v/>
      </c>
      <c r="M47" s="174">
        <f>TableHome[[#This Row],['# Reviewed]]/TableHome[[#This Row],['# Test Cases]]</f>
        <v/>
      </c>
      <c r="N47" s="174">
        <f>TableHome[[#This Row],['# Reviewed]]/TableHome[[#This Row],['# Test Cases]]</f>
        <v/>
      </c>
    </row>
    <row r="48" ht="22" customFormat="1" customHeight="1" s="3">
      <c r="A48" s="167" t="n">
        <v>46</v>
      </c>
      <c r="B48" s="167" t="inlineStr">
        <is>
          <t>Server</t>
        </is>
      </c>
      <c r="C48" s="167" t="inlineStr">
        <is>
          <t>IJT Asset Management Cable</t>
        </is>
      </c>
      <c r="D48" s="167">
        <f>HYPERLINK("#'Asset Management Cable'!A1","▶ Asset Management Cable")</f>
        <v/>
      </c>
      <c r="E48" s="168" t="inlineStr">
        <is>
          <t>The instance of Cables folder shall include at least one instance of a Cable which implements ICableType interface and all its mandatory instance declarations. The Identification AddIn of the asset shall be MachineryComponentIdentificationType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Cable may include Monitoring.Health, OperationCounters, Maintenance.Service, Maintenance.Calibration objects.</t>
        </is>
      </c>
      <c r="F48" s="167" t="n"/>
      <c r="G48" s="167" t="n">
        <v>2</v>
      </c>
      <c r="H48" s="169">
        <f>COUNT('Asset Management Cable'!B:B)</f>
        <v/>
      </c>
      <c r="I48" s="169">
        <f>COUNTIF('Asset Management Cable'!A:A,"y")</f>
        <v/>
      </c>
      <c r="J48" s="169">
        <f>COUNTIF('Asset Management Cable'!A:A,"n")</f>
        <v/>
      </c>
      <c r="K48" s="169">
        <f>COUNTIF('Asset Management Cable'!I:I,"y")</f>
        <v/>
      </c>
      <c r="L48" s="169">
        <f>TableHome[[#This Row],['# Test Cases]]-TableHome[[#This Row],['# Reviewed]]</f>
        <v/>
      </c>
      <c r="M48" s="170">
        <f>TableHome[[#This Row],['# Reviewed]]/TableHome[[#This Row],['# Test Cases]]</f>
        <v/>
      </c>
      <c r="N48" s="170">
        <f>TableHome[[#This Row],['# Reviewed]]/TableHome[[#This Row],['# Test Cases]]</f>
        <v/>
      </c>
    </row>
    <row r="49" ht="22" customFormat="1" customHeight="1" s="3">
      <c r="A49" s="171" t="n">
        <v>47</v>
      </c>
      <c r="B49" s="171" t="inlineStr">
        <is>
          <t>Server</t>
        </is>
      </c>
      <c r="C49" s="171" t="inlineStr">
        <is>
          <t>IJT Asset Management Power Supply</t>
        </is>
      </c>
      <c r="D49" s="171">
        <f>HYPERLINK("#'Asset Management Power Supply'!A1","▶ Asset Management Power Supply")</f>
        <v/>
      </c>
      <c r="E49" s="172" t="inlineStr">
        <is>
          <t>The instance of PowerSupplies folder shall include at least one instance of a PowerSupply which implements IPowerSupplyType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InputSpecification. It may include other optional properties. An instance of PowerSupply may include Monitoring.Health, OperationCounters, Maintenance.Service, Maintenance.Calibration objects.</t>
        </is>
      </c>
      <c r="F49" s="171" t="n"/>
      <c r="G49" s="171" t="n">
        <v>2</v>
      </c>
      <c r="H49" s="173">
        <f>COUNT('Asset Management Power Supply'!B:B)</f>
        <v/>
      </c>
      <c r="I49" s="173">
        <f>COUNTIF('Asset Management Power Supply'!A:A,"y")</f>
        <v/>
      </c>
      <c r="J49" s="173">
        <f>COUNTIF('Asset Management Power Supply'!A:A,"n")</f>
        <v/>
      </c>
      <c r="K49" s="173">
        <f>COUNTIF('Asset Management Power Supply'!I:I,"y")</f>
        <v/>
      </c>
      <c r="L49" s="173">
        <f>TableHome[[#This Row],['# Test Cases]]-TableHome[[#This Row],['# Reviewed]]</f>
        <v/>
      </c>
      <c r="M49" s="174">
        <f>TableHome[[#This Row],['# Reviewed]]/TableHome[[#This Row],['# Test Cases]]</f>
        <v/>
      </c>
      <c r="N49" s="174">
        <f>TableHome[[#This Row],['# Reviewed]]/TableHome[[#This Row],['# Test Cases]]</f>
        <v/>
      </c>
    </row>
    <row r="50" ht="22" customFormat="1" customHeight="1" s="3">
      <c r="A50" s="167" t="n">
        <v>48</v>
      </c>
      <c r="B50" s="167" t="inlineStr">
        <is>
          <t>Server</t>
        </is>
      </c>
      <c r="C50" s="167" t="inlineStr">
        <is>
          <t>IJT Asset Management Feeder</t>
        </is>
      </c>
      <c r="D50" s="167">
        <f>HYPERLINK("#'Asset Management Feeder'!A1","▶ Asset Management Feeder")</f>
        <v/>
      </c>
      <c r="E50" s="168" t="inlineStr">
        <is>
          <t>The instance of Feeders folder shall include at least one instance of a Feeder which implements IFeederType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Feeder may include Monitoring.Health, OperationCounters, Maintenance.Service, Maintenance.Calibration objects.</t>
        </is>
      </c>
      <c r="F50" s="167" t="n"/>
      <c r="G50" s="167" t="n">
        <v>2</v>
      </c>
      <c r="H50" s="169">
        <f>COUNT('Asset Management Feeder'!B:B)</f>
        <v/>
      </c>
      <c r="I50" s="169">
        <f>COUNTIF('Asset Management Feeder'!A:A,"y")</f>
        <v/>
      </c>
      <c r="J50" s="169">
        <f>COUNTIF('Asset Management Feeder'!A:A,"n")</f>
        <v/>
      </c>
      <c r="K50" s="169">
        <f>COUNTIF('Asset Management Feeder'!I:I,"y")</f>
        <v/>
      </c>
      <c r="L50" s="169">
        <f>TableHome[[#This Row],['# Test Cases]]-TableHome[[#This Row],['# Reviewed]]</f>
        <v/>
      </c>
      <c r="M50" s="170">
        <f>TableHome[[#This Row],['# Reviewed]]/TableHome[[#This Row],['# Test Cases]]</f>
        <v/>
      </c>
      <c r="N50" s="170">
        <f>TableHome[[#This Row],['# Reviewed]]/TableHome[[#This Row],['# Test Cases]]</f>
        <v/>
      </c>
    </row>
    <row r="51" ht="22" customFormat="1" customHeight="1" s="3">
      <c r="A51" s="171" t="n">
        <v>49</v>
      </c>
      <c r="B51" s="171" t="inlineStr">
        <is>
          <t>Server</t>
        </is>
      </c>
      <c r="C51" s="171" t="inlineStr">
        <is>
          <t>IJT Asset Management Battery</t>
        </is>
      </c>
      <c r="D51" s="171">
        <f>HYPERLINK("#'Asset Management Battery'!A1","▶ Asset Management Battery")</f>
        <v/>
      </c>
      <c r="E51" s="172" t="inlineStr">
        <is>
          <t>The instance of Batteries folder shall include at least one instance of a Battery which implements IBatteryType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NominalVoltage, Capacity. It may include other optional properties. An instance of Battery may include Monitoring.Health, OperationCounters, Maintenance.Service, Maintenance.Calibration objects.</t>
        </is>
      </c>
      <c r="F51" s="171" t="n"/>
      <c r="G51" s="171" t="n">
        <v>2</v>
      </c>
      <c r="H51" s="173">
        <f>COUNT('Asset Management Battery'!B:B)</f>
        <v/>
      </c>
      <c r="I51" s="173">
        <f>COUNTIF('Asset Management Battery'!A:A,"y")</f>
        <v/>
      </c>
      <c r="J51" s="173">
        <f>COUNTIF('Asset Management Battery'!A:A,"n")</f>
        <v/>
      </c>
      <c r="K51" s="173">
        <f>COUNTIF('Asset Management Battery'!I:I,"y")</f>
        <v/>
      </c>
      <c r="L51" s="173">
        <f>TableHome[[#This Row],['# Test Cases]]-TableHome[[#This Row],['# Reviewed]]</f>
        <v/>
      </c>
      <c r="M51" s="174">
        <f>TableHome[[#This Row],['# Reviewed]]/TableHome[[#This Row],['# Test Cases]]</f>
        <v/>
      </c>
      <c r="N51" s="174">
        <f>TableHome[[#This Row],['# Reviewed]]/TableHome[[#This Row],['# Test Cases]]</f>
        <v/>
      </c>
    </row>
    <row r="52" ht="22" customFormat="1" customHeight="1" s="3">
      <c r="A52" s="167" t="n">
        <v>50</v>
      </c>
      <c r="B52" s="167" t="inlineStr">
        <is>
          <t>Server</t>
        </is>
      </c>
      <c r="C52" s="167" t="inlineStr">
        <is>
          <t>IJT Asset Management Sensor</t>
        </is>
      </c>
      <c r="D52" s="167">
        <f>HYPERLINK("#'Asset Management Sensor'!A1","▶ Asset Management Sensor")</f>
        <v/>
      </c>
      <c r="E52" s="168" t="inlineStr">
        <is>
          <t>The instance of Sensors folder shall include at least one instance of a Sensor which implements ISensorType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Sensor may include Monitoring.Health, OperationCounters, Maintenance.Service, Maintenance.Calibration objects.</t>
        </is>
      </c>
      <c r="F52" s="167" t="n"/>
      <c r="G52" s="167" t="n">
        <v>2</v>
      </c>
      <c r="H52" s="169">
        <f>COUNT('Asset Management Sensor'!B:B)</f>
        <v/>
      </c>
      <c r="I52" s="169">
        <f>COUNTIF('Asset Management Sensor'!A:A,"y")</f>
        <v/>
      </c>
      <c r="J52" s="169">
        <f>COUNTIF('Asset Management Sensor'!A:A,"n")</f>
        <v/>
      </c>
      <c r="K52" s="169">
        <f>COUNTIF('Asset Management Sensor'!I:I,"y")</f>
        <v/>
      </c>
      <c r="L52" s="169">
        <f>TableHome[[#This Row],['# Test Cases]]-TableHome[[#This Row],['# Reviewed]]</f>
        <v/>
      </c>
      <c r="M52" s="170">
        <f>TableHome[[#This Row],['# Reviewed]]/TableHome[[#This Row],['# Test Cases]]</f>
        <v/>
      </c>
      <c r="N52" s="170">
        <f>TableHome[[#This Row],['# Reviewed]]/TableHome[[#This Row],['# Test Cases]]</f>
        <v/>
      </c>
    </row>
    <row r="53" ht="22" customFormat="1" customHeight="1" s="3">
      <c r="A53" s="171" t="n">
        <v>51</v>
      </c>
      <c r="B53" s="171" t="inlineStr">
        <is>
          <t>Server</t>
        </is>
      </c>
      <c r="C53" s="171" t="inlineStr">
        <is>
          <t>IJT Asset Management Accessory</t>
        </is>
      </c>
      <c r="D53" s="171">
        <f>HYPERLINK("#'Asset Management Accessory'!A1","▶ Asset Management Accessory")</f>
        <v/>
      </c>
      <c r="E53" s="172" t="inlineStr">
        <is>
          <t>The instance of Accessories folder shall include at least one instance of an Accessory which implements IAccessoryType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Accessory may include Monitoring.Health, OperationCounters, Maintenance.Service, Maintenance.Calibration objects.</t>
        </is>
      </c>
      <c r="F53" s="171" t="n"/>
      <c r="G53" s="171" t="n">
        <v>2</v>
      </c>
      <c r="H53" s="173">
        <f>COUNT('Asset Management Accessory'!B:B)</f>
        <v/>
      </c>
      <c r="I53" s="173">
        <f>COUNTIF('Asset Management Accessory'!A:A,"y")</f>
        <v/>
      </c>
      <c r="J53" s="173">
        <f>COUNTIF('Asset Management Accessory'!A:A,"n")</f>
        <v/>
      </c>
      <c r="K53" s="173">
        <f>COUNTIF('Asset Management Accessory'!I:I,"y")</f>
        <v/>
      </c>
      <c r="L53" s="173">
        <f>TableHome[[#This Row],['# Test Cases]]-TableHome[[#This Row],['# Reviewed]]</f>
        <v/>
      </c>
      <c r="M53" s="174">
        <f>TableHome[[#This Row],['# Reviewed]]/TableHome[[#This Row],['# Test Cases]]</f>
        <v/>
      </c>
      <c r="N53" s="174">
        <f>TableHome[[#This Row],['# Reviewed]]/TableHome[[#This Row],['# Test Cases]]</f>
        <v/>
      </c>
    </row>
    <row r="54" ht="22" customFormat="1" customHeight="1" s="3">
      <c r="A54" s="167" t="n">
        <v>52</v>
      </c>
      <c r="B54" s="167" t="inlineStr">
        <is>
          <t>Server</t>
        </is>
      </c>
      <c r="C54" s="167" t="inlineStr">
        <is>
          <t>IJT Asset Management Software</t>
        </is>
      </c>
      <c r="D54" s="167">
        <f>HYPERLINK("#'Asset Management Software'!A1","▶ Asset Management Software")</f>
        <v/>
      </c>
      <c r="E54" s="168" t="inlineStr">
        <is>
          <t>The instance of SoftwareComponents folder shall include at least one instance of a Software which implements ISoftwareType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t>
        </is>
      </c>
      <c r="F54" s="167" t="n"/>
      <c r="G54" s="167" t="n">
        <v>2</v>
      </c>
      <c r="H54" s="169">
        <f>COUNT('Asset Management Software'!B:B)</f>
        <v/>
      </c>
      <c r="I54" s="169">
        <f>COUNTIF('Asset Management Software'!A:A,"y")</f>
        <v/>
      </c>
      <c r="J54" s="169">
        <f>COUNTIF('Asset Management Software'!A:A,"n")</f>
        <v/>
      </c>
      <c r="K54" s="169">
        <f>COUNTIF('Asset Management Software'!I:I,"y")</f>
        <v/>
      </c>
      <c r="L54" s="169">
        <f>TableHome[[#This Row],['# Test Cases]]-TableHome[[#This Row],['# Reviewed]]</f>
        <v/>
      </c>
      <c r="M54" s="170">
        <f>TableHome[[#This Row],['# Reviewed]]/TableHome[[#This Row],['# Test Cases]]</f>
        <v/>
      </c>
      <c r="N54" s="170">
        <f>TableHome[[#This Row],['# Reviewed]]/TableHome[[#This Row],['# Test Cases]]</f>
        <v/>
      </c>
    </row>
    <row r="55" ht="22" customFormat="1" customHeight="1" s="3">
      <c r="A55" s="171" t="n">
        <v>53</v>
      </c>
      <c r="B55" s="171" t="inlineStr">
        <is>
          <t>Server</t>
        </is>
      </c>
      <c r="C55" s="171" t="inlineStr">
        <is>
          <t>IJT Asset Management SubComponent</t>
        </is>
      </c>
      <c r="D55" s="171">
        <f>HYPERLINK("#'Asset Management SubComponent'!A1","▶ Asset Management SubComponent")</f>
        <v/>
      </c>
      <c r="E55" s="172" t="inlineStr">
        <is>
          <t>The instance of SubComponents folder shall include at least one instance of a SubComponent which implements ISubComponentType interface and all its mandatory instance declarations. The Identification AddIn of the asset shall be 4:MachineryComponentIdentificationType and shall at least have the following properties: 2:ProductInstanceUri, 2:Manufacturer, 2:ManufacturerUri, 2:Model, 2:SerialNumber, 2:ProductCode. It may include other optional properties. The Parameters folder shall include the following properties: Type. It may include other optional properties. An instance of SubComponent may include Monitoring.Health, OperationCounters, Maintenance.Service, Maintenance.Calibration objects.</t>
        </is>
      </c>
      <c r="F55" s="171" t="n"/>
      <c r="G55" s="171" t="n">
        <v>2</v>
      </c>
      <c r="H55" s="173">
        <f>COUNT('Asset Management SubComponent'!B:B)</f>
        <v/>
      </c>
      <c r="I55" s="173">
        <f>COUNTIF('Asset Management SubComponent'!A:A,"y")</f>
        <v/>
      </c>
      <c r="J55" s="173">
        <f>COUNTIF('Asset Management SubComponent'!A:A,"n")</f>
        <v/>
      </c>
      <c r="K55" s="173">
        <f>COUNTIF('Asset Management SubComponent'!I:I,"y")</f>
        <v/>
      </c>
      <c r="L55" s="173">
        <f>TableHome[[#This Row],['# Test Cases]]-TableHome[[#This Row],['# Reviewed]]</f>
        <v/>
      </c>
      <c r="M55" s="174">
        <f>TableHome[[#This Row],['# Reviewed]]/TableHome[[#This Row],['# Test Cases]]</f>
        <v/>
      </c>
      <c r="N55" s="174">
        <f>TableHome[[#This Row],['# Reviewed]]/TableHome[[#This Row],['# Test Cases]]</f>
        <v/>
      </c>
    </row>
    <row r="56" ht="22" customFormat="1" customHeight="1" s="3">
      <c r="A56" s="167" t="n">
        <v>54</v>
      </c>
      <c r="B56" s="167" t="inlineStr">
        <is>
          <t>Server</t>
        </is>
      </c>
      <c r="C56" s="167" t="inlineStr">
        <is>
          <t>IJT Asset Management Virtual Station</t>
        </is>
      </c>
      <c r="D56" s="167">
        <f>HYPERLINK("#'A Management Virtual Station'!A1","▶ A Management Virtual Station")</f>
        <v/>
      </c>
      <c r="E56" s="168" t="inlineStr">
        <is>
          <t>VirtualStations folder includes at least one VirtualStation with IVirtualStationType.</t>
        </is>
      </c>
      <c r="F56" s="167" t="n"/>
      <c r="G56" s="167" t="n">
        <v>2</v>
      </c>
      <c r="H56" s="169">
        <f>COUNT('A Management Virtual Station'!B:B)</f>
        <v/>
      </c>
      <c r="I56" s="169">
        <f>COUNTIF('A Management Virtual Station'!A:A,"y")</f>
        <v/>
      </c>
      <c r="J56" s="169">
        <f>COUNTIF('A Management Virtual Station'!A:A,"n")</f>
        <v/>
      </c>
      <c r="K56" s="169">
        <f>COUNTIF('A Management Virtual Station'!I:I,"y")</f>
        <v/>
      </c>
      <c r="L56" s="169">
        <f>TableHome[[#This Row],['# Test Cases]]-TableHome[[#This Row],['# Reviewed]]</f>
        <v/>
      </c>
      <c r="M56" s="170">
        <f>TableHome[[#This Row],['# Reviewed]]/TableHome[[#This Row],['# Test Cases]]</f>
        <v/>
      </c>
      <c r="N56" s="170">
        <f>TableHome[[#This Row],['# Reviewed]]/TableHome[[#This Row],['# Test Cases]]</f>
        <v/>
      </c>
    </row>
    <row r="57" ht="22" customFormat="1" customHeight="1" s="3">
      <c r="A57" s="171" t="n">
        <v>55</v>
      </c>
      <c r="B57" s="171" t="inlineStr">
        <is>
          <t>Server</t>
        </is>
      </c>
      <c r="C57" s="171" t="inlineStr">
        <is>
          <t>IJT Asset Management Operation Counters</t>
        </is>
      </c>
      <c r="D57" s="171">
        <f>HYPERLINK("#'A Management Operation Counters'!A1","▶ A Management Operation Counters")</f>
        <v/>
      </c>
      <c r="E57" s="172" t="inlineStr">
        <is>
          <t>At least one asset includes OperationCounters of type MachineryOperationCounterType.</t>
        </is>
      </c>
      <c r="F57" s="171" t="n"/>
      <c r="G57" s="171" t="n">
        <v>2</v>
      </c>
      <c r="H57" s="173">
        <f>COUNT('A Management Operation Counters'!B:B)</f>
        <v/>
      </c>
      <c r="I57" s="173">
        <f>COUNTIF('A Management Operation Counters'!A:A,"y")</f>
        <v/>
      </c>
      <c r="J57" s="173">
        <f>COUNTIF('A Management Operation Counters'!A:A,"n")</f>
        <v/>
      </c>
      <c r="K57" s="173">
        <f>COUNTIF('A Management Operation Counters'!I:I,"y")</f>
        <v/>
      </c>
      <c r="L57" s="173">
        <f>TableHome[[#This Row],['# Test Cases]]-TableHome[[#This Row],['# Reviewed]]</f>
        <v/>
      </c>
      <c r="M57" s="174">
        <f>TableHome[[#This Row],['# Reviewed]]/TableHome[[#This Row],['# Test Cases]]</f>
        <v/>
      </c>
      <c r="N57" s="174">
        <f>TableHome[[#This Row],['# Reviewed]]/TableHome[[#This Row],['# Test Cases]]</f>
        <v/>
      </c>
    </row>
    <row r="58" ht="22" customFormat="1" customHeight="1" s="3">
      <c r="A58" s="167" t="n">
        <v>56</v>
      </c>
      <c r="B58" s="167" t="inlineStr">
        <is>
          <t>Server</t>
        </is>
      </c>
      <c r="C58" s="167" t="inlineStr">
        <is>
          <t>IJT Asset Management Tool Operation Cycle Counter</t>
        </is>
      </c>
      <c r="D58" s="167">
        <f>HYPERLINK("#'A M T Operation Cycle Counter'!A1","▶ A M T Operation Cycle Counter")</f>
        <v/>
      </c>
      <c r="E58" s="168" t="inlineStr">
        <is>
          <t>Tool instances include OperationCounters with OperationCycleCounter.</t>
        </is>
      </c>
      <c r="F58" s="167" t="n"/>
      <c r="G58" s="167" t="n">
        <v>2</v>
      </c>
      <c r="H58" s="169">
        <f>COUNT('A M T Operation Cycle Counter'!B:B)</f>
        <v/>
      </c>
      <c r="I58" s="169">
        <f>COUNTIF('A M T Operation Cycle Counter'!A:A,"y")</f>
        <v/>
      </c>
      <c r="J58" s="169">
        <f>COUNTIF('A M T Operation Cycle Counter'!A:A,"n")</f>
        <v/>
      </c>
      <c r="K58" s="169">
        <f>COUNTIF('A M T Operation Cycle Counter'!I:I,"y")</f>
        <v/>
      </c>
      <c r="L58" s="169">
        <f>TableHome[[#This Row],['# Test Cases]]-TableHome[[#This Row],['# Reviewed]]</f>
        <v/>
      </c>
      <c r="M58" s="170">
        <f>TableHome[[#This Row],['# Reviewed]]/TableHome[[#This Row],['# Test Cases]]</f>
        <v/>
      </c>
      <c r="N58" s="170">
        <f>TableHome[[#This Row],['# Reviewed]]/TableHome[[#This Row],['# Test Cases]]</f>
        <v/>
      </c>
    </row>
    <row r="59" ht="22" customFormat="1" customHeight="1" s="3">
      <c r="A59" s="171" t="n">
        <v>57</v>
      </c>
      <c r="B59" s="171" t="inlineStr">
        <is>
          <t>Server</t>
        </is>
      </c>
      <c r="C59" s="171" t="inlineStr">
        <is>
          <t>IJT Asset Management Battery Operation Cycle Counter</t>
        </is>
      </c>
      <c r="D59" s="171">
        <f>HYPERLINK("#'A M B Operation Cycle Counter'!A1","▶ A M B Operation Cycle Counter")</f>
        <v/>
      </c>
      <c r="E59" s="172" t="inlineStr">
        <is>
          <t>Battery instances include OperationCounters with OperationCycleCounter.</t>
        </is>
      </c>
      <c r="F59" s="171" t="n"/>
      <c r="G59" s="171" t="n">
        <v>2</v>
      </c>
      <c r="H59" s="173">
        <f>COUNT('A M B Operation Cycle Counter'!B:B)</f>
        <v/>
      </c>
      <c r="I59" s="173">
        <f>COUNTIF('A M B Operation Cycle Counter'!A:A,"y")</f>
        <v/>
      </c>
      <c r="J59" s="173">
        <f>COUNTIF('A M B Operation Cycle Counter'!A:A,"n")</f>
        <v/>
      </c>
      <c r="K59" s="173">
        <f>COUNTIF('A M B Operation Cycle Counter'!I:I,"y")</f>
        <v/>
      </c>
      <c r="L59" s="173">
        <f>TableHome[[#This Row],['# Test Cases]]-TableHome[[#This Row],['# Reviewed]]</f>
        <v/>
      </c>
      <c r="M59" s="174">
        <f>TableHome[[#This Row],['# Reviewed]]/TableHome[[#This Row],['# Test Cases]]</f>
        <v/>
      </c>
      <c r="N59" s="174">
        <f>TableHome[[#This Row],['# Reviewed]]/TableHome[[#This Row],['# Test Cases]]</f>
        <v/>
      </c>
    </row>
    <row r="60" ht="22" customFormat="1" customHeight="1" s="3">
      <c r="A60" s="167" t="n">
        <v>58</v>
      </c>
      <c r="B60" s="167" t="inlineStr">
        <is>
          <t>Server</t>
        </is>
      </c>
      <c r="C60" s="167" t="inlineStr">
        <is>
          <t>IJT Asset Management Health</t>
        </is>
      </c>
      <c r="D60" s="167">
        <f>HYPERLINK("#'Asset Management Health'!A1","▶ Asset Management Health")</f>
        <v/>
      </c>
      <c r="E60" s="168" t="inlineStr">
        <is>
          <t>An asset instance supporting Health object shall include at least DeviceHealth property. It may include other properties.</t>
        </is>
      </c>
      <c r="F60" s="167" t="n"/>
      <c r="G60" s="167" t="n">
        <v>2</v>
      </c>
      <c r="H60" s="169">
        <f>COUNT('Asset Management Health'!B:B)</f>
        <v/>
      </c>
      <c r="I60" s="169">
        <f>COUNTIF('Asset Management Health'!A:A,"y")</f>
        <v/>
      </c>
      <c r="J60" s="169">
        <f>COUNTIF('Asset Management Health'!A:A,"n")</f>
        <v/>
      </c>
      <c r="K60" s="169">
        <f>COUNTIF('Asset Management Health'!I:I,"y")</f>
        <v/>
      </c>
      <c r="L60" s="169">
        <f>TableHome[[#This Row],['# Test Cases]]-TableHome[[#This Row],['# Reviewed]]</f>
        <v/>
      </c>
      <c r="M60" s="170">
        <f>TableHome[[#This Row],['# Reviewed]]/TableHome[[#This Row],['# Test Cases]]</f>
        <v/>
      </c>
      <c r="N60" s="170">
        <f>TableHome[[#This Row],['# Reviewed]]/TableHome[[#This Row],['# Test Cases]]</f>
        <v/>
      </c>
    </row>
    <row r="61" ht="22" customFormat="1" customHeight="1" s="3">
      <c r="A61" s="171" t="n">
        <v>59</v>
      </c>
      <c r="B61" s="171" t="inlineStr">
        <is>
          <t>Server</t>
        </is>
      </c>
      <c r="C61" s="171" t="inlineStr">
        <is>
          <t>IJT Asset Management Monitoring Health</t>
        </is>
      </c>
      <c r="D61" s="171">
        <f>HYPERLINK("#'A Management Monitoring Health'!A1","▶ A Management Monitoring Health")</f>
        <v/>
      </c>
      <c r="E61" s="172" t="inlineStr">
        <is>
          <t>At least one asset includes Monitoring.Health with DeviceHealth property.</t>
        </is>
      </c>
      <c r="F61" s="171" t="n"/>
      <c r="G61" s="171" t="n">
        <v>2</v>
      </c>
      <c r="H61" s="173">
        <f>COUNT('A Management Monitoring Health'!B:B)</f>
        <v/>
      </c>
      <c r="I61" s="173">
        <f>COUNTIF('A Management Monitoring Health'!A:A,"y")</f>
        <v/>
      </c>
      <c r="J61" s="173">
        <f>COUNTIF('A Management Monitoring Health'!A:A,"n")</f>
        <v/>
      </c>
      <c r="K61" s="173">
        <f>COUNTIF('A Management Monitoring Health'!I:I,"y")</f>
        <v/>
      </c>
      <c r="L61" s="173">
        <f>TableHome[[#This Row],['# Test Cases]]-TableHome[[#This Row],['# Reviewed]]</f>
        <v/>
      </c>
      <c r="M61" s="174">
        <f>TableHome[[#This Row],['# Reviewed]]/TableHome[[#This Row],['# Test Cases]]</f>
        <v/>
      </c>
      <c r="N61" s="174">
        <f>TableHome[[#This Row],['# Reviewed]]/TableHome[[#This Row],['# Test Cases]]</f>
        <v/>
      </c>
    </row>
    <row r="62" ht="22" customFormat="1" customHeight="1" s="3">
      <c r="A62" s="167" t="n">
        <v>60</v>
      </c>
      <c r="B62" s="167" t="inlineStr">
        <is>
          <t>Server</t>
        </is>
      </c>
      <c r="C62" s="167" t="inlineStr">
        <is>
          <t>IJT Asset Management Service</t>
        </is>
      </c>
      <c r="D62" s="167">
        <f>HYPERLINK("#'Asset Management Service'!A1","▶ Asset Management Service")</f>
        <v/>
      </c>
      <c r="E62" s="168" t="inlineStr">
        <is>
          <t>An asset instance supporting Maintenance.Service object shall include at least LastService and ServicePlace. It may include other properties.</t>
        </is>
      </c>
      <c r="F62" s="167" t="n"/>
      <c r="G62" s="167" t="n">
        <v>2</v>
      </c>
      <c r="H62" s="169">
        <f>COUNT('Asset Management Service'!B:B)</f>
        <v/>
      </c>
      <c r="I62" s="169">
        <f>COUNTIF('Asset Management Service'!A:A,"y")</f>
        <v/>
      </c>
      <c r="J62" s="169">
        <f>COUNTIF('Asset Management Service'!A:A,"n")</f>
        <v/>
      </c>
      <c r="K62" s="169">
        <f>COUNTIF('Asset Management Service'!I:I,"y")</f>
        <v/>
      </c>
      <c r="L62" s="169">
        <f>TableHome[[#This Row],['# Test Cases]]-TableHome[[#This Row],['# Reviewed]]</f>
        <v/>
      </c>
      <c r="M62" s="170">
        <f>TableHome[[#This Row],['# Reviewed]]/TableHome[[#This Row],['# Test Cases]]</f>
        <v/>
      </c>
      <c r="N62" s="170">
        <f>TableHome[[#This Row],['# Reviewed]]/TableHome[[#This Row],['# Test Cases]]</f>
        <v/>
      </c>
    </row>
    <row r="63" ht="22" customFormat="1" customHeight="1" s="3">
      <c r="A63" s="171" t="n">
        <v>61</v>
      </c>
      <c r="B63" s="171" t="inlineStr">
        <is>
          <t>Server</t>
        </is>
      </c>
      <c r="C63" s="171" t="inlineStr">
        <is>
          <t>IJT Asset Management Calibration</t>
        </is>
      </c>
      <c r="D63" s="171">
        <f>HYPERLINK("#'Asset Management Calibration'!A1","▶ Asset Management Calibration")</f>
        <v/>
      </c>
      <c r="E63" s="172" t="inlineStr">
        <is>
          <t>An asset instance supporting Maintenance.Calibration object shall include at least LastCalibration and CalibrationValue. It may include other properties. The Calibration data from a Joining System is applicable primarily for Sensor. If a Sensor is not available in the given joining system, then it is allowed to provide the Calibration information as part of the Tool.</t>
        </is>
      </c>
      <c r="F63" s="171" t="n"/>
      <c r="G63" s="171" t="n">
        <v>2</v>
      </c>
      <c r="H63" s="173">
        <f>COUNT('Asset Management Calibration'!B:B)</f>
        <v/>
      </c>
      <c r="I63" s="173">
        <f>COUNTIF('Asset Management Calibration'!A:A,"y")</f>
        <v/>
      </c>
      <c r="J63" s="173">
        <f>COUNTIF('Asset Management Calibration'!A:A,"n")</f>
        <v/>
      </c>
      <c r="K63" s="173">
        <f>COUNTIF('Asset Management Calibration'!I:I,"y")</f>
        <v/>
      </c>
      <c r="L63" s="173">
        <f>TableHome[[#This Row],['# Test Cases]]-TableHome[[#This Row],['# Reviewed]]</f>
        <v/>
      </c>
      <c r="M63" s="174">
        <f>TableHome[[#This Row],['# Reviewed]]/TableHome[[#This Row],['# Test Cases]]</f>
        <v/>
      </c>
      <c r="N63" s="174">
        <f>TableHome[[#This Row],['# Reviewed]]/TableHome[[#This Row],['# Test Cases]]</f>
        <v/>
      </c>
    </row>
    <row r="64" ht="22" customFormat="1" customHeight="1" s="3">
      <c r="A64" s="167" t="n">
        <v>62</v>
      </c>
      <c r="B64" s="167" t="inlineStr">
        <is>
          <t>Server</t>
        </is>
      </c>
      <c r="C64" s="167" t="inlineStr">
        <is>
          <t>IJT Asset Management Additional Information</t>
        </is>
      </c>
      <c r="D64" s="167">
        <f>HYPERLINK("#'A M Additional Information'!A1","▶ A M Additional Information")</f>
        <v/>
      </c>
      <c r="E64" s="168" t="inlineStr">
        <is>
          <t>All asset instances implement IJoiningAdditionalInformationType as part of Identification AddIn with at least JoiningTechnology property.</t>
        </is>
      </c>
      <c r="F64" s="167" t="n"/>
      <c r="G64" s="167" t="n">
        <v>2</v>
      </c>
      <c r="H64" s="169">
        <f>COUNT('A M Additional Information'!B:B)</f>
        <v/>
      </c>
      <c r="I64" s="169">
        <f>COUNTIF('A M Additional Information'!A:A,"y")</f>
        <v/>
      </c>
      <c r="J64" s="169">
        <f>COUNTIF('A M Additional Information'!A:A,"n")</f>
        <v/>
      </c>
      <c r="K64" s="169">
        <f>COUNTIF('A M Additional Information'!I:I,"y")</f>
        <v/>
      </c>
      <c r="L64" s="169">
        <f>TableHome[[#This Row],['# Test Cases]]-TableHome[[#This Row],['# Reviewed]]</f>
        <v/>
      </c>
      <c r="M64" s="170">
        <f>TableHome[[#This Row],['# Reviewed]]/TableHome[[#This Row],['# Test Cases]]</f>
        <v/>
      </c>
      <c r="N64" s="170">
        <f>TableHome[[#This Row],['# Reviewed]]/TableHome[[#This Row],['# Test Cases]]</f>
        <v/>
      </c>
    </row>
    <row r="65" ht="22" customFormat="1" customHeight="1" s="3">
      <c r="A65" s="171" t="n">
        <v>63</v>
      </c>
      <c r="B65" s="171" t="inlineStr">
        <is>
          <t>Server</t>
        </is>
      </c>
      <c r="C65" s="171" t="inlineStr">
        <is>
          <t>IJT Asset Management Machinery Building Blocks</t>
        </is>
      </c>
      <c r="D65" s="171">
        <f>HYPERLINK("#'A M Machinery Building Blocks'!A1","▶ A M Machinery Building Blocks")</f>
        <v/>
      </c>
      <c r="E65" s="172" t="inlineStr">
        <is>
          <t>All asset instances include optional MachineryBuildingBlocks per OPC 40001-1.</t>
        </is>
      </c>
      <c r="F65" s="171" t="n"/>
      <c r="G65" s="171" t="n">
        <v>2</v>
      </c>
      <c r="H65" s="173">
        <f>COUNT('A M Machinery Building Blocks'!B:B)</f>
        <v/>
      </c>
      <c r="I65" s="173">
        <f>COUNTIF('A M Machinery Building Blocks'!A:A,"y")</f>
        <v/>
      </c>
      <c r="J65" s="173">
        <f>COUNTIF('A M Machinery Building Blocks'!A:A,"n")</f>
        <v/>
      </c>
      <c r="K65" s="173">
        <f>COUNTIF('A M Machinery Building Blocks'!I:I,"y")</f>
        <v/>
      </c>
      <c r="L65" s="173">
        <f>TableHome[[#This Row],['# Test Cases]]-TableHome[[#This Row],['# Reviewed]]</f>
        <v/>
      </c>
      <c r="M65" s="174">
        <f>TableHome[[#This Row],['# Reviewed]]/TableHome[[#This Row],['# Test Cases]]</f>
        <v/>
      </c>
      <c r="N65" s="174">
        <f>TableHome[[#This Row],['# Reviewed]]/TableHome[[#This Row],['# Test Cases]]</f>
        <v/>
      </c>
    </row>
    <row r="66" ht="22" customFormat="1" customHeight="1" s="3">
      <c r="A66" s="167" t="n">
        <v>64</v>
      </c>
      <c r="B66" s="167" t="inlineStr">
        <is>
          <t>Server</t>
        </is>
      </c>
      <c r="C66" s="167" t="inlineStr">
        <is>
          <t>IJT Method Input Argument</t>
        </is>
      </c>
      <c r="D66" s="167">
        <f>HYPERLINK("#'Method Input Argument'!A1","▶ Method Input Argument")</f>
        <v/>
      </c>
      <c r="E66" s="168" t="inlineStr">
        <is>
          <t>If ProductInstanceUri is empty/NULL, server uses default asset. If non-empty, must be valid ProductInstanceUri; server returns error if not found.</t>
        </is>
      </c>
      <c r="F66" s="167" t="n"/>
      <c r="G66" s="167" t="n">
        <v>1</v>
      </c>
      <c r="H66" s="169">
        <f>COUNT('Method Input Argument'!B:B)</f>
        <v/>
      </c>
      <c r="I66" s="169">
        <f>COUNTIF('Method Input Argument'!A:A,"y")</f>
        <v/>
      </c>
      <c r="J66" s="169">
        <f>COUNTIF('Method Input Argument'!A:A,"n")</f>
        <v/>
      </c>
      <c r="K66" s="169">
        <f>COUNTIF('Method Input Argument'!I:I,"y")</f>
        <v/>
      </c>
      <c r="L66" s="169">
        <f>TableHome[[#This Row],['# Test Cases]]-TableHome[[#This Row],['# Reviewed]]</f>
        <v/>
      </c>
      <c r="M66" s="170">
        <f>TableHome[[#This Row],['# Reviewed]]/TableHome[[#This Row],['# Test Cases]]</f>
        <v/>
      </c>
      <c r="N66" s="170">
        <f>TableHome[[#This Row],['# Reviewed]]/TableHome[[#This Row],['# Test Cases]]</f>
        <v/>
      </c>
    </row>
    <row r="67" ht="22" customFormat="1" customHeight="1" s="3">
      <c r="A67" s="171" t="n">
        <v>65</v>
      </c>
      <c r="B67" s="171" t="inlineStr">
        <is>
          <t>Server</t>
        </is>
      </c>
      <c r="C67" s="171" t="inlineStr">
        <is>
          <t>IJT Disconnect Asset</t>
        </is>
      </c>
      <c r="D67" s="171">
        <f>HYPERLINK("#'Disconnect Asset'!A1","▶ Disconnect Asset")</f>
        <v/>
      </c>
      <c r="E67" s="172" t="inlineStr">
        <is>
          <t>Server supports DisconnectAsset method.</t>
        </is>
      </c>
      <c r="F67" s="171" t="n"/>
      <c r="G67" s="171" t="n">
        <v>1</v>
      </c>
      <c r="H67" s="173">
        <f>COUNT('Disconnect Asset'!B:B)</f>
        <v/>
      </c>
      <c r="I67" s="173">
        <f>COUNTIF('Disconnect Asset'!A:A,"y")</f>
        <v/>
      </c>
      <c r="J67" s="173">
        <f>COUNTIF('Disconnect Asset'!A:A,"n")</f>
        <v/>
      </c>
      <c r="K67" s="173">
        <f>COUNTIF('Disconnect Asset'!I:I,"y")</f>
        <v/>
      </c>
      <c r="L67" s="173">
        <f>TableHome[[#This Row],['# Test Cases]]-TableHome[[#This Row],['# Reviewed]]</f>
        <v/>
      </c>
      <c r="M67" s="174">
        <f>TableHome[[#This Row],['# Reviewed]]/TableHome[[#This Row],['# Test Cases]]</f>
        <v/>
      </c>
      <c r="N67" s="174">
        <f>TableHome[[#This Row],['# Reviewed]]/TableHome[[#This Row],['# Test Cases]]</f>
        <v/>
      </c>
    </row>
    <row r="68" ht="22" customFormat="1" customHeight="1" s="3">
      <c r="A68" s="167" t="n">
        <v>66</v>
      </c>
      <c r="B68" s="167" t="inlineStr">
        <is>
          <t>Server</t>
        </is>
      </c>
      <c r="C68" s="167" t="inlineStr">
        <is>
          <t>IJT Enable Tool</t>
        </is>
      </c>
      <c r="D68" s="167">
        <f>HYPERLINK("#'Enable Tool'!A1","▶ Enable Tool")</f>
        <v/>
      </c>
      <c r="E68" s="168" t="inlineStr">
        <is>
          <t>Server supports EnableAsset method for Tool instances.</t>
        </is>
      </c>
      <c r="F68" s="167" t="n"/>
      <c r="G68" s="167" t="n">
        <v>1</v>
      </c>
      <c r="H68" s="169">
        <f>COUNT('Enable Tool'!B:B)</f>
        <v/>
      </c>
      <c r="I68" s="169">
        <f>COUNTIF('Enable Tool'!A:A,"y")</f>
        <v/>
      </c>
      <c r="J68" s="169">
        <f>COUNTIF('Enable Tool'!A:A,"n")</f>
        <v/>
      </c>
      <c r="K68" s="169">
        <f>COUNTIF('Enable Tool'!I:I,"y")</f>
        <v/>
      </c>
      <c r="L68" s="169">
        <f>TableHome[[#This Row],['# Test Cases]]-TableHome[[#This Row],['# Reviewed]]</f>
        <v/>
      </c>
      <c r="M68" s="170">
        <f>TableHome[[#This Row],['# Reviewed]]/TableHome[[#This Row],['# Test Cases]]</f>
        <v/>
      </c>
      <c r="N68" s="170">
        <f>TableHome[[#This Row],['# Reviewed]]/TableHome[[#This Row],['# Test Cases]]</f>
        <v/>
      </c>
    </row>
    <row r="69" ht="22" customFormat="1" customHeight="1" s="3">
      <c r="A69" s="171" t="n">
        <v>67</v>
      </c>
      <c r="B69" s="171" t="inlineStr">
        <is>
          <t>Server</t>
        </is>
      </c>
      <c r="C69" s="171" t="inlineStr">
        <is>
          <t>IJT Send Identifiers</t>
        </is>
      </c>
      <c r="D69" s="171">
        <f>HYPERLINK("#'Send Identifiers Methods'!A1","▶ Send Identifiers Methods")</f>
        <v/>
      </c>
      <c r="E69" s="172" t="inlineStr">
        <is>
          <t>Server supports at least one of: SendIdentifiers, SendTextIdentifiers, or StartJoiningProcess with associatedEntities. Received identifiers are included in Result.ResultMetaData.AssociatedEntities[] with IsExternal=TRUE.</t>
        </is>
      </c>
      <c r="F69" s="171" t="n"/>
      <c r="G69" s="171" t="n">
        <v>1</v>
      </c>
      <c r="H69" s="173">
        <f>COUNT('Send Identifiers Methods'!B:B)</f>
        <v/>
      </c>
      <c r="I69" s="173">
        <f>COUNTIF('Send Identifiers Methods'!A:A,"y")</f>
        <v/>
      </c>
      <c r="J69" s="173">
        <f>COUNTIF('Send Identifiers Methods'!A:A,"n")</f>
        <v/>
      </c>
      <c r="K69" s="173">
        <f>COUNTIF('Send Identifiers Methods'!I:I,"y")</f>
        <v/>
      </c>
      <c r="L69" s="173">
        <f>TableHome[[#This Row],['# Test Cases]]-TableHome[[#This Row],['# Reviewed]]</f>
        <v/>
      </c>
      <c r="M69" s="174">
        <f>TableHome[[#This Row],['# Reviewed]]/TableHome[[#This Row],['# Test Cases]]</f>
        <v/>
      </c>
      <c r="N69" s="174">
        <f>TableHome[[#This Row],['# Reviewed]]/TableHome[[#This Row],['# Test Cases]]</f>
        <v/>
      </c>
    </row>
    <row r="70" ht="22" customFormat="1" customHeight="1" s="3">
      <c r="A70" s="167" t="n">
        <v>68</v>
      </c>
      <c r="B70" s="167" t="inlineStr">
        <is>
          <t>Server</t>
        </is>
      </c>
      <c r="C70" s="167" t="inlineStr">
        <is>
          <t>IJT Get Identifiers</t>
        </is>
      </c>
      <c r="D70" s="167">
        <f>HYPERLINK("#'Get Identifiers Method'!A1","▶ Get Identifiers Method")</f>
        <v/>
      </c>
      <c r="E70" s="168" t="inlineStr">
        <is>
          <t>Server supports GetIdentifiers method returning identifiers sent by Client or external interface (IsExternal=TRUE).</t>
        </is>
      </c>
      <c r="F70" s="167" t="n"/>
      <c r="G70" s="167" t="n">
        <v>2</v>
      </c>
      <c r="H70" s="169">
        <f>COUNT('Get Identifiers Method'!B:B)</f>
        <v/>
      </c>
      <c r="I70" s="169">
        <f>COUNTIF('Get Identifiers Method'!A:A,"y")</f>
        <v/>
      </c>
      <c r="J70" s="169">
        <f>COUNTIF('Get Identifiers Method'!A:A,"n")</f>
        <v/>
      </c>
      <c r="K70" s="169">
        <f>COUNTIF('Get Identifiers Method'!I:I,"y")</f>
        <v/>
      </c>
      <c r="L70" s="169">
        <f>TableHome[[#This Row],['# Test Cases]]-TableHome[[#This Row],['# Reviewed]]</f>
        <v/>
      </c>
      <c r="M70" s="170">
        <f>TableHome[[#This Row],['# Reviewed]]/TableHome[[#This Row],['# Test Cases]]</f>
        <v/>
      </c>
      <c r="N70" s="170">
        <f>TableHome[[#This Row],['# Reviewed]]/TableHome[[#This Row],['# Test Cases]]</f>
        <v/>
      </c>
    </row>
    <row r="71" ht="22" customFormat="1" customHeight="1" s="3">
      <c r="A71" s="171" t="n">
        <v>69</v>
      </c>
      <c r="B71" s="171" t="inlineStr">
        <is>
          <t>Server</t>
        </is>
      </c>
      <c r="C71" s="171" t="inlineStr">
        <is>
          <t>IJT Reset Identifiers</t>
        </is>
      </c>
      <c r="D71" s="171">
        <f>HYPERLINK("#'Reset Identifiers Method'!A1","▶ Reset Identifiers Method")</f>
        <v/>
      </c>
      <c r="E71" s="172" t="inlineStr">
        <is>
          <t>Server supports ResetIdentifiers method; resets identifiers where IsExternal=TRUE.</t>
        </is>
      </c>
      <c r="F71" s="171" t="n"/>
      <c r="G71" s="171" t="n">
        <v>2</v>
      </c>
      <c r="H71" s="173">
        <f>COUNT('Reset Identifiers Method'!B:B)</f>
        <v/>
      </c>
      <c r="I71" s="173">
        <f>COUNTIF('Reset Identifiers Method'!A:A,"y")</f>
        <v/>
      </c>
      <c r="J71" s="173">
        <f>COUNTIF('Reset Identifiers Method'!A:A,"n")</f>
        <v/>
      </c>
      <c r="K71" s="173">
        <f>COUNTIF('Reset Identifiers Method'!I:I,"y")</f>
        <v/>
      </c>
      <c r="L71" s="173">
        <f>TableHome[[#This Row],['# Test Cases]]-TableHome[[#This Row],['# Reviewed]]</f>
        <v/>
      </c>
      <c r="M71" s="174">
        <f>TableHome[[#This Row],['# Reviewed]]/TableHome[[#This Row],['# Test Cases]]</f>
        <v/>
      </c>
      <c r="N71" s="174">
        <f>TableHome[[#This Row],['# Reviewed]]/TableHome[[#This Row],['# Test Cases]]</f>
        <v/>
      </c>
    </row>
    <row r="72" ht="22" customFormat="1" customHeight="1" s="3">
      <c r="A72" s="167" t="n">
        <v>70</v>
      </c>
      <c r="B72" s="167" t="inlineStr">
        <is>
          <t>Server</t>
        </is>
      </c>
      <c r="C72" s="167" t="inlineStr">
        <is>
          <t>IJT Set Calibration</t>
        </is>
      </c>
      <c r="D72" s="167">
        <f>HYPERLINK("#'Set Calibration'!A1","▶ Set Calibration")</f>
        <v/>
      </c>
      <c r="E72" s="168" t="inlineStr">
        <is>
          <t>Server supports SetCalibration method.</t>
        </is>
      </c>
      <c r="F72" s="167" t="n"/>
      <c r="G72" s="167" t="n">
        <v>2</v>
      </c>
      <c r="H72" s="169">
        <f>COUNT('Set Calibration'!B:B)</f>
        <v/>
      </c>
      <c r="I72" s="169">
        <f>COUNTIF('Set Calibration'!A:A,"y")</f>
        <v/>
      </c>
      <c r="J72" s="169">
        <f>COUNTIF('Set Calibration'!A:A,"n")</f>
        <v/>
      </c>
      <c r="K72" s="169">
        <f>COUNTIF('Set Calibration'!I:I,"y")</f>
        <v/>
      </c>
      <c r="L72" s="169">
        <f>TableHome[[#This Row],['# Test Cases]]-TableHome[[#This Row],['# Reviewed]]</f>
        <v/>
      </c>
      <c r="M72" s="170">
        <f>TableHome[[#This Row],['# Reviewed]]/TableHome[[#This Row],['# Test Cases]]</f>
        <v/>
      </c>
      <c r="N72" s="170">
        <f>TableHome[[#This Row],['# Reviewed]]/TableHome[[#This Row],['# Test Cases]]</f>
        <v/>
      </c>
    </row>
    <row r="73" ht="22" customFormat="1" customHeight="1" s="3">
      <c r="A73" s="171" t="n">
        <v>71</v>
      </c>
      <c r="B73" s="171" t="inlineStr">
        <is>
          <t>Server</t>
        </is>
      </c>
      <c r="C73" s="171" t="inlineStr">
        <is>
          <t>IJT Reboot Asset</t>
        </is>
      </c>
      <c r="D73" s="171">
        <f>HYPERLINK("#'Reboot Asset'!A1","▶ Reboot Asset")</f>
        <v/>
      </c>
      <c r="E73" s="172" t="inlineStr">
        <is>
          <t>Server supports RebootAsset method.</t>
        </is>
      </c>
      <c r="F73" s="171" t="n"/>
      <c r="G73" s="171" t="n">
        <v>2</v>
      </c>
      <c r="H73" s="173">
        <f>COUNT('Reboot Asset'!B:B)</f>
        <v/>
      </c>
      <c r="I73" s="173">
        <f>COUNTIF('Reboot Asset'!A:A,"y")</f>
        <v/>
      </c>
      <c r="J73" s="173">
        <f>COUNTIF('Reboot Asset'!A:A,"n")</f>
        <v/>
      </c>
      <c r="K73" s="173">
        <f>COUNTIF('Reboot Asset'!I:I,"y")</f>
        <v/>
      </c>
      <c r="L73" s="173">
        <f>TableHome[[#This Row],['# Test Cases]]-TableHome[[#This Row],['# Reviewed]]</f>
        <v/>
      </c>
      <c r="M73" s="174">
        <f>TableHome[[#This Row],['# Reviewed]]/TableHome[[#This Row],['# Test Cases]]</f>
        <v/>
      </c>
      <c r="N73" s="174">
        <f>TableHome[[#This Row],['# Reviewed]]/TableHome[[#This Row],['# Test Cases]]</f>
        <v/>
      </c>
    </row>
    <row r="74" ht="22" customFormat="1" customHeight="1" s="3">
      <c r="A74" s="167" t="n">
        <v>72</v>
      </c>
      <c r="B74" s="167" t="inlineStr">
        <is>
          <t>Server</t>
        </is>
      </c>
      <c r="C74" s="167" t="inlineStr">
        <is>
          <t>IJT Feedback Methods</t>
        </is>
      </c>
      <c r="D74" s="167">
        <f>HYPERLINK("#'Feedback Methods'!A1","▶ Feedback Methods")</f>
        <v/>
      </c>
      <c r="E74" s="168" t="inlineStr">
        <is>
          <t>Server supports SendFeedback and GetFeedbackFileList methods.</t>
        </is>
      </c>
      <c r="F74" s="167" t="n"/>
      <c r="G74" s="167" t="n">
        <v>2</v>
      </c>
      <c r="H74" s="169">
        <f>COUNT('Feedback Methods'!B:B)</f>
        <v/>
      </c>
      <c r="I74" s="169">
        <f>COUNTIF('Feedback Methods'!A:A,"y")</f>
        <v/>
      </c>
      <c r="J74" s="169">
        <f>COUNTIF('Feedback Methods'!A:A,"n")</f>
        <v/>
      </c>
      <c r="K74" s="169">
        <f>COUNTIF('Feedback Methods'!I:I,"y")</f>
        <v/>
      </c>
      <c r="L74" s="169">
        <f>TableHome[[#This Row],['# Test Cases]]-TableHome[[#This Row],['# Reviewed]]</f>
        <v/>
      </c>
      <c r="M74" s="170">
        <f>TableHome[[#This Row],['# Reviewed]]/TableHome[[#This Row],['# Test Cases]]</f>
        <v/>
      </c>
      <c r="N74" s="170">
        <f>TableHome[[#This Row],['# Reviewed]]/TableHome[[#This Row],['# Test Cases]]</f>
        <v/>
      </c>
    </row>
    <row r="75" ht="22" customFormat="1" customHeight="1" s="3">
      <c r="A75" s="171" t="n">
        <v>73</v>
      </c>
      <c r="B75" s="171" t="inlineStr">
        <is>
          <t>Server</t>
        </is>
      </c>
      <c r="C75" s="171" t="inlineStr">
        <is>
          <t>IJT Set Time</t>
        </is>
      </c>
      <c r="D75" s="171">
        <f>HYPERLINK("#'Set Time'!A1","▶ Set Time")</f>
        <v/>
      </c>
      <c r="E75" s="172" t="inlineStr">
        <is>
          <t>Server supports SetTime method.</t>
        </is>
      </c>
      <c r="F75" s="171" t="n"/>
      <c r="G75" s="171" t="n">
        <v>1</v>
      </c>
      <c r="H75" s="173">
        <f>COUNT('Set Time'!B:B)</f>
        <v/>
      </c>
      <c r="I75" s="173">
        <f>COUNTIF('Set Time'!A:A,"y")</f>
        <v/>
      </c>
      <c r="J75" s="173">
        <f>COUNTIF('Set Time'!A:A,"n")</f>
        <v/>
      </c>
      <c r="K75" s="173">
        <f>COUNTIF('Set Time'!I:I,"y")</f>
        <v/>
      </c>
      <c r="L75" s="173">
        <f>TableHome[[#This Row],['# Test Cases]]-TableHome[[#This Row],['# Reviewed]]</f>
        <v/>
      </c>
      <c r="M75" s="174">
        <f>TableHome[[#This Row],['# Reviewed]]/TableHome[[#This Row],['# Test Cases]]</f>
        <v/>
      </c>
      <c r="N75" s="174">
        <f>TableHome[[#This Row],['# Reviewed]]/TableHome[[#This Row],['# Test Cases]]</f>
        <v/>
      </c>
    </row>
    <row r="76" ht="22" customFormat="1" customHeight="1" s="3">
      <c r="A76" s="167" t="n">
        <v>74</v>
      </c>
      <c r="B76" s="167" t="inlineStr">
        <is>
          <t>Server</t>
        </is>
      </c>
      <c r="C76" s="167" t="inlineStr">
        <is>
          <t>IJT Set Offline Timer</t>
        </is>
      </c>
      <c r="D76" s="167">
        <f>HYPERLINK("#'Set Offline Timer'!A1","▶ Set Offline Timer")</f>
        <v/>
      </c>
      <c r="E76" s="168" t="inlineStr">
        <is>
          <t>Server supports SetOfflineTimer method.</t>
        </is>
      </c>
      <c r="F76" s="167" t="n"/>
      <c r="G76" s="167" t="n">
        <v>2</v>
      </c>
      <c r="H76" s="169">
        <f>COUNT('Set Offline Timer'!B:B)</f>
        <v/>
      </c>
      <c r="I76" s="169">
        <f>COUNTIF('Set Offline Timer'!A:A,"y")</f>
        <v/>
      </c>
      <c r="J76" s="169">
        <f>COUNTIF('Set Offline Timer'!A:A,"n")</f>
        <v/>
      </c>
      <c r="K76" s="169">
        <f>COUNTIF('Set Offline Timer'!I:I,"y")</f>
        <v/>
      </c>
      <c r="L76" s="169">
        <f>TableHome[[#This Row],['# Test Cases]]-TableHome[[#This Row],['# Reviewed]]</f>
        <v/>
      </c>
      <c r="M76" s="170">
        <f>TableHome[[#This Row],['# Reviewed]]/TableHome[[#This Row],['# Test Cases]]</f>
        <v/>
      </c>
      <c r="N76" s="170">
        <f>TableHome[[#This Row],['# Reviewed]]/TableHome[[#This Row],['# Test Cases]]</f>
        <v/>
      </c>
    </row>
    <row r="77" ht="22" customFormat="1" customHeight="1" s="3">
      <c r="A77" s="171" t="n">
        <v>75</v>
      </c>
      <c r="B77" s="171" t="inlineStr">
        <is>
          <t>Server</t>
        </is>
      </c>
      <c r="C77" s="171" t="inlineStr">
        <is>
          <t>IJT IO Signals Methods</t>
        </is>
      </c>
      <c r="D77" s="171">
        <f>HYPERLINK("#'IO Signals Methods'!A1","▶ IO Signals Methods")</f>
        <v/>
      </c>
      <c r="E77" s="172" t="inlineStr">
        <is>
          <t>Server supports SetIOSignals and GetIOSignals methods.</t>
        </is>
      </c>
      <c r="F77" s="171" t="n"/>
      <c r="G77" s="171" t="n">
        <v>2</v>
      </c>
      <c r="H77" s="173">
        <f>COUNT('IO Signals Methods'!B:B)</f>
        <v/>
      </c>
      <c r="I77" s="173">
        <f>COUNTIF('IO Signals Methods'!A:A,"y")</f>
        <v/>
      </c>
      <c r="J77" s="173">
        <f>COUNTIF('IO Signals Methods'!A:A,"n")</f>
        <v/>
      </c>
      <c r="K77" s="173">
        <f>COUNTIF('IO Signals Methods'!I:I,"y")</f>
        <v/>
      </c>
      <c r="L77" s="173">
        <f>TableHome[[#This Row],['# Test Cases]]-TableHome[[#This Row],['# Reviewed]]</f>
        <v/>
      </c>
      <c r="M77" s="174">
        <f>TableHome[[#This Row],['# Reviewed]]/TableHome[[#This Row],['# Test Cases]]</f>
        <v/>
      </c>
      <c r="N77" s="174">
        <f>TableHome[[#This Row],['# Reviewed]]/TableHome[[#This Row],['# Test Cases]]</f>
        <v/>
      </c>
    </row>
    <row r="78" ht="22" customFormat="1" customHeight="1" s="3">
      <c r="A78" s="167" t="n">
        <v>76</v>
      </c>
      <c r="B78" s="167" t="inlineStr">
        <is>
          <t>Server</t>
        </is>
      </c>
      <c r="C78" s="167" t="inlineStr">
        <is>
          <t>IJT Get Error Information</t>
        </is>
      </c>
      <c r="D78" s="167">
        <f>HYPERLINK("#'Get Error Information'!A1","▶ Get Error Information")</f>
        <v/>
      </c>
      <c r="E78" s="168" t="inlineStr">
        <is>
          <t>Server supports GetErrorInformation method.</t>
        </is>
      </c>
      <c r="F78" s="167" t="n"/>
      <c r="G78" s="167" t="n">
        <v>2</v>
      </c>
      <c r="H78" s="169">
        <f>COUNT('Get Error Information'!B:B)</f>
        <v/>
      </c>
      <c r="I78" s="169">
        <f>COUNTIF('Get Error Information'!A:A,"y")</f>
        <v/>
      </c>
      <c r="J78" s="169">
        <f>COUNTIF('Get Error Information'!A:A,"n")</f>
        <v/>
      </c>
      <c r="K78" s="169">
        <f>COUNTIF('Get Error Information'!I:I,"y")</f>
        <v/>
      </c>
      <c r="L78" s="169">
        <f>TableHome[[#This Row],['# Test Cases]]-TableHome[[#This Row],['# Reviewed]]</f>
        <v/>
      </c>
      <c r="M78" s="170">
        <f>TableHome[[#This Row],['# Reviewed]]/TableHome[[#This Row],['# Test Cases]]</f>
        <v/>
      </c>
      <c r="N78" s="170">
        <f>TableHome[[#This Row],['# Reviewed]]/TableHome[[#This Row],['# Test Cases]]</f>
        <v/>
      </c>
    </row>
    <row r="79" ht="22" customFormat="1" customHeight="1" s="3">
      <c r="A79" s="171" t="n">
        <v>77</v>
      </c>
      <c r="B79" s="171" t="inlineStr">
        <is>
          <t>Server</t>
        </is>
      </c>
      <c r="C79" s="171" t="inlineStr">
        <is>
          <t>IJT Execute Operation</t>
        </is>
      </c>
      <c r="D79" s="171">
        <f>HYPERLINK("#'Execute Operation'!A1","▶ Execute Operation")</f>
        <v/>
      </c>
      <c r="E79" s="172" t="inlineStr">
        <is>
          <t>Server supports ExecuteOperation method.</t>
        </is>
      </c>
      <c r="F79" s="171" t="n"/>
      <c r="G79" s="171" t="n">
        <v>2</v>
      </c>
      <c r="H79" s="173">
        <f>COUNT('Execute Operation'!B:B)</f>
        <v/>
      </c>
      <c r="I79" s="173">
        <f>COUNTIF('Execute Operation'!A:A,"y")</f>
        <v/>
      </c>
      <c r="J79" s="173">
        <f>COUNTIF('Execute Operation'!A:A,"n")</f>
        <v/>
      </c>
      <c r="K79" s="173">
        <f>COUNTIF('Execute Operation'!I:I,"y")</f>
        <v/>
      </c>
      <c r="L79" s="173">
        <f>TableHome[[#This Row],['# Test Cases]]-TableHome[[#This Row],['# Reviewed]]</f>
        <v/>
      </c>
      <c r="M79" s="174">
        <f>TableHome[[#This Row],['# Reviewed]]/TableHome[[#This Row],['# Test Cases]]</f>
        <v/>
      </c>
      <c r="N79" s="174">
        <f>TableHome[[#This Row],['# Reviewed]]/TableHome[[#This Row],['# Test Cases]]</f>
        <v/>
      </c>
    </row>
    <row r="80" ht="22" customFormat="1" customHeight="1" s="3">
      <c r="A80" s="167" t="n">
        <v>78</v>
      </c>
      <c r="B80" s="167" t="inlineStr">
        <is>
          <t>Server</t>
        </is>
      </c>
      <c r="C80" s="167" t="inlineStr">
        <is>
          <t>IJT Event Payload</t>
        </is>
      </c>
      <c r="D80" s="167">
        <f>HYPERLINK("#'Event Payload'!A1","▶ Event Payload")</f>
        <v/>
      </c>
      <c r="E80" s="168" t="inlineStr">
        <is>
          <t>All JoiningSystemEventType events include JoiningSystemEventContentType payload with JoiningTechnology, EventText, EventCode.</t>
        </is>
      </c>
      <c r="F80" s="167" t="n"/>
      <c r="G80" s="167" t="n">
        <v>1</v>
      </c>
      <c r="H80" s="169">
        <f>COUNT('Event Payload'!B:B)</f>
        <v/>
      </c>
      <c r="I80" s="169">
        <f>COUNTIF('Event Payload'!A:A,"y")</f>
        <v/>
      </c>
      <c r="J80" s="169">
        <f>COUNTIF('Event Payload'!A:A,"n")</f>
        <v/>
      </c>
      <c r="K80" s="169">
        <f>COUNTIF('Event Payload'!I:I,"y")</f>
        <v/>
      </c>
      <c r="L80" s="169">
        <f>TableHome[[#This Row],['# Test Cases]]-TableHome[[#This Row],['# Reviewed]]</f>
        <v/>
      </c>
      <c r="M80" s="170">
        <f>TableHome[[#This Row],['# Reviewed]]/TableHome[[#This Row],['# Test Cases]]</f>
        <v/>
      </c>
      <c r="N80" s="170">
        <f>TableHome[[#This Row],['# Reviewed]]/TableHome[[#This Row],['# Test Cases]]</f>
        <v/>
      </c>
    </row>
    <row r="81" ht="22" customFormat="1" customHeight="1" s="3">
      <c r="A81" s="171" t="n">
        <v>79</v>
      </c>
      <c r="B81" s="171" t="inlineStr">
        <is>
          <t>Server</t>
        </is>
      </c>
      <c r="C81" s="171" t="inlineStr">
        <is>
          <t>IJT Event Condition Classes</t>
        </is>
      </c>
      <c r="D81" s="171">
        <f>HYPERLINK("#'Event Condition Classes'!A1","▶ Event Condition Classes")</f>
        <v/>
      </c>
      <c r="E81" s="172" t="inlineStr">
        <is>
          <t>Condition-class checks apply to JoiningSystemConditionType/event CUs that expose condition class fields. Do not apply this check to ResultReadyEventType variants.</t>
        </is>
      </c>
      <c r="F81" s="171" t="n"/>
      <c r="G81" s="171" t="n">
        <v>1</v>
      </c>
      <c r="H81" s="173">
        <f>COUNT('Event Condition Classes'!B:B)</f>
        <v/>
      </c>
      <c r="I81" s="173">
        <f>COUNTIF('Event Condition Classes'!A:A,"y")</f>
        <v/>
      </c>
      <c r="J81" s="173">
        <f>COUNTIF('Event Condition Classes'!A:A,"n")</f>
        <v/>
      </c>
      <c r="K81" s="173">
        <f>COUNTIF('Event Condition Classes'!I:I,"y")</f>
        <v/>
      </c>
      <c r="L81" s="173">
        <f>TableHome[[#This Row],['# Test Cases]]-TableHome[[#This Row],['# Reviewed]]</f>
        <v/>
      </c>
      <c r="M81" s="174">
        <f>TableHome[[#This Row],['# Reviewed]]/TableHome[[#This Row],['# Test Cases]]</f>
        <v/>
      </c>
      <c r="N81" s="174">
        <f>TableHome[[#This Row],['# Reviewed]]/TableHome[[#This Row],['# Test Cases]]</f>
        <v/>
      </c>
    </row>
    <row r="82" ht="22" customFormat="1" customHeight="1" s="3">
      <c r="A82" s="167" t="n">
        <v>80</v>
      </c>
      <c r="B82" s="167" t="inlineStr">
        <is>
          <t>Server</t>
        </is>
      </c>
      <c r="C82" s="167" t="inlineStr">
        <is>
          <t>IJT Asset Connection Event</t>
        </is>
      </c>
      <c r="D82" s="167">
        <f>HYPERLINK("#'Asset Connection Event'!A1","▶ Asset Connection Event")</f>
        <v/>
      </c>
      <c r="E82" s="168" t="inlineStr">
        <is>
          <t>Server generates JoiningSystemEventType on asset connect/disconnect. ConditionClass=SystemConditionClassType; SubClass=AssetConnectedConditionClassType or AssetDisconnectedConditionClassType.</t>
        </is>
      </c>
      <c r="F82" s="167" t="n"/>
      <c r="G82" s="167" t="n">
        <v>2</v>
      </c>
      <c r="H82" s="169">
        <f>COUNT('Asset Connection Event'!B:B)</f>
        <v/>
      </c>
      <c r="I82" s="169">
        <f>COUNTIF('Asset Connection Event'!A:A,"y")</f>
        <v/>
      </c>
      <c r="J82" s="169">
        <f>COUNTIF('Asset Connection Event'!A:A,"n")</f>
        <v/>
      </c>
      <c r="K82" s="169">
        <f>COUNTIF('Asset Connection Event'!I:I,"y")</f>
        <v/>
      </c>
      <c r="L82" s="169">
        <f>TableHome[[#This Row],['# Test Cases]]-TableHome[[#This Row],['# Reviewed]]</f>
        <v/>
      </c>
      <c r="M82" s="170">
        <f>TableHome[[#This Row],['# Reviewed]]/TableHome[[#This Row],['# Test Cases]]</f>
        <v/>
      </c>
      <c r="N82" s="170">
        <f>TableHome[[#This Row],['# Reviewed]]/TableHome[[#This Row],['# Test Cases]]</f>
        <v/>
      </c>
    </row>
    <row r="83" ht="22" customFormat="1" customHeight="1" s="3">
      <c r="A83" s="171" t="n">
        <v>81</v>
      </c>
      <c r="B83" s="171" t="inlineStr">
        <is>
          <t>Server</t>
        </is>
      </c>
      <c r="C83" s="171" t="inlineStr">
        <is>
          <t>IJT Asset Connection State Event</t>
        </is>
      </c>
      <c r="D83" s="171">
        <f>HYPERLINK("#'Asset Connection State Event'!A1","▶ Asset Connection State Event")</f>
        <v/>
      </c>
      <c r="E83" s="172" t="inlineStr">
        <is>
          <t>Server generates JoiningSystemEventType based on Asset.Parameters.Connected value. ConditionClass=SystemConditionClassType; SubClass=AssetConnected/DisconnectedConditionClassType.</t>
        </is>
      </c>
      <c r="F83" s="171" t="n"/>
      <c r="G83" s="171" t="n">
        <v>1</v>
      </c>
      <c r="H83" s="173">
        <f>COUNT('Asset Connection State Event'!B:B)</f>
        <v/>
      </c>
      <c r="I83" s="173">
        <f>COUNTIF('Asset Connection State Event'!A:A,"y")</f>
        <v/>
      </c>
      <c r="J83" s="173">
        <f>COUNTIF('Asset Connection State Event'!A:A,"n")</f>
        <v/>
      </c>
      <c r="K83" s="173">
        <f>COUNTIF('Asset Connection State Event'!I:I,"y")</f>
        <v/>
      </c>
      <c r="L83" s="173">
        <f>TableHome[[#This Row],['# Test Cases]]-TableHome[[#This Row],['# Reviewed]]</f>
        <v/>
      </c>
      <c r="M83" s="174">
        <f>TableHome[[#This Row],['# Reviewed]]/TableHome[[#This Row],['# Test Cases]]</f>
        <v/>
      </c>
      <c r="N83" s="174">
        <f>TableHome[[#This Row],['# Reviewed]]/TableHome[[#This Row],['# Test Cases]]</f>
        <v/>
      </c>
    </row>
    <row r="84" ht="22" customFormat="1" customHeight="1" s="3">
      <c r="A84" s="167" t="n">
        <v>82</v>
      </c>
      <c r="B84" s="167" t="inlineStr">
        <is>
          <t>Server</t>
        </is>
      </c>
      <c r="C84" s="167" t="inlineStr">
        <is>
          <t>IJT Asset Enable State Event</t>
        </is>
      </c>
      <c r="D84" s="167">
        <f>HYPERLINK("#'Asset Enable State Event'!A1","▶ Asset Enable State Event")</f>
        <v/>
      </c>
      <c r="E84" s="168" t="inlineStr">
        <is>
          <t>Server generates JoiningSystemEventType on asset enable/disable. ConditionClass=SystemConditionClassType; SubClass=AssetEnabled/DisabledConditionClassType.</t>
        </is>
      </c>
      <c r="F84" s="167" t="n"/>
      <c r="G84" s="167" t="n">
        <v>1</v>
      </c>
      <c r="H84" s="169">
        <f>COUNT('Asset Enable State Event'!B:B)</f>
        <v/>
      </c>
      <c r="I84" s="169">
        <f>COUNTIF('Asset Enable State Event'!A:A,"y")</f>
        <v/>
      </c>
      <c r="J84" s="169">
        <f>COUNTIF('Asset Enable State Event'!A:A,"n")</f>
        <v/>
      </c>
      <c r="K84" s="169">
        <f>COUNTIF('Asset Enable State Event'!I:I,"y")</f>
        <v/>
      </c>
      <c r="L84" s="169">
        <f>TableHome[[#This Row],['# Test Cases]]-TableHome[[#This Row],['# Reviewed]]</f>
        <v/>
      </c>
      <c r="M84" s="170">
        <f>TableHome[[#This Row],['# Reviewed]]/TableHome[[#This Row],['# Test Cases]]</f>
        <v/>
      </c>
      <c r="N84" s="170">
        <f>TableHome[[#This Row],['# Reviewed]]/TableHome[[#This Row],['# Test Cases]]</f>
        <v/>
      </c>
    </row>
    <row r="85" ht="22" customFormat="1" customHeight="1" s="3">
      <c r="A85" s="171" t="n">
        <v>83</v>
      </c>
      <c r="B85" s="171" t="inlineStr">
        <is>
          <t>Server</t>
        </is>
      </c>
      <c r="C85" s="171" t="inlineStr">
        <is>
          <t>IJT Event Payload Associated Entities</t>
        </is>
      </c>
      <c r="D85" s="171">
        <f>HYPERLINK("#'E Payload Associated Entities'!A1","▶ E Payload Associated Entities")</f>
        <v/>
      </c>
      <c r="E85" s="172" t="inlineStr">
        <is>
          <t>Event payload includes AssociatedEntities[] with identifiers related to the event.</t>
        </is>
      </c>
      <c r="F85" s="171" t="n"/>
      <c r="G85" s="171" t="n">
        <v>2</v>
      </c>
      <c r="H85" s="173">
        <f>COUNT('E Payload Associated Entities'!B:B)</f>
        <v/>
      </c>
      <c r="I85" s="173">
        <f>COUNTIF('E Payload Associated Entities'!A:A,"y")</f>
        <v/>
      </c>
      <c r="J85" s="173">
        <f>COUNTIF('E Payload Associated Entities'!A:A,"n")</f>
        <v/>
      </c>
      <c r="K85" s="173">
        <f>COUNTIF('E Payload Associated Entities'!I:I,"y")</f>
        <v/>
      </c>
      <c r="L85" s="173">
        <f>TableHome[[#This Row],['# Test Cases]]-TableHome[[#This Row],['# Reviewed]]</f>
        <v/>
      </c>
      <c r="M85" s="174">
        <f>TableHome[[#This Row],['# Reviewed]]/TableHome[[#This Row],['# Test Cases]]</f>
        <v/>
      </c>
      <c r="N85" s="174">
        <f>TableHome[[#This Row],['# Reviewed]]/TableHome[[#This Row],['# Test Cases]]</f>
        <v/>
      </c>
    </row>
    <row r="86" ht="22" customFormat="1" customHeight="1" s="3">
      <c r="A86" s="167" t="n">
        <v>84</v>
      </c>
      <c r="B86" s="167" t="inlineStr">
        <is>
          <t>Server</t>
        </is>
      </c>
      <c r="C86" s="167" t="inlineStr">
        <is>
          <t>IJT Event Payload Reported Values</t>
        </is>
      </c>
      <c r="D86" s="167">
        <f>HYPERLINK("#'Event Payload Reported Values'!A1","▶ Event Payload Reported Values")</f>
        <v/>
      </c>
      <c r="E86" s="168" t="inlineStr">
        <is>
          <t>The JoiningSystemEventContent shall contain the one or more ReportedValues as part of JoiningSystemEventContent/ReportedValues[] corresponding to the respective measurement of properties such as Over Temperature, Over Current, etc. If the ConditionClass or ConditionSubClass of the event or condition is ThresholdViolationConditionClassType or ThresholdViolationResolvedConditionClassType, then it is required to include the respective ReportedValues.</t>
        </is>
      </c>
      <c r="F86" s="167" t="n"/>
      <c r="G86" s="167" t="n">
        <v>2</v>
      </c>
      <c r="H86" s="169">
        <f>COUNT('Event Payload Reported Values'!B:B)</f>
        <v/>
      </c>
      <c r="I86" s="169">
        <f>COUNTIF('Event Payload Reported Values'!A:A,"y")</f>
        <v/>
      </c>
      <c r="J86" s="169">
        <f>COUNTIF('Event Payload Reported Values'!A:A,"n")</f>
        <v/>
      </c>
      <c r="K86" s="169">
        <f>COUNTIF('Event Payload Reported Values'!I:I,"y")</f>
        <v/>
      </c>
      <c r="L86" s="169">
        <f>TableHome[[#This Row],['# Test Cases]]-TableHome[[#This Row],['# Reviewed]]</f>
        <v/>
      </c>
      <c r="M86" s="170">
        <f>TableHome[[#This Row],['# Reviewed]]/TableHome[[#This Row],['# Test Cases]]</f>
        <v/>
      </c>
      <c r="N86" s="170">
        <f>TableHome[[#This Row],['# Reviewed]]/TableHome[[#This Row],['# Test Cases]]</f>
        <v/>
      </c>
    </row>
    <row r="87" ht="22" customFormat="1" customHeight="1" s="3">
      <c r="A87" s="171" t="n">
        <v>85</v>
      </c>
      <c r="B87" s="171" t="inlineStr">
        <is>
          <t>Server</t>
        </is>
      </c>
      <c r="C87" s="171" t="inlineStr">
        <is>
          <t>IJT Identifiers Event</t>
        </is>
      </c>
      <c r="D87" s="171">
        <f>HYPERLINK("#'Identifiers Event'!A1","▶ Identifiers Event")</f>
        <v/>
      </c>
      <c r="E87" s="172" t="inlineStr">
        <is>
          <t>Server generates JoiningSystemEventType when identifiers received via SendIdentifiers, SendTextIdentifiers, StartJoiningProcess, or external interface. AssociatedEntities[] includes received identifiers.</t>
        </is>
      </c>
      <c r="F87" s="171" t="n"/>
      <c r="G87" s="171" t="n">
        <v>2</v>
      </c>
      <c r="H87" s="173">
        <f>COUNT('Identifiers Event'!B:B)</f>
        <v/>
      </c>
      <c r="I87" s="173">
        <f>COUNTIF('Identifiers Event'!A:A,"y")</f>
        <v/>
      </c>
      <c r="J87" s="173">
        <f>COUNTIF('Identifiers Event'!A:A,"n")</f>
        <v/>
      </c>
      <c r="K87" s="173">
        <f>COUNTIF('Identifiers Event'!I:I,"y")</f>
        <v/>
      </c>
      <c r="L87" s="173">
        <f>TableHome[[#This Row],['# Test Cases]]-TableHome[[#This Row],['# Reviewed]]</f>
        <v/>
      </c>
      <c r="M87" s="174">
        <f>TableHome[[#This Row],['# Reviewed]]/TableHome[[#This Row],['# Test Cases]]</f>
        <v/>
      </c>
      <c r="N87" s="174">
        <f>TableHome[[#This Row],['# Reviewed]]/TableHome[[#This Row],['# Test Cases]]</f>
        <v/>
      </c>
    </row>
    <row r="88" ht="22" customFormat="1" customHeight="1" s="3">
      <c r="A88" s="167" t="n">
        <v>86</v>
      </c>
      <c r="B88" s="167" t="inlineStr">
        <is>
          <t>Server</t>
        </is>
      </c>
      <c r="C88" s="167" t="inlineStr">
        <is>
          <t>IJT Select Process Event</t>
        </is>
      </c>
      <c r="D88" s="167">
        <f>HYPERLINK("#'Select Process Event'!A1","▶ Select Process Event")</f>
        <v/>
      </c>
      <c r="E88" s="168" t="inlineStr">
        <is>
          <t>Server generates JoiningSystemEventType when process selected. ConditionClass=ProcessConditionClassType; SubClass=SelectedProcessConditionClassType. AssociatedEntities[] includes JoiningProcess identifier.</t>
        </is>
      </c>
      <c r="F88" s="167" t="n"/>
      <c r="G88" s="167" t="n">
        <v>2</v>
      </c>
      <c r="H88" s="169">
        <f>COUNT('Select Process Event'!B:B)</f>
        <v/>
      </c>
      <c r="I88" s="169">
        <f>COUNTIF('Select Process Event'!A:A,"y")</f>
        <v/>
      </c>
      <c r="J88" s="169">
        <f>COUNTIF('Select Process Event'!A:A,"n")</f>
        <v/>
      </c>
      <c r="K88" s="169">
        <f>COUNTIF('Select Process Event'!I:I,"y")</f>
        <v/>
      </c>
      <c r="L88" s="169">
        <f>TableHome[[#This Row],['# Test Cases]]-TableHome[[#This Row],['# Reviewed]]</f>
        <v/>
      </c>
      <c r="M88" s="170">
        <f>TableHome[[#This Row],['# Reviewed]]/TableHome[[#This Row],['# Test Cases]]</f>
        <v/>
      </c>
      <c r="N88" s="170">
        <f>TableHome[[#This Row],['# Reviewed]]/TableHome[[#This Row],['# Test Cases]]</f>
        <v/>
      </c>
    </row>
    <row r="89" ht="22" customFormat="1" customHeight="1" s="3">
      <c r="A89" s="171" t="n">
        <v>87</v>
      </c>
      <c r="B89" s="171" t="inlineStr">
        <is>
          <t>Server</t>
        </is>
      </c>
      <c r="C89" s="171" t="inlineStr">
        <is>
          <t>IJT Joining Process Management</t>
        </is>
      </c>
      <c r="D89" s="171">
        <f>HYPERLINK("#'Joining Process Management'!A1","▶ Joining Process Management")</f>
        <v/>
      </c>
      <c r="E89" s="172" t="inlineStr">
        <is>
          <t>The instance of JoiningSystemType shall include an instance of JoiningProcessManagementType with the DefaultInstanceBrowseName.</t>
        </is>
      </c>
      <c r="F89" s="171" t="n"/>
      <c r="G89" s="171" t="n">
        <v>1</v>
      </c>
      <c r="H89" s="173">
        <f>COUNT('Joining Process Management'!B:B)</f>
        <v/>
      </c>
      <c r="I89" s="173">
        <f>COUNTIF('Joining Process Management'!A:A,"y")</f>
        <v/>
      </c>
      <c r="J89" s="173">
        <f>COUNTIF('Joining Process Management'!A:A,"n")</f>
        <v/>
      </c>
      <c r="K89" s="173">
        <f>COUNTIF('Joining Process Management'!I:I,"y")</f>
        <v/>
      </c>
      <c r="L89" s="173">
        <f>TableHome[[#This Row],['# Test Cases]]-TableHome[[#This Row],['# Reviewed]]</f>
        <v/>
      </c>
      <c r="M89" s="174">
        <f>TableHome[[#This Row],['# Reviewed]]/TableHome[[#This Row],['# Test Cases]]</f>
        <v/>
      </c>
      <c r="N89" s="174">
        <f>TableHome[[#This Row],['# Reviewed]]/TableHome[[#This Row],['# Test Cases]]</f>
        <v/>
      </c>
    </row>
    <row r="90" ht="22" customFormat="1" customHeight="1" s="3">
      <c r="A90" s="167" t="n">
        <v>88</v>
      </c>
      <c r="B90" s="167" t="inlineStr">
        <is>
          <t>Server</t>
        </is>
      </c>
      <c r="C90" s="167" t="inlineStr">
        <is>
          <t>IJT Get Joining Process List</t>
        </is>
      </c>
      <c r="D90" s="167">
        <f>HYPERLINK("#'Get Joining Process List'!A1","▶ Get Joining Process List")</f>
        <v/>
      </c>
      <c r="E90" s="168" t="inlineStr">
        <is>
          <t>Server supports GetJoiningProcessList. Each JoiningProcessMetaDataType returned includes JoiningProcessId, CreationTime, LastUpdatedTime, Name, JoiningTechnology, Classification.</t>
        </is>
      </c>
      <c r="F90" s="167" t="n"/>
      <c r="G90" s="167" t="n">
        <v>1</v>
      </c>
      <c r="H90" s="169">
        <f>COUNT('Get Joining Process List'!B:B)</f>
        <v/>
      </c>
      <c r="I90" s="169">
        <f>COUNTIF('Get Joining Process List'!A:A,"y")</f>
        <v/>
      </c>
      <c r="J90" s="169">
        <f>COUNTIF('Get Joining Process List'!A:A,"n")</f>
        <v/>
      </c>
      <c r="K90" s="169">
        <f>COUNTIF('Get Joining Process List'!I:I,"y")</f>
        <v/>
      </c>
      <c r="L90" s="169">
        <f>TableHome[[#This Row],['# Test Cases]]-TableHome[[#This Row],['# Reviewed]]</f>
        <v/>
      </c>
      <c r="M90" s="170">
        <f>TableHome[[#This Row],['# Reviewed]]/TableHome[[#This Row],['# Test Cases]]</f>
        <v/>
      </c>
      <c r="N90" s="170">
        <f>TableHome[[#This Row],['# Reviewed]]/TableHome[[#This Row],['# Test Cases]]</f>
        <v/>
      </c>
    </row>
    <row r="91" ht="22" customFormat="1" customHeight="1" s="3">
      <c r="A91" s="171" t="n">
        <v>89</v>
      </c>
      <c r="B91" s="171" t="inlineStr">
        <is>
          <t>Server</t>
        </is>
      </c>
      <c r="C91" s="171" t="inlineStr">
        <is>
          <t>IJT Abort Joining Process</t>
        </is>
      </c>
      <c r="D91" s="171">
        <f>HYPERLINK("#'Abort Joining Process'!A1","▶ Abort Joining Process")</f>
        <v/>
      </c>
      <c r="E91" s="172" t="inlineStr">
        <is>
          <t>The Server shall support AbortJoiningProcess method to abort the joining process under execution if it is applicable. It is not intended for hard real-time.</t>
        </is>
      </c>
      <c r="F91" s="171" t="n"/>
      <c r="G91" s="171" t="n">
        <v>2</v>
      </c>
      <c r="H91" s="173">
        <f>COUNT('Abort Joining Process'!B:B)</f>
        <v/>
      </c>
      <c r="I91" s="173">
        <f>COUNTIF('Abort Joining Process'!A:A,"y")</f>
        <v/>
      </c>
      <c r="J91" s="173">
        <f>COUNTIF('Abort Joining Process'!A:A,"n")</f>
        <v/>
      </c>
      <c r="K91" s="173">
        <f>COUNTIF('Abort Joining Process'!I:I,"y")</f>
        <v/>
      </c>
      <c r="L91" s="173">
        <f>TableHome[[#This Row],['# Test Cases]]-TableHome[[#This Row],['# Reviewed]]</f>
        <v/>
      </c>
      <c r="M91" s="174">
        <f>TableHome[[#This Row],['# Reviewed]]/TableHome[[#This Row],['# Test Cases]]</f>
        <v/>
      </c>
      <c r="N91" s="174">
        <f>TableHome[[#This Row],['# Reviewed]]/TableHome[[#This Row],['# Test Cases]]</f>
        <v/>
      </c>
    </row>
    <row r="92" ht="22" customFormat="1" customHeight="1" s="3">
      <c r="A92" s="167" t="n">
        <v>90</v>
      </c>
      <c r="B92" s="167" t="inlineStr">
        <is>
          <t>Server</t>
        </is>
      </c>
      <c r="C92" s="167" t="inlineStr">
        <is>
          <t>IJT Start Selected Joining</t>
        </is>
      </c>
      <c r="D92" s="167">
        <f>HYPERLINK("#'Start Selected Joining'!A1","▶ Start Selected Joining")</f>
        <v/>
      </c>
      <c r="E92" s="168" t="inlineStr">
        <is>
          <t>Pre-requisite: The device shall be pre-configured with remote start option and joining process should be already selected using SelectJoiningProcess or SelectJoint or another interface. The Server shall support StartSelectedJoining method to start the joining operation remotely. Note: It is not intended for hard-real time. Note: If deselection is not possible or fails, but the joining operation starts successfully, the status will be returned as successful. However, the statusMessage can include additional information.</t>
        </is>
      </c>
      <c r="F92" s="167" t="n"/>
      <c r="G92" s="167" t="n">
        <v>1</v>
      </c>
      <c r="H92" s="169">
        <f>COUNT('Start Selected Joining'!B:B)</f>
        <v/>
      </c>
      <c r="I92" s="169">
        <f>COUNTIF('Start Selected Joining'!A:A,"y")</f>
        <v/>
      </c>
      <c r="J92" s="169">
        <f>COUNTIF('Start Selected Joining'!A:A,"n")</f>
        <v/>
      </c>
      <c r="K92" s="169">
        <f>COUNTIF('Start Selected Joining'!I:I,"y")</f>
        <v/>
      </c>
      <c r="L92" s="169">
        <f>TableHome[[#This Row],['# Test Cases]]-TableHome[[#This Row],['# Reviewed]]</f>
        <v/>
      </c>
      <c r="M92" s="170">
        <f>TableHome[[#This Row],['# Reviewed]]/TableHome[[#This Row],['# Test Cases]]</f>
        <v/>
      </c>
      <c r="N92" s="170">
        <f>TableHome[[#This Row],['# Reviewed]]/TableHome[[#This Row],['# Test Cases]]</f>
        <v/>
      </c>
    </row>
    <row r="93" ht="22" customFormat="1" customHeight="1" s="3">
      <c r="A93" s="171" t="n">
        <v>91</v>
      </c>
      <c r="B93" s="171" t="inlineStr">
        <is>
          <t>Server</t>
        </is>
      </c>
      <c r="C93" s="171" t="inlineStr">
        <is>
          <t>IJT Select Joining Process</t>
        </is>
      </c>
      <c r="D93" s="171">
        <f>HYPERLINK("#'Select Joining Process'!A1","▶ Select Joining Process")</f>
        <v/>
      </c>
      <c r="E93" s="172" t="inlineStr">
        <is>
          <t>The Server shall support SelectJoiningProcess method to select the input joining process for the next joining operation.</t>
        </is>
      </c>
      <c r="F93" s="171" t="n"/>
      <c r="G93" s="171" t="n">
        <v>1</v>
      </c>
      <c r="H93" s="173">
        <f>COUNT('Select Joining Process'!B:B)</f>
        <v/>
      </c>
      <c r="I93" s="173">
        <f>COUNTIF('Select Joining Process'!A:A,"y")</f>
        <v/>
      </c>
      <c r="J93" s="173">
        <f>COUNTIF('Select Joining Process'!A:A,"n")</f>
        <v/>
      </c>
      <c r="K93" s="173">
        <f>COUNTIF('Select Joining Process'!I:I,"y")</f>
        <v/>
      </c>
      <c r="L93" s="173">
        <f>TableHome[[#This Row],['# Test Cases]]-TableHome[[#This Row],['# Reviewed]]</f>
        <v/>
      </c>
      <c r="M93" s="174">
        <f>TableHome[[#This Row],['# Reviewed]]/TableHome[[#This Row],['# Test Cases]]</f>
        <v/>
      </c>
      <c r="N93" s="174">
        <f>TableHome[[#This Row],['# Reviewed]]/TableHome[[#This Row],['# Test Cases]]</f>
        <v/>
      </c>
    </row>
    <row r="94" ht="22" customFormat="1" customHeight="1" s="3">
      <c r="A94" s="167" t="n">
        <v>92</v>
      </c>
      <c r="B94" s="167" t="inlineStr">
        <is>
          <t>Server</t>
        </is>
      </c>
      <c r="C94" s="167" t="inlineStr">
        <is>
          <t>IJT Deselect Joining Process</t>
        </is>
      </c>
      <c r="D94" s="167">
        <f>HYPERLINK("#'Deselect Joining Process'!A1","▶ Deselect Joining Process")</f>
        <v/>
      </c>
      <c r="E94" s="168" t="inlineStr">
        <is>
          <t>The Server shall support DeselectJoiningProcess method to reset the selection of the joining process.</t>
        </is>
      </c>
      <c r="F94" s="167" t="n"/>
      <c r="G94" s="167" t="n">
        <v>2</v>
      </c>
      <c r="H94" s="169">
        <f>COUNT('Deselect Joining Process'!B:B)</f>
        <v/>
      </c>
      <c r="I94" s="169">
        <f>COUNTIF('Deselect Joining Process'!A:A,"y")</f>
        <v/>
      </c>
      <c r="J94" s="169">
        <f>COUNTIF('Deselect Joining Process'!A:A,"n")</f>
        <v/>
      </c>
      <c r="K94" s="169">
        <f>COUNTIF('Deselect Joining Process'!I:I,"y")</f>
        <v/>
      </c>
      <c r="L94" s="169">
        <f>TableHome[[#This Row],['# Test Cases]]-TableHome[[#This Row],['# Reviewed]]</f>
        <v/>
      </c>
      <c r="M94" s="170">
        <f>TableHome[[#This Row],['# Reviewed]]/TableHome[[#This Row],['# Test Cases]]</f>
        <v/>
      </c>
      <c r="N94" s="170">
        <f>TableHome[[#This Row],['# Reviewed]]/TableHome[[#This Row],['# Test Cases]]</f>
        <v/>
      </c>
    </row>
    <row r="95" ht="22" customFormat="1" customHeight="1" s="3">
      <c r="A95" s="171" t="n">
        <v>93</v>
      </c>
      <c r="B95" s="171" t="inlineStr">
        <is>
          <t>Server</t>
        </is>
      </c>
      <c r="C95" s="171" t="inlineStr">
        <is>
          <t>IJT Reset Joining Process</t>
        </is>
      </c>
      <c r="D95" s="171">
        <f>HYPERLINK("#'Reset Joining Process'!A1","▶ Reset Joining Process")</f>
        <v/>
      </c>
      <c r="E95" s="172" t="inlineStr">
        <is>
          <t>The Server shall support ResetJoiningProcess method which resets the joining process if it is applicable.</t>
        </is>
      </c>
      <c r="F95" s="171" t="n"/>
      <c r="G95" s="171" t="n">
        <v>1</v>
      </c>
      <c r="H95" s="173">
        <f>COUNT('Reset Joining Process'!B:B)</f>
        <v/>
      </c>
      <c r="I95" s="173">
        <f>COUNTIF('Reset Joining Process'!A:A,"y")</f>
        <v/>
      </c>
      <c r="J95" s="173">
        <f>COUNTIF('Reset Joining Process'!A:A,"n")</f>
        <v/>
      </c>
      <c r="K95" s="173">
        <f>COUNTIF('Reset Joining Process'!I:I,"y")</f>
        <v/>
      </c>
      <c r="L95" s="173">
        <f>TableHome[[#This Row],['# Test Cases]]-TableHome[[#This Row],['# Reviewed]]</f>
        <v/>
      </c>
      <c r="M95" s="174">
        <f>TableHome[[#This Row],['# Reviewed]]/TableHome[[#This Row],['# Test Cases]]</f>
        <v/>
      </c>
      <c r="N95" s="174">
        <f>TableHome[[#This Row],['# Reviewed]]/TableHome[[#This Row],['# Test Cases]]</f>
        <v/>
      </c>
    </row>
    <row r="96" ht="22" customFormat="1" customHeight="1" s="3">
      <c r="A96" s="167" t="n">
        <v>94</v>
      </c>
      <c r="B96" s="167" t="inlineStr">
        <is>
          <t>Server</t>
        </is>
      </c>
      <c r="C96" s="167" t="inlineStr">
        <is>
          <t>IJT Increment Joining Process Counter</t>
        </is>
      </c>
      <c r="D96" s="167">
        <f>HYPERLINK("#'I Joining Process Counter'!A1","▶ I Joining Process Counter")</f>
        <v/>
      </c>
      <c r="E96" s="168" t="inlineStr">
        <is>
          <t>Server supports IncrementJoiningProcessCounter method.</t>
        </is>
      </c>
      <c r="F96" s="167" t="n"/>
      <c r="G96" s="167" t="n">
        <v>1</v>
      </c>
      <c r="H96" s="169">
        <f>COUNT('I Joining Process Counter'!B:B)</f>
        <v/>
      </c>
      <c r="I96" s="169">
        <f>COUNTIF('I Joining Process Counter'!A:A,"y")</f>
        <v/>
      </c>
      <c r="J96" s="169">
        <f>COUNTIF('I Joining Process Counter'!A:A,"n")</f>
        <v/>
      </c>
      <c r="K96" s="169">
        <f>COUNTIF('I Joining Process Counter'!I:I,"y")</f>
        <v/>
      </c>
      <c r="L96" s="169">
        <f>TableHome[[#This Row],['# Test Cases]]-TableHome[[#This Row],['# Reviewed]]</f>
        <v/>
      </c>
      <c r="M96" s="170">
        <f>TableHome[[#This Row],['# Reviewed]]/TableHome[[#This Row],['# Test Cases]]</f>
        <v/>
      </c>
      <c r="N96" s="170">
        <f>TableHome[[#This Row],['# Reviewed]]/TableHome[[#This Row],['# Test Cases]]</f>
        <v/>
      </c>
    </row>
    <row r="97" ht="22" customFormat="1" customHeight="1" s="3">
      <c r="A97" s="171" t="n">
        <v>95</v>
      </c>
      <c r="B97" s="171" t="inlineStr">
        <is>
          <t>Server</t>
        </is>
      </c>
      <c r="C97" s="171" t="inlineStr">
        <is>
          <t>IJT Decrement Joining Process Counter</t>
        </is>
      </c>
      <c r="D97" s="171">
        <f>HYPERLINK("#'D Joining Process Counter'!A1","▶ D Joining Process Counter")</f>
        <v/>
      </c>
      <c r="E97" s="172" t="inlineStr">
        <is>
          <t>Server supports DecrementJoiningProcessCounter method.</t>
        </is>
      </c>
      <c r="F97" s="171" t="n"/>
      <c r="G97" s="171" t="n">
        <v>1</v>
      </c>
      <c r="H97" s="173">
        <f>COUNT('D Joining Process Counter'!B:B)</f>
        <v/>
      </c>
      <c r="I97" s="173">
        <f>COUNTIF('D Joining Process Counter'!A:A,"y")</f>
        <v/>
      </c>
      <c r="J97" s="173">
        <f>COUNTIF('D Joining Process Counter'!A:A,"n")</f>
        <v/>
      </c>
      <c r="K97" s="173">
        <f>COUNTIF('D Joining Process Counter'!I:I,"y")</f>
        <v/>
      </c>
      <c r="L97" s="173">
        <f>TableHome[[#This Row],['# Test Cases]]-TableHome[[#This Row],['# Reviewed]]</f>
        <v/>
      </c>
      <c r="M97" s="174">
        <f>TableHome[[#This Row],['# Reviewed]]/TableHome[[#This Row],['# Test Cases]]</f>
        <v/>
      </c>
      <c r="N97" s="174">
        <f>TableHome[[#This Row],['# Reviewed]]/TableHome[[#This Row],['# Test Cases]]</f>
        <v/>
      </c>
    </row>
    <row r="98" ht="22" customFormat="1" customHeight="1" s="3">
      <c r="A98" s="167" t="n">
        <v>96</v>
      </c>
      <c r="B98" s="167" t="inlineStr">
        <is>
          <t>Server</t>
        </is>
      </c>
      <c r="C98" s="167" t="inlineStr">
        <is>
          <t>IJT Set Joining Process Size</t>
        </is>
      </c>
      <c r="D98" s="167">
        <f>HYPERLINK("#'Set Joining Process Size'!A1","▶ Set Joining Process Size")</f>
        <v/>
      </c>
      <c r="E98" s="168" t="inlineStr">
        <is>
          <t>The Server shall support SetJoiningProcessSize method to set the size of the joining process based on the input.</t>
        </is>
      </c>
      <c r="F98" s="167" t="n"/>
      <c r="G98" s="167" t="n">
        <v>1</v>
      </c>
      <c r="H98" s="169">
        <f>COUNT('Set Joining Process Size'!B:B)</f>
        <v/>
      </c>
      <c r="I98" s="169">
        <f>COUNTIF('Set Joining Process Size'!A:A,"y")</f>
        <v/>
      </c>
      <c r="J98" s="169">
        <f>COUNTIF('Set Joining Process Size'!A:A,"n")</f>
        <v/>
      </c>
      <c r="K98" s="169">
        <f>COUNTIF('Set Joining Process Size'!I:I,"y")</f>
        <v/>
      </c>
      <c r="L98" s="169">
        <f>TableHome[[#This Row],['# Test Cases]]-TableHome[[#This Row],['# Reviewed]]</f>
        <v/>
      </c>
      <c r="M98" s="170">
        <f>TableHome[[#This Row],['# Reviewed]]/TableHome[[#This Row],['# Test Cases]]</f>
        <v/>
      </c>
      <c r="N98" s="170">
        <f>TableHome[[#This Row],['# Reviewed]]/TableHome[[#This Row],['# Test Cases]]</f>
        <v/>
      </c>
    </row>
    <row r="99" ht="22" customFormat="1" customHeight="1" s="3">
      <c r="A99" s="171" t="n">
        <v>97</v>
      </c>
      <c r="B99" s="171" t="inlineStr">
        <is>
          <t>Server</t>
        </is>
      </c>
      <c r="C99" s="171" t="inlineStr">
        <is>
          <t>IJT Start Joining Process</t>
        </is>
      </c>
      <c r="D99" s="171">
        <f>HYPERLINK("#'Start Joining Process'!A1","▶ Start Joining Process")</f>
        <v/>
      </c>
      <c r="E99" s="172" t="inlineStr">
        <is>
          <t>Pre-requisite: The device shall be pre-configured with remote start option. The Server shall support StartJoiningProcess method to select and start the execution of the input joining process. It is not intended for hard real-time.</t>
        </is>
      </c>
      <c r="F99" s="171" t="n"/>
      <c r="G99" s="171" t="n">
        <v>2</v>
      </c>
      <c r="H99" s="173">
        <f>COUNT('Start Joining Process'!B:B)</f>
        <v/>
      </c>
      <c r="I99" s="173">
        <f>COUNTIF('Start Joining Process'!A:A,"y")</f>
        <v/>
      </c>
      <c r="J99" s="173">
        <f>COUNTIF('Start Joining Process'!A:A,"n")</f>
        <v/>
      </c>
      <c r="K99" s="173">
        <f>COUNTIF('Start Joining Process'!I:I,"y")</f>
        <v/>
      </c>
      <c r="L99" s="173">
        <f>TableHome[[#This Row],['# Test Cases]]-TableHome[[#This Row],['# Reviewed]]</f>
        <v/>
      </c>
      <c r="M99" s="174">
        <f>TableHome[[#This Row],['# Reviewed]]/TableHome[[#This Row],['# Test Cases]]</f>
        <v/>
      </c>
      <c r="N99" s="174">
        <f>TableHome[[#This Row],['# Reviewed]]/TableHome[[#This Row],['# Test Cases]]</f>
        <v/>
      </c>
    </row>
    <row r="100" ht="22" customFormat="1" customHeight="1" s="3">
      <c r="A100" s="167" t="n">
        <v>98</v>
      </c>
      <c r="B100" s="167" t="inlineStr">
        <is>
          <t>Server</t>
        </is>
      </c>
      <c r="C100" s="167" t="inlineStr">
        <is>
          <t>IJT Delete Joining Process</t>
        </is>
      </c>
      <c r="D100" s="167">
        <f>HYPERLINK("#'Delete Joining Process'!A1","▶ Delete Joining Process")</f>
        <v/>
      </c>
      <c r="E100" s="168" t="inlineStr">
        <is>
          <t>The Server shall support DeleteJoiningProcess method to delete the input joining process.</t>
        </is>
      </c>
      <c r="F100" s="167" t="n"/>
      <c r="G100" s="167" t="n">
        <v>2</v>
      </c>
      <c r="H100" s="169">
        <f>COUNT('Delete Joining Process'!B:B)</f>
        <v/>
      </c>
      <c r="I100" s="169">
        <f>COUNTIF('Delete Joining Process'!A:A,"y")</f>
        <v/>
      </c>
      <c r="J100" s="169">
        <f>COUNTIF('Delete Joining Process'!A:A,"n")</f>
        <v/>
      </c>
      <c r="K100" s="169">
        <f>COUNTIF('Delete Joining Process'!I:I,"y")</f>
        <v/>
      </c>
      <c r="L100" s="169">
        <f>TableHome[[#This Row],['# Test Cases]]-TableHome[[#This Row],['# Reviewed]]</f>
        <v/>
      </c>
      <c r="M100" s="170">
        <f>TableHome[[#This Row],['# Reviewed]]/TableHome[[#This Row],['# Test Cases]]</f>
        <v/>
      </c>
      <c r="N100" s="170">
        <f>TableHome[[#This Row],['# Reviewed]]/TableHome[[#This Row],['# Test Cases]]</f>
        <v/>
      </c>
    </row>
    <row r="101" ht="22" customFormat="1" customHeight="1" s="3">
      <c r="A101" s="171" t="n">
        <v>99</v>
      </c>
      <c r="B101" s="171" t="inlineStr">
        <is>
          <t>Server</t>
        </is>
      </c>
      <c r="C101" s="171" t="inlineStr">
        <is>
          <t>IJT Get Selected Joining Program</t>
        </is>
      </c>
      <c r="D101" s="171">
        <f>HYPERLINK("#'Get Selected Joining Program'!A1","▶ Get Selected Joining Program")</f>
        <v/>
      </c>
      <c r="E101" s="172" t="inlineStr">
        <is>
          <t>Server supports GetSelectedJoiningProgram. Returned SelectedJoiningProgram is JoiningProcessMetaDataType: JoiningProcessId is mandatory; CreationTime, LastUpdatedTime, Name, JoiningTechnology, and Classification are optional and validated when present.</t>
        </is>
      </c>
      <c r="F101" s="171" t="n"/>
      <c r="G101" s="171" t="n">
        <v>2</v>
      </c>
      <c r="H101" s="173">
        <f>COUNT('Get Selected Joining Program'!B:B)</f>
        <v/>
      </c>
      <c r="I101" s="173">
        <f>COUNTIF('Get Selected Joining Program'!A:A,"y")</f>
        <v/>
      </c>
      <c r="J101" s="173">
        <f>COUNTIF('Get Selected Joining Program'!A:A,"n")</f>
        <v/>
      </c>
      <c r="K101" s="173">
        <f>COUNTIF('Get Selected Joining Program'!I:I,"y")</f>
        <v/>
      </c>
      <c r="L101" s="173">
        <f>TableHome[[#This Row],['# Test Cases]]-TableHome[[#This Row],['# Reviewed]]</f>
        <v/>
      </c>
      <c r="M101" s="174">
        <f>TableHome[[#This Row],['# Reviewed]]/TableHome[[#This Row],['# Test Cases]]</f>
        <v/>
      </c>
      <c r="N101" s="174">
        <f>TableHome[[#This Row],['# Reviewed]]/TableHome[[#This Row],['# Test Cases]]</f>
        <v/>
      </c>
    </row>
    <row r="102" ht="22" customFormat="1" customHeight="1" s="3">
      <c r="A102" s="167" t="n">
        <v>100</v>
      </c>
      <c r="B102" s="167" t="inlineStr">
        <is>
          <t>Server</t>
        </is>
      </c>
      <c r="C102" s="167" t="inlineStr">
        <is>
          <t>IJT Send Joining Process</t>
        </is>
      </c>
      <c r="D102" s="167">
        <f>HYPERLINK("#'Send Joining Process'!A1","▶ Send Joining Process")</f>
        <v/>
      </c>
      <c r="E102" s="168" t="inlineStr">
        <is>
          <t>Server supports SendJoiningProcess method.</t>
        </is>
      </c>
      <c r="F102" s="167" t="n"/>
      <c r="G102" s="167" t="n">
        <v>2</v>
      </c>
      <c r="H102" s="169">
        <f>COUNT('Send Joining Process'!B:B)</f>
        <v/>
      </c>
      <c r="I102" s="169">
        <f>COUNTIF('Send Joining Process'!A:A,"y")</f>
        <v/>
      </c>
      <c r="J102" s="169">
        <f>COUNTIF('Send Joining Process'!A:A,"n")</f>
        <v/>
      </c>
      <c r="K102" s="169">
        <f>COUNTIF('Send Joining Process'!I:I,"y")</f>
        <v/>
      </c>
      <c r="L102" s="169">
        <f>TableHome[[#This Row],['# Test Cases]]-TableHome[[#This Row],['# Reviewed]]</f>
        <v/>
      </c>
      <c r="M102" s="170">
        <f>TableHome[[#This Row],['# Reviewed]]/TableHome[[#This Row],['# Test Cases]]</f>
        <v/>
      </c>
      <c r="N102" s="170">
        <f>TableHome[[#This Row],['# Reviewed]]/TableHome[[#This Row],['# Test Cases]]</f>
        <v/>
      </c>
    </row>
    <row r="103" ht="22" customFormat="1" customHeight="1" s="3">
      <c r="A103" s="171" t="n">
        <v>101</v>
      </c>
      <c r="B103" s="171" t="inlineStr">
        <is>
          <t>Server</t>
        </is>
      </c>
      <c r="C103" s="171" t="inlineStr">
        <is>
          <t>IJT Get Joining Process</t>
        </is>
      </c>
      <c r="D103" s="171">
        <f>HYPERLINK("#'Get Joining Process'!A1","▶ Get Joining Process")</f>
        <v/>
      </c>
      <c r="E103" s="172" t="inlineStr">
        <is>
          <t>Server supports GetJoiningProcess method.</t>
        </is>
      </c>
      <c r="F103" s="171" t="n"/>
      <c r="G103" s="171" t="n">
        <v>2</v>
      </c>
      <c r="H103" s="173">
        <f>COUNT('Get Joining Process'!B:B)</f>
        <v/>
      </c>
      <c r="I103" s="173">
        <f>COUNTIF('Get Joining Process'!A:A,"y")</f>
        <v/>
      </c>
      <c r="J103" s="173">
        <f>COUNTIF('Get Joining Process'!A:A,"n")</f>
        <v/>
      </c>
      <c r="K103" s="173">
        <f>COUNTIF('Get Joining Process'!I:I,"y")</f>
        <v/>
      </c>
      <c r="L103" s="173">
        <f>TableHome[[#This Row],['# Test Cases]]-TableHome[[#This Row],['# Reviewed]]</f>
        <v/>
      </c>
      <c r="M103" s="174">
        <f>TableHome[[#This Row],['# Reviewed]]/TableHome[[#This Row],['# Test Cases]]</f>
        <v/>
      </c>
      <c r="N103" s="174">
        <f>TableHome[[#This Row],['# Reviewed]]/TableHome[[#This Row],['# Test Cases]]</f>
        <v/>
      </c>
    </row>
    <row r="104" ht="22" customFormat="1" customHeight="1" s="3">
      <c r="A104" s="167" t="n">
        <v>102</v>
      </c>
      <c r="B104" s="167" t="inlineStr">
        <is>
          <t>Server</t>
        </is>
      </c>
      <c r="C104" s="167" t="inlineStr">
        <is>
          <t>IJT Set Joining Process Counter</t>
        </is>
      </c>
      <c r="D104" s="167">
        <f>HYPERLINK("#'Set Joining Process Counter'!A1","▶ Set Joining Process Counter")</f>
        <v/>
      </c>
      <c r="E104" s="168" t="inlineStr">
        <is>
          <t>Server supports SetJoiningProcessCounter method.</t>
        </is>
      </c>
      <c r="F104" s="167" t="n"/>
      <c r="G104" s="167" t="n">
        <v>1</v>
      </c>
      <c r="H104" s="169">
        <f>COUNT('Set Joining Process Counter'!B:B)</f>
        <v/>
      </c>
      <c r="I104" s="169">
        <f>COUNTIF('Set Joining Process Counter'!A:A,"y")</f>
        <v/>
      </c>
      <c r="J104" s="169">
        <f>COUNTIF('Set Joining Process Counter'!A:A,"n")</f>
        <v/>
      </c>
      <c r="K104" s="169">
        <f>COUNTIF('Set Joining Process Counter'!I:I,"y")</f>
        <v/>
      </c>
      <c r="L104" s="169">
        <f>TableHome[[#This Row],['# Test Cases]]-TableHome[[#This Row],['# Reviewed]]</f>
        <v/>
      </c>
      <c r="M104" s="170">
        <f>TableHome[[#This Row],['# Reviewed]]/TableHome[[#This Row],['# Test Cases]]</f>
        <v/>
      </c>
      <c r="N104" s="170">
        <f>TableHome[[#This Row],['# Reviewed]]/TableHome[[#This Row],['# Test Cases]]</f>
        <v/>
      </c>
    </row>
    <row r="105" ht="22" customFormat="1" customHeight="1" s="3">
      <c r="A105" s="171" t="n">
        <v>103</v>
      </c>
      <c r="B105" s="171" t="inlineStr">
        <is>
          <t>Server</t>
        </is>
      </c>
      <c r="C105" s="171" t="inlineStr">
        <is>
          <t>IJT Set Joining Process Mapping</t>
        </is>
      </c>
      <c r="D105" s="171">
        <f>HYPERLINK("#'Set Joining Process Mapping'!A1","▶ Set Joining Process Mapping")</f>
        <v/>
      </c>
      <c r="E105" s="172" t="inlineStr">
        <is>
          <t>Server supports SetJoiningProcessMapping method.</t>
        </is>
      </c>
      <c r="F105" s="171" t="n"/>
      <c r="G105" s="171" t="n">
        <v>2</v>
      </c>
      <c r="H105" s="173">
        <f>COUNT('Set Joining Process Mapping'!B:B)</f>
        <v/>
      </c>
      <c r="I105" s="173">
        <f>COUNTIF('Set Joining Process Mapping'!A:A,"y")</f>
        <v/>
      </c>
      <c r="J105" s="173">
        <f>COUNTIF('Set Joining Process Mapping'!A:A,"n")</f>
        <v/>
      </c>
      <c r="K105" s="173">
        <f>COUNTIF('Set Joining Process Mapping'!I:I,"y")</f>
        <v/>
      </c>
      <c r="L105" s="173">
        <f>TableHome[[#This Row],['# Test Cases]]-TableHome[[#This Row],['# Reviewed]]</f>
        <v/>
      </c>
      <c r="M105" s="174">
        <f>TableHome[[#This Row],['# Reviewed]]/TableHome[[#This Row],['# Test Cases]]</f>
        <v/>
      </c>
      <c r="N105" s="174">
        <f>TableHome[[#This Row],['# Reviewed]]/TableHome[[#This Row],['# Test Cases]]</f>
        <v/>
      </c>
    </row>
    <row r="106" ht="22" customFormat="1" customHeight="1" s="3">
      <c r="A106" s="167" t="n">
        <v>104</v>
      </c>
      <c r="B106" s="167" t="inlineStr">
        <is>
          <t>Server</t>
        </is>
      </c>
      <c r="C106" s="167" t="inlineStr">
        <is>
          <t>IJT Get Joining Process Revision List</t>
        </is>
      </c>
      <c r="D106" s="167">
        <f>HYPERLINK("#'Get Joining Proc Revision List'!A1","▶ Get Joining Proc Revision List")</f>
        <v/>
      </c>
      <c r="E106" s="168" t="inlineStr">
        <is>
          <t>Server supports GetJoiningProcessRevisionList method.</t>
        </is>
      </c>
      <c r="F106" s="167" t="n"/>
      <c r="G106" s="167" t="n">
        <v>2</v>
      </c>
      <c r="H106" s="169">
        <f>COUNT('Get Joining Proc Revision List'!B:B)</f>
        <v/>
      </c>
      <c r="I106" s="169">
        <f>COUNTIF('Get Joining Proc Revision List'!A:A,"y")</f>
        <v/>
      </c>
      <c r="J106" s="169">
        <f>COUNTIF('Get Joining Proc Revision List'!A:A,"n")</f>
        <v/>
      </c>
      <c r="K106" s="169">
        <f>COUNTIF('Get Joining Proc Revision List'!I:I,"y")</f>
        <v/>
      </c>
      <c r="L106" s="169">
        <f>TableHome[[#This Row],['# Test Cases]]-TableHome[[#This Row],['# Reviewed]]</f>
        <v/>
      </c>
      <c r="M106" s="170">
        <f>TableHome[[#This Row],['# Reviewed]]/TableHome[[#This Row],['# Test Cases]]</f>
        <v/>
      </c>
      <c r="N106" s="170">
        <f>TableHome[[#This Row],['# Reviewed]]/TableHome[[#This Row],['# Test Cases]]</f>
        <v/>
      </c>
    </row>
    <row r="107" ht="22" customFormat="1" customHeight="1" s="3">
      <c r="A107" s="171" t="n">
        <v>105</v>
      </c>
      <c r="B107" s="171" t="inlineStr">
        <is>
          <t>Server</t>
        </is>
      </c>
      <c r="C107" s="171" t="inlineStr">
        <is>
          <t>IJT Joint Management</t>
        </is>
      </c>
      <c r="D107" s="171">
        <f>HYPERLINK("#'Joint Management'!A1","▶ Joint Management")</f>
        <v/>
      </c>
      <c r="E107" s="172" t="inlineStr">
        <is>
          <t>The instance of JoiningSystemType shall contain an instance of JointManagementType with the DefaultInstanceBrowseName.</t>
        </is>
      </c>
      <c r="F107" s="171" t="n"/>
      <c r="G107" s="171" t="n">
        <v>1</v>
      </c>
      <c r="H107" s="173">
        <f>COUNT('Joint Management'!B:B)</f>
        <v/>
      </c>
      <c r="I107" s="173">
        <f>COUNTIF('Joint Management'!A:A,"y")</f>
        <v/>
      </c>
      <c r="J107" s="173">
        <f>COUNTIF('Joint Management'!A:A,"n")</f>
        <v/>
      </c>
      <c r="K107" s="173">
        <f>COUNTIF('Joint Management'!I:I,"y")</f>
        <v/>
      </c>
      <c r="L107" s="173">
        <f>TableHome[[#This Row],['# Test Cases]]-TableHome[[#This Row],['# Reviewed]]</f>
        <v/>
      </c>
      <c r="M107" s="174">
        <f>TableHome[[#This Row],['# Reviewed]]/TableHome[[#This Row],['# Test Cases]]</f>
        <v/>
      </c>
      <c r="N107" s="174">
        <f>TableHome[[#This Row],['# Reviewed]]/TableHome[[#This Row],['# Test Cases]]</f>
        <v/>
      </c>
    </row>
    <row r="108" ht="22" customHeight="1" s="132">
      <c r="A108" s="167" t="n">
        <v>106</v>
      </c>
      <c r="B108" s="167" t="inlineStr">
        <is>
          <t>Server</t>
        </is>
      </c>
      <c r="C108" s="167" t="inlineStr">
        <is>
          <t>IJT Send Joint</t>
        </is>
      </c>
      <c r="D108" s="167">
        <f>HYPERLINK("#'Send Joint'!A1","▶ Send Joint")</f>
        <v/>
      </c>
      <c r="E108" s="168" t="inlineStr">
        <is>
          <t>The Server shall support SendJoint method which allows a Client to send a joint to the joining system. If the joint already exists in the joining system, the Server shall overwrite the available instance with the latest instance. The Server shall have the business logic to validate the received joint.</t>
        </is>
      </c>
      <c r="F108" s="167" t="n"/>
      <c r="G108" s="167" t="n">
        <v>1</v>
      </c>
      <c r="H108" s="169">
        <f>COUNT('Send Joint'!B:B)</f>
        <v/>
      </c>
      <c r="I108" s="169">
        <f>COUNTIF('Send Joint'!A:A,"y")</f>
        <v/>
      </c>
      <c r="J108" s="169">
        <f>COUNTIF('Send Joint'!A:A,"n")</f>
        <v/>
      </c>
      <c r="K108" s="169">
        <f>COUNTIF('Send Joint'!I:I,"y")</f>
        <v/>
      </c>
      <c r="L108" s="169">
        <f>TableHome[[#This Row],['# Test Cases]]-TableHome[[#This Row],['# Reviewed]]</f>
        <v/>
      </c>
      <c r="M108" s="170">
        <f>TableHome[[#This Row],['# Reviewed]]/TableHome[[#This Row],['# Test Cases]]</f>
        <v/>
      </c>
      <c r="N108" s="170">
        <f>TableHome[[#This Row],['# Reviewed]]/TableHome[[#This Row],['# Test Cases]]</f>
        <v/>
      </c>
    </row>
    <row r="109" ht="22" customHeight="1" s="132">
      <c r="A109" s="171" t="n">
        <v>107</v>
      </c>
      <c r="B109" s="171" t="inlineStr">
        <is>
          <t>Server</t>
        </is>
      </c>
      <c r="C109" s="171" t="inlineStr">
        <is>
          <t>IJT Get Joint List</t>
        </is>
      </c>
      <c r="D109" s="171">
        <f>HYPERLINK("#'Get Joint List'!A1","▶ Get Joint List")</f>
        <v/>
      </c>
      <c r="E109" s="172" t="inlineStr">
        <is>
          <t>The Server shall support GetJointList method which returns the list of joints available in the joining system.</t>
        </is>
      </c>
      <c r="F109" s="171" t="n"/>
      <c r="G109" s="171" t="n">
        <v>1</v>
      </c>
      <c r="H109" s="173">
        <f>COUNT('Get Joint List'!B:B)</f>
        <v/>
      </c>
      <c r="I109" s="173">
        <f>COUNTIF('Get Joint List'!A:A,"y")</f>
        <v/>
      </c>
      <c r="J109" s="173">
        <f>COUNTIF('Get Joint List'!A:A,"n")</f>
        <v/>
      </c>
      <c r="K109" s="173">
        <f>COUNTIF('Get Joint List'!I:I,"y")</f>
        <v/>
      </c>
      <c r="L109" s="173">
        <f>TableHome[[#This Row],['# Test Cases]]-TableHome[[#This Row],['# Reviewed]]</f>
        <v/>
      </c>
      <c r="M109" s="174">
        <f>TableHome[[#This Row],['# Reviewed]]/TableHome[[#This Row],['# Test Cases]]</f>
        <v/>
      </c>
      <c r="N109" s="174">
        <f>TableHome[[#This Row],['# Reviewed]]/TableHome[[#This Row],['# Test Cases]]</f>
        <v/>
      </c>
    </row>
    <row r="110" ht="22" customHeight="1" s="132">
      <c r="A110" s="167" t="n">
        <v>108</v>
      </c>
      <c r="B110" s="167" t="inlineStr">
        <is>
          <t>Server</t>
        </is>
      </c>
      <c r="C110" s="167" t="inlineStr">
        <is>
          <t>IJT Select Joint</t>
        </is>
      </c>
      <c r="D110" s="167">
        <f>HYPERLINK("#'Select Joint'!A1","▶ Select Joint")</f>
        <v/>
      </c>
      <c r="E110" s="168" t="inlineStr">
        <is>
          <t>The Server shall support SelectJoint method which selects the corresponding joining process associated to the input joint identifier.</t>
        </is>
      </c>
      <c r="F110" s="167" t="n"/>
      <c r="G110" s="167" t="n">
        <v>1</v>
      </c>
      <c r="H110" s="169">
        <f>COUNT('Select Joint'!B:B)</f>
        <v/>
      </c>
      <c r="I110" s="169">
        <f>COUNTIF('Select Joint'!A:A,"y")</f>
        <v/>
      </c>
      <c r="J110" s="169">
        <f>COUNTIF('Select Joint'!A:A,"n")</f>
        <v/>
      </c>
      <c r="K110" s="169">
        <f>COUNTIF('Select Joint'!I:I,"y")</f>
        <v/>
      </c>
      <c r="L110" s="169">
        <f>TableHome[[#This Row],['# Test Cases]]-TableHome[[#This Row],['# Reviewed]]</f>
        <v/>
      </c>
      <c r="M110" s="170">
        <f>TableHome[[#This Row],['# Reviewed]]/TableHome[[#This Row],['# Test Cases]]</f>
        <v/>
      </c>
      <c r="N110" s="170">
        <f>TableHome[[#This Row],['# Reviewed]]/TableHome[[#This Row],['# Test Cases]]</f>
        <v/>
      </c>
    </row>
    <row r="111" ht="22" customHeight="1" s="132">
      <c r="A111" s="171" t="n">
        <v>109</v>
      </c>
      <c r="B111" s="171" t="inlineStr">
        <is>
          <t>Server</t>
        </is>
      </c>
      <c r="C111" s="171" t="inlineStr">
        <is>
          <t>IJT Get Joint</t>
        </is>
      </c>
      <c r="D111" s="171">
        <f>HYPERLINK("#'Get Joint'!A1","▶ Get Joint")</f>
        <v/>
      </c>
      <c r="E111" s="172" t="inlineStr">
        <is>
          <t>The Server shall support GetJoint method which returns the joint based on the input identifier.</t>
        </is>
      </c>
      <c r="F111" s="171" t="n"/>
      <c r="G111" s="171" t="n">
        <v>1</v>
      </c>
      <c r="H111" s="173">
        <f>COUNT('Get Joint'!B:B)</f>
        <v/>
      </c>
      <c r="I111" s="173">
        <f>COUNTIF('Get Joint'!A:A,"y")</f>
        <v/>
      </c>
      <c r="J111" s="173">
        <f>COUNTIF('Get Joint'!A:A,"n")</f>
        <v/>
      </c>
      <c r="K111" s="173">
        <f>COUNTIF('Get Joint'!I:I,"y")</f>
        <v/>
      </c>
      <c r="L111" s="173">
        <f>TableHome[[#This Row],['# Test Cases]]-TableHome[[#This Row],['# Reviewed]]</f>
        <v/>
      </c>
      <c r="M111" s="174">
        <f>TableHome[[#This Row],['# Reviewed]]/TableHome[[#This Row],['# Test Cases]]</f>
        <v/>
      </c>
      <c r="N111" s="174">
        <f>TableHome[[#This Row],['# Reviewed]]/TableHome[[#This Row],['# Test Cases]]</f>
        <v/>
      </c>
    </row>
    <row r="112" ht="22" customHeight="1" s="132">
      <c r="A112" s="167" t="n">
        <v>110</v>
      </c>
      <c r="B112" s="167" t="inlineStr">
        <is>
          <t>Server</t>
        </is>
      </c>
      <c r="C112" s="167" t="inlineStr">
        <is>
          <t>IJT Joint Data</t>
        </is>
      </c>
      <c r="D112" s="167">
        <f>HYPERLINK("#'Joint Data'!A1","▶ Joint Data")</f>
        <v/>
      </c>
      <c r="E112" s="168" t="inlineStr">
        <is>
          <t>Joint instance includes mandatory JointId. Joining-process links, when modeled, are represented via AssociatedEntities[] (for example EntityType=JOINING_PROCESS), not a direct JoiningProcessId field. JointDesignId is optional when JointDesign is supported.</t>
        </is>
      </c>
      <c r="F112" s="167" t="n"/>
      <c r="G112" s="167" t="n">
        <v>1</v>
      </c>
      <c r="H112" s="169">
        <f>COUNT('Joint Data'!B:B)</f>
        <v/>
      </c>
      <c r="I112" s="169">
        <f>COUNTIF('Joint Data'!A:A,"y")</f>
        <v/>
      </c>
      <c r="J112" s="169">
        <f>COUNTIF('Joint Data'!A:A,"n")</f>
        <v/>
      </c>
      <c r="K112" s="169">
        <f>COUNTIF('Joint Data'!I:I,"y")</f>
        <v/>
      </c>
      <c r="L112" s="169">
        <f>TableHome[[#This Row],['# Test Cases]]-TableHome[[#This Row],['# Reviewed]]</f>
        <v/>
      </c>
      <c r="M112" s="170">
        <f>TableHome[[#This Row],['# Reviewed]]/TableHome[[#This Row],['# Test Cases]]</f>
        <v/>
      </c>
      <c r="N112" s="170">
        <f>TableHome[[#This Row],['# Reviewed]]/TableHome[[#This Row],['# Test Cases]]</f>
        <v/>
      </c>
    </row>
    <row r="113" ht="22" customHeight="1" s="132">
      <c r="A113" s="171" t="n">
        <v>111</v>
      </c>
      <c r="B113" s="171" t="inlineStr">
        <is>
          <t>Server</t>
        </is>
      </c>
      <c r="C113" s="171" t="inlineStr">
        <is>
          <t>IJT Delete Joint</t>
        </is>
      </c>
      <c r="D113" s="171">
        <f>HYPERLINK("#'Delete Joint'!A1","▶ Delete Joint")</f>
        <v/>
      </c>
      <c r="E113" s="172" t="inlineStr">
        <is>
          <t>Server supports DeleteJoint method.</t>
        </is>
      </c>
      <c r="F113" s="171" t="n"/>
      <c r="G113" s="171" t="n">
        <v>2</v>
      </c>
      <c r="H113" s="173">
        <f>COUNT('Delete Joint'!B:B)</f>
        <v/>
      </c>
      <c r="I113" s="173">
        <f>COUNTIF('Delete Joint'!A:A,"y")</f>
        <v/>
      </c>
      <c r="J113" s="173">
        <f>COUNTIF('Delete Joint'!A:A,"n")</f>
        <v/>
      </c>
      <c r="K113" s="173">
        <f>COUNTIF('Delete Joint'!I:I,"y")</f>
        <v/>
      </c>
      <c r="L113" s="173">
        <f>TableHome[[#This Row],['# Test Cases]]-TableHome[[#This Row],['# Reviewed]]</f>
        <v/>
      </c>
      <c r="M113" s="174">
        <f>TableHome[[#This Row],['# Reviewed]]/TableHome[[#This Row],['# Test Cases]]</f>
        <v/>
      </c>
      <c r="N113" s="174">
        <f>TableHome[[#This Row],['# Reviewed]]/TableHome[[#This Row],['# Test Cases]]</f>
        <v/>
      </c>
    </row>
    <row r="114" ht="22" customHeight="1" s="132">
      <c r="A114" s="167" t="n">
        <v>112</v>
      </c>
      <c r="B114" s="167" t="inlineStr">
        <is>
          <t>Server</t>
        </is>
      </c>
      <c r="C114" s="167" t="inlineStr">
        <is>
          <t>IJT Send Joint Design</t>
        </is>
      </c>
      <c r="D114" s="167">
        <f>HYPERLINK("#'Send Joint Design'!A1","▶ Send Joint Design")</f>
        <v/>
      </c>
      <c r="E114" s="168" t="inlineStr">
        <is>
          <t>Server supports SendJointDesign method.</t>
        </is>
      </c>
      <c r="F114" s="167" t="n"/>
      <c r="G114" s="167" t="n">
        <v>1</v>
      </c>
      <c r="H114" s="169">
        <f>COUNT('Send Joint Design'!B:B)</f>
        <v/>
      </c>
      <c r="I114" s="169">
        <f>COUNTIF('Send Joint Design'!A:A,"y")</f>
        <v/>
      </c>
      <c r="J114" s="169">
        <f>COUNTIF('Send Joint Design'!A:A,"n")</f>
        <v/>
      </c>
      <c r="K114" s="169">
        <f>COUNTIF('Send Joint Design'!I:I,"y")</f>
        <v/>
      </c>
      <c r="L114" s="169">
        <f>TableHome[[#This Row],['# Test Cases]]-TableHome[[#This Row],['# Reviewed]]</f>
        <v/>
      </c>
      <c r="M114" s="170">
        <f>TableHome[[#This Row],['# Reviewed]]/TableHome[[#This Row],['# Test Cases]]</f>
        <v/>
      </c>
      <c r="N114" s="170">
        <f>TableHome[[#This Row],['# Reviewed]]/TableHome[[#This Row],['# Test Cases]]</f>
        <v/>
      </c>
    </row>
    <row r="115" ht="22" customHeight="1" s="132">
      <c r="A115" s="171" t="n">
        <v>113</v>
      </c>
      <c r="B115" s="171" t="inlineStr">
        <is>
          <t>Server</t>
        </is>
      </c>
      <c r="C115" s="171" t="inlineStr">
        <is>
          <t>IJT Get Joint Design List</t>
        </is>
      </c>
      <c r="D115" s="171">
        <f>HYPERLINK("#'Get Joint Design List'!A1","▶ Get Joint Design List")</f>
        <v/>
      </c>
      <c r="E115" s="172" t="inlineStr">
        <is>
          <t>Server supports GetJointDesignList method.</t>
        </is>
      </c>
      <c r="F115" s="171" t="n"/>
      <c r="G115" s="171" t="n">
        <v>1</v>
      </c>
      <c r="H115" s="173">
        <f>COUNT('Get Joint Design List'!B:B)</f>
        <v/>
      </c>
      <c r="I115" s="173">
        <f>COUNTIF('Get Joint Design List'!A:A,"y")</f>
        <v/>
      </c>
      <c r="J115" s="173">
        <f>COUNTIF('Get Joint Design List'!A:A,"n")</f>
        <v/>
      </c>
      <c r="K115" s="173">
        <f>COUNTIF('Get Joint Design List'!I:I,"y")</f>
        <v/>
      </c>
      <c r="L115" s="173">
        <f>TableHome[[#This Row],['# Test Cases]]-TableHome[[#This Row],['# Reviewed]]</f>
        <v/>
      </c>
      <c r="M115" s="174">
        <f>TableHome[[#This Row],['# Reviewed]]/TableHome[[#This Row],['# Test Cases]]</f>
        <v/>
      </c>
      <c r="N115" s="174">
        <f>TableHome[[#This Row],['# Reviewed]]/TableHome[[#This Row],['# Test Cases]]</f>
        <v/>
      </c>
    </row>
    <row r="116" ht="22" customHeight="1" s="132">
      <c r="A116" s="167" t="n">
        <v>114</v>
      </c>
      <c r="B116" s="167" t="inlineStr">
        <is>
          <t>Server</t>
        </is>
      </c>
      <c r="C116" s="167" t="inlineStr">
        <is>
          <t>IJT Get Joint Design</t>
        </is>
      </c>
      <c r="D116" s="167">
        <f>HYPERLINK("#'Get Joint Design'!A1","▶ Get Joint Design")</f>
        <v/>
      </c>
      <c r="E116" s="168" t="inlineStr">
        <is>
          <t>Server supports GetJointDesign method.</t>
        </is>
      </c>
      <c r="F116" s="167" t="n"/>
      <c r="G116" s="167" t="n">
        <v>1</v>
      </c>
      <c r="H116" s="169">
        <f>COUNT('Get Joint Design'!B:B)</f>
        <v/>
      </c>
      <c r="I116" s="169">
        <f>COUNTIF('Get Joint Design'!A:A,"y")</f>
        <v/>
      </c>
      <c r="J116" s="169">
        <f>COUNTIF('Get Joint Design'!A:A,"n")</f>
        <v/>
      </c>
      <c r="K116" s="169">
        <f>COUNTIF('Get Joint Design'!I:I,"y")</f>
        <v/>
      </c>
      <c r="L116" s="169">
        <f>TableHome[[#This Row],['# Test Cases]]-TableHome[[#This Row],['# Reviewed]]</f>
        <v/>
      </c>
      <c r="M116" s="170">
        <f>TableHome[[#This Row],['# Reviewed]]/TableHome[[#This Row],['# Test Cases]]</f>
        <v/>
      </c>
      <c r="N116" s="170">
        <f>TableHome[[#This Row],['# Reviewed]]/TableHome[[#This Row],['# Test Cases]]</f>
        <v/>
      </c>
    </row>
    <row r="117" ht="22" customHeight="1" s="132">
      <c r="A117" s="171" t="n">
        <v>115</v>
      </c>
      <c r="B117" s="171" t="inlineStr">
        <is>
          <t>Server</t>
        </is>
      </c>
      <c r="C117" s="171" t="inlineStr">
        <is>
          <t>IJT Joint Design Data</t>
        </is>
      </c>
      <c r="D117" s="171">
        <f>HYPERLINK("#'Joint Design Data'!A1","▶ Joint Design Data")</f>
        <v/>
      </c>
      <c r="E117" s="172" t="inlineStr">
        <is>
          <t>JointDesign instance includes JointDesignId and JointDesignContent. Includes JointComponentIdList if JointComponent feature is supported.</t>
        </is>
      </c>
      <c r="F117" s="171" t="n"/>
      <c r="G117" s="171" t="n">
        <v>1</v>
      </c>
      <c r="H117" s="173">
        <f>COUNT('Joint Design Data'!B:B)</f>
        <v/>
      </c>
      <c r="I117" s="173">
        <f>COUNTIF('Joint Design Data'!A:A,"y")</f>
        <v/>
      </c>
      <c r="J117" s="173">
        <f>COUNTIF('Joint Design Data'!A:A,"n")</f>
        <v/>
      </c>
      <c r="K117" s="173">
        <f>COUNTIF('Joint Design Data'!I:I,"y")</f>
        <v/>
      </c>
      <c r="L117" s="173">
        <f>TableHome[[#This Row],['# Test Cases]]-TableHome[[#This Row],['# Reviewed]]</f>
        <v/>
      </c>
      <c r="M117" s="174">
        <f>TableHome[[#This Row],['# Reviewed]]/TableHome[[#This Row],['# Test Cases]]</f>
        <v/>
      </c>
      <c r="N117" s="174">
        <f>TableHome[[#This Row],['# Reviewed]]/TableHome[[#This Row],['# Test Cases]]</f>
        <v/>
      </c>
    </row>
    <row r="118" ht="22" customHeight="1" s="132">
      <c r="A118" s="167" t="n">
        <v>116</v>
      </c>
      <c r="B118" s="167" t="inlineStr">
        <is>
          <t>Server</t>
        </is>
      </c>
      <c r="C118" s="167" t="inlineStr">
        <is>
          <t>IJT Delete Joint Design</t>
        </is>
      </c>
      <c r="D118" s="167">
        <f>HYPERLINK("#'Delete Joint Design'!A1","▶ Delete Joint Design")</f>
        <v/>
      </c>
      <c r="E118" s="168" t="inlineStr">
        <is>
          <t>Server supports DeleteJointDesign method.</t>
        </is>
      </c>
      <c r="F118" s="167" t="n"/>
      <c r="G118" s="167" t="n">
        <v>2</v>
      </c>
      <c r="H118" s="169">
        <f>COUNT('Delete Joint Design'!B:B)</f>
        <v/>
      </c>
      <c r="I118" s="169">
        <f>COUNTIF('Delete Joint Design'!A:A,"y")</f>
        <v/>
      </c>
      <c r="J118" s="169">
        <f>COUNTIF('Delete Joint Design'!A:A,"n")</f>
        <v/>
      </c>
      <c r="K118" s="169">
        <f>COUNTIF('Delete Joint Design'!I:I,"y")</f>
        <v/>
      </c>
      <c r="L118" s="169">
        <f>TableHome[[#This Row],['# Test Cases]]-TableHome[[#This Row],['# Reviewed]]</f>
        <v/>
      </c>
      <c r="M118" s="170">
        <f>TableHome[[#This Row],['# Reviewed]]/TableHome[[#This Row],['# Test Cases]]</f>
        <v/>
      </c>
      <c r="N118" s="170">
        <f>TableHome[[#This Row],['# Reviewed]]/TableHome[[#This Row],['# Test Cases]]</f>
        <v/>
      </c>
    </row>
    <row r="119" ht="22" customHeight="1" s="132">
      <c r="A119" s="171" t="n">
        <v>117</v>
      </c>
      <c r="B119" s="171" t="inlineStr">
        <is>
          <t>Server</t>
        </is>
      </c>
      <c r="C119" s="171" t="inlineStr">
        <is>
          <t>IJT Send Joint Component</t>
        </is>
      </c>
      <c r="D119" s="171">
        <f>HYPERLINK("#'Send Joint Component'!A1","▶ Send Joint Component")</f>
        <v/>
      </c>
      <c r="E119" s="172" t="inlineStr">
        <is>
          <t>Server supports SendJointComponent method.</t>
        </is>
      </c>
      <c r="F119" s="171" t="n"/>
      <c r="G119" s="171" t="n">
        <v>1</v>
      </c>
      <c r="H119" s="173">
        <f>COUNT('Send Joint Component'!B:B)</f>
        <v/>
      </c>
      <c r="I119" s="173">
        <f>COUNTIF('Send Joint Component'!A:A,"y")</f>
        <v/>
      </c>
      <c r="J119" s="173">
        <f>COUNTIF('Send Joint Component'!A:A,"n")</f>
        <v/>
      </c>
      <c r="K119" s="173">
        <f>COUNTIF('Send Joint Component'!I:I,"y")</f>
        <v/>
      </c>
      <c r="L119" s="173">
        <f>TableHome[[#This Row],['# Test Cases]]-TableHome[[#This Row],['# Reviewed]]</f>
        <v/>
      </c>
      <c r="M119" s="174">
        <f>TableHome[[#This Row],['# Reviewed]]/TableHome[[#This Row],['# Test Cases]]</f>
        <v/>
      </c>
      <c r="N119" s="174">
        <f>TableHome[[#This Row],['# Reviewed]]/TableHome[[#This Row],['# Test Cases]]</f>
        <v/>
      </c>
    </row>
    <row r="120" ht="22" customHeight="1" s="132">
      <c r="A120" s="167" t="n">
        <v>118</v>
      </c>
      <c r="B120" s="167" t="inlineStr">
        <is>
          <t>Server</t>
        </is>
      </c>
      <c r="C120" s="167" t="inlineStr">
        <is>
          <t>IJT Get Joint Component List</t>
        </is>
      </c>
      <c r="D120" s="167">
        <f>HYPERLINK("#'Get Joint Component List'!A1","▶ Get Joint Component List")</f>
        <v/>
      </c>
      <c r="E120" s="168" t="inlineStr">
        <is>
          <t>Server supports GetJointComponentList method.</t>
        </is>
      </c>
      <c r="F120" s="167" t="n"/>
      <c r="G120" s="167" t="n">
        <v>1</v>
      </c>
      <c r="H120" s="169">
        <f>COUNT('Get Joint Component List'!B:B)</f>
        <v/>
      </c>
      <c r="I120" s="169">
        <f>COUNTIF('Get Joint Component List'!A:A,"y")</f>
        <v/>
      </c>
      <c r="J120" s="169">
        <f>COUNTIF('Get Joint Component List'!A:A,"n")</f>
        <v/>
      </c>
      <c r="K120" s="169">
        <f>COUNTIF('Get Joint Component List'!I:I,"y")</f>
        <v/>
      </c>
      <c r="L120" s="169">
        <f>TableHome[[#This Row],['# Test Cases]]-TableHome[[#This Row],['# Reviewed]]</f>
        <v/>
      </c>
      <c r="M120" s="170">
        <f>TableHome[[#This Row],['# Reviewed]]/TableHome[[#This Row],['# Test Cases]]</f>
        <v/>
      </c>
      <c r="N120" s="170">
        <f>TableHome[[#This Row],['# Reviewed]]/TableHome[[#This Row],['# Test Cases]]</f>
        <v/>
      </c>
    </row>
    <row r="121" ht="22" customHeight="1" s="132">
      <c r="A121" s="171" t="n">
        <v>119</v>
      </c>
      <c r="B121" s="171" t="inlineStr">
        <is>
          <t>Server</t>
        </is>
      </c>
      <c r="C121" s="171" t="inlineStr">
        <is>
          <t>IJT Get Joint Component</t>
        </is>
      </c>
      <c r="D121" s="171">
        <f>HYPERLINK("#'Get Joint Component'!A1","▶ Get Joint Component")</f>
        <v/>
      </c>
      <c r="E121" s="172" t="inlineStr">
        <is>
          <t>Server supports GetJointComponent method.</t>
        </is>
      </c>
      <c r="F121" s="171" t="n"/>
      <c r="G121" s="171" t="n">
        <v>1</v>
      </c>
      <c r="H121" s="173">
        <f>COUNT('Get Joint Component'!B:B)</f>
        <v/>
      </c>
      <c r="I121" s="173">
        <f>COUNTIF('Get Joint Component'!A:A,"y")</f>
        <v/>
      </c>
      <c r="J121" s="173">
        <f>COUNTIF('Get Joint Component'!A:A,"n")</f>
        <v/>
      </c>
      <c r="K121" s="173">
        <f>COUNTIF('Get Joint Component'!I:I,"y")</f>
        <v/>
      </c>
      <c r="L121" s="173">
        <f>TableHome[[#This Row],['# Test Cases]]-TableHome[[#This Row],['# Reviewed]]</f>
        <v/>
      </c>
      <c r="M121" s="174">
        <f>TableHome[[#This Row],['# Reviewed]]/TableHome[[#This Row],['# Test Cases]]</f>
        <v/>
      </c>
      <c r="N121" s="174">
        <f>TableHome[[#This Row],['# Reviewed]]/TableHome[[#This Row],['# Test Cases]]</f>
        <v/>
      </c>
    </row>
    <row r="122" ht="22" customHeight="1" s="132">
      <c r="A122" s="167" t="n">
        <v>120</v>
      </c>
      <c r="B122" s="167" t="inlineStr">
        <is>
          <t>Server</t>
        </is>
      </c>
      <c r="C122" s="167" t="inlineStr">
        <is>
          <t>IJT Joint Component Data</t>
        </is>
      </c>
      <c r="D122" s="167">
        <f>HYPERLINK("#'Joint Component Data'!A1","▶ Joint Component Data")</f>
        <v/>
      </c>
      <c r="E122" s="168" t="inlineStr">
        <is>
          <t>JointComponent instance includes JointComponentId, Manufacturer, ManufacturerUri. Includes JointComponentContent (application-specific, e.g. Bolt, Rivet) if supported.</t>
        </is>
      </c>
      <c r="F122" s="167" t="n"/>
      <c r="G122" s="167" t="n">
        <v>1</v>
      </c>
      <c r="H122" s="169">
        <f>COUNT('Joint Component Data'!B:B)</f>
        <v/>
      </c>
      <c r="I122" s="169">
        <f>COUNTIF('Joint Component Data'!A:A,"y")</f>
        <v/>
      </c>
      <c r="J122" s="169">
        <f>COUNTIF('Joint Component Data'!A:A,"n")</f>
        <v/>
      </c>
      <c r="K122" s="169">
        <f>COUNTIF('Joint Component Data'!I:I,"y")</f>
        <v/>
      </c>
      <c r="L122" s="169">
        <f>TableHome[[#This Row],['# Test Cases]]-TableHome[[#This Row],['# Reviewed]]</f>
        <v/>
      </c>
      <c r="M122" s="170">
        <f>TableHome[[#This Row],['# Reviewed]]/TableHome[[#This Row],['# Test Cases]]</f>
        <v/>
      </c>
      <c r="N122" s="170">
        <f>TableHome[[#This Row],['# Reviewed]]/TableHome[[#This Row],['# Test Cases]]</f>
        <v/>
      </c>
    </row>
    <row r="123" ht="22" customHeight="1" s="132">
      <c r="A123" s="171" t="n">
        <v>121</v>
      </c>
      <c r="B123" s="171" t="inlineStr">
        <is>
          <t>Server</t>
        </is>
      </c>
      <c r="C123" s="171" t="inlineStr">
        <is>
          <t>IJT Delete Joint Component</t>
        </is>
      </c>
      <c r="D123" s="171">
        <f>HYPERLINK("#'Delete Joint Component'!A1","▶ Delete Joint Component")</f>
        <v/>
      </c>
      <c r="E123" s="172" t="inlineStr">
        <is>
          <t>The Server shall support DeleteJointComponent method to delete the input joint component.</t>
        </is>
      </c>
      <c r="F123" s="171" t="n"/>
      <c r="G123" s="171" t="n">
        <v>2</v>
      </c>
      <c r="H123" s="173">
        <f>COUNT('Delete Joint Component'!B:B)</f>
        <v/>
      </c>
      <c r="I123" s="173">
        <f>COUNTIF('Delete Joint Component'!A:A,"y")</f>
        <v/>
      </c>
      <c r="J123" s="173">
        <f>COUNTIF('Delete Joint Component'!A:A,"n")</f>
        <v/>
      </c>
      <c r="K123" s="173">
        <f>COUNTIF('Delete Joint Component'!I:I,"y")</f>
        <v/>
      </c>
      <c r="L123" s="173">
        <f>TableHome[[#This Row],['# Test Cases]]-TableHome[[#This Row],['# Reviewed]]</f>
        <v/>
      </c>
      <c r="M123" s="174">
        <f>TableHome[[#This Row],['# Reviewed]]/TableHome[[#This Row],['# Test Cases]]</f>
        <v/>
      </c>
      <c r="N123" s="174">
        <f>TableHome[[#This Row],['# Reviewed]]/TableHome[[#This Row],['# Test Cases]]</f>
        <v/>
      </c>
    </row>
    <row r="124" ht="22" customHeight="1" s="132">
      <c r="A124" s="167" t="n">
        <v>122</v>
      </c>
      <c r="B124" s="167" t="inlineStr">
        <is>
          <t>Server</t>
        </is>
      </c>
      <c r="C124" s="167" t="inlineStr">
        <is>
          <t>IJT Get Joint Revision List</t>
        </is>
      </c>
      <c r="D124" s="167">
        <f>HYPERLINK("#'Get Joint Revision List'!A1","▶ Get Joint Revision List")</f>
        <v/>
      </c>
      <c r="E124" s="168" t="inlineStr">
        <is>
          <t>Server supports GetJointRevisionList method.</t>
        </is>
      </c>
      <c r="F124" s="167" t="n"/>
      <c r="G124" s="167" t="n">
        <v>2</v>
      </c>
      <c r="H124" s="169">
        <f>COUNT('Get Joint Revision List'!B:B)</f>
        <v/>
      </c>
      <c r="I124" s="169">
        <f>COUNTIF('Get Joint Revision List'!A:A,"y")</f>
        <v/>
      </c>
      <c r="J124" s="169">
        <f>COUNTIF('Get Joint Revision List'!A:A,"n")</f>
        <v/>
      </c>
      <c r="K124" s="169">
        <f>COUNTIF('Get Joint Revision List'!I:I,"y")</f>
        <v/>
      </c>
      <c r="L124" s="169">
        <f>TableHome[[#This Row],['# Test Cases]]-TableHome[[#This Row],['# Reviewed]]</f>
        <v/>
      </c>
      <c r="M124" s="170">
        <f>TableHome[[#This Row],['# Reviewed]]/TableHome[[#This Row],['# Test Cases]]</f>
        <v/>
      </c>
      <c r="N124" s="170">
        <f>TableHome[[#This Row],['# Reviewed]]/TableHome[[#This Row],['# Test Cases]]</f>
        <v/>
      </c>
    </row>
    <row r="125" ht="22" customHeight="1" s="132">
      <c r="A125" s="171" t="n">
        <v>123</v>
      </c>
      <c r="B125" s="171" t="inlineStr">
        <is>
          <t>Server</t>
        </is>
      </c>
      <c r="C125" s="171" t="inlineStr">
        <is>
          <t>IJT Engineering Units</t>
        </is>
      </c>
      <c r="D125" s="171">
        <f>HYPERLINK("#'Engineering Units'!A1","▶ Engineering Units")</f>
        <v/>
      </c>
      <c r="E125" s="172" t="inlineStr">
        <is>
          <t>The instances of ResultValueDataType, TraceContentDataType, ReportedValueDataType, DesignValueDataType, and any variable with TypeDefinition JoiningDataVariableType shall include the EngineeringUnits property.</t>
        </is>
      </c>
      <c r="F125" s="171" t="n"/>
      <c r="G125" s="171" t="n">
        <v>2</v>
      </c>
      <c r="H125" s="173">
        <f>COUNT('Engineering Units'!B:B)</f>
        <v/>
      </c>
      <c r="I125" s="173">
        <f>COUNTIF('Engineering Units'!A:A,"y")</f>
        <v/>
      </c>
      <c r="J125" s="173">
        <f>COUNTIF('Engineering Units'!A:A,"n")</f>
        <v/>
      </c>
      <c r="K125" s="173">
        <f>COUNTIF('Engineering Units'!I:I,"y")</f>
        <v/>
      </c>
      <c r="L125" s="173">
        <f>TableHome[[#This Row],['# Test Cases]]-TableHome[[#This Row],['# Reviewed]]</f>
        <v/>
      </c>
      <c r="M125" s="174">
        <f>TableHome[[#This Row],['# Reviewed]]/TableHome[[#This Row],['# Test Cases]]</f>
        <v/>
      </c>
      <c r="N125" s="174">
        <f>TableHome[[#This Row],['# Reviewed]]/TableHome[[#This Row],['# Test Cases]]</f>
        <v/>
      </c>
    </row>
    <row r="127">
      <c r="B127" s="175" t="n"/>
      <c r="C127" s="175" t="n"/>
      <c r="D127" s="175" t="n"/>
      <c r="E127" s="175" t="n"/>
      <c r="F127" s="175" t="n"/>
      <c r="G127" s="175" t="n"/>
      <c r="H127" s="175" t="n"/>
      <c r="I127" s="175" t="n"/>
      <c r="J127" s="175" t="n"/>
      <c r="K127" s="175" t="n"/>
      <c r="L127" s="175" t="n"/>
      <c r="M127" s="175" t="n"/>
    </row>
    <row r="128" ht="14.4" customHeight="1" s="132">
      <c r="A128" s="83" t="n"/>
      <c r="B128" s="176" t="inlineStr">
        <is>
          <t>TOTALS:</t>
        </is>
      </c>
      <c r="C128" s="176" t="n"/>
      <c r="D128" s="177">
        <f>SUM(TableHome['# Test Cases])</f>
        <v/>
      </c>
      <c r="E128" s="176" t="n"/>
      <c r="F128" s="176">
        <f>SUMIF(TableHome[PRI],1,TableHome['# Test Cases])</f>
        <v/>
      </c>
      <c r="G128" s="176" t="inlineStr">
        <is>
          <t>M=mandatory (PRI=1)</t>
        </is>
      </c>
      <c r="H128" s="176" t="n"/>
      <c r="I128" s="176" t="n"/>
      <c r="J128" s="83" t="n"/>
      <c r="K128" s="83" t="n"/>
      <c r="L128" s="83" t="n"/>
      <c r="M128" s="83" t="n"/>
      <c r="N128" s="83" t="n"/>
    </row>
    <row r="129" ht="14.4" customHeight="1" s="132">
      <c r="A129" s="83" t="n"/>
      <c r="B129" s="176" t="inlineStr">
        <is>
          <t>Mandatory (M):</t>
        </is>
      </c>
      <c r="C129" s="176" t="n"/>
      <c r="D129" s="177">
        <f>SUMIF(TableHome[PRI],1,TableHome['# Test Cases])</f>
        <v/>
      </c>
      <c r="E129" s="176" t="n"/>
      <c r="F129" s="176">
        <f>SUMIF(TableHome[PRI],1,TableHome['# Reviewed])</f>
        <v/>
      </c>
      <c r="G129" s="176" t="n"/>
      <c r="H129" s="176" t="n"/>
      <c r="I129" s="176" t="n"/>
      <c r="J129" s="83" t="n"/>
      <c r="K129" s="83" t="n"/>
      <c r="L129" s="83" t="n"/>
      <c r="M129" s="83" t="n"/>
      <c r="N129" s="83" t="n"/>
    </row>
    <row r="130" ht="14.4" customHeight="1" s="132">
      <c r="A130" s="83" t="n"/>
      <c r="B130" s="176" t="inlineStr">
        <is>
          <t>Optional (O):</t>
        </is>
      </c>
      <c r="C130" s="176" t="n"/>
      <c r="D130" s="177">
        <f>SUMIF(TableHome[PRI],2,TableHome['# Test Cases])</f>
        <v/>
      </c>
      <c r="E130" s="176" t="n"/>
      <c r="F130" s="176">
        <f>SUMIF(TableHome[PRI],2,TableHome['# Reviewed])</f>
        <v/>
      </c>
      <c r="G130" s="176" t="n"/>
      <c r="H130" s="176" t="n"/>
      <c r="I130" s="176" t="n"/>
      <c r="J130" s="83" t="n"/>
      <c r="K130" s="83" t="n"/>
      <c r="L130" s="83" t="n"/>
      <c r="M130" s="83" t="n"/>
      <c r="N130" s="83" t="n"/>
    </row>
    <row r="131" ht="14.4" customHeight="1" s="132">
      <c r="A131" s="83" t="n"/>
      <c r="B131" s="176" t="inlineStr">
        <is>
          <t>Completion %:</t>
        </is>
      </c>
      <c r="C131" s="176" t="n"/>
      <c r="D131" s="177">
        <f>IF(H128=0,0,K128/H128)</f>
        <v/>
      </c>
      <c r="E131" s="176" t="n"/>
      <c r="F131" s="176" t="n"/>
      <c r="G131" s="176" t="n"/>
      <c r="H131" s="176" t="n"/>
      <c r="I131" s="176" t="n"/>
      <c r="J131" s="83" t="n"/>
      <c r="K131" s="83" t="n"/>
      <c r="L131" s="83" t="n"/>
      <c r="M131" s="83" t="n"/>
      <c r="N131" s="83" t="n"/>
    </row>
    <row r="132">
      <c r="B132" s="176" t="n"/>
      <c r="C132" s="176" t="n"/>
      <c r="D132" s="177" t="n"/>
      <c r="E132" s="176" t="n"/>
      <c r="F132" s="176" t="n"/>
      <c r="G132" s="176" t="n"/>
      <c r="H132" s="176" t="n"/>
      <c r="I132" s="176" t="n"/>
    </row>
    <row r="133">
      <c r="B133" s="176" t="n"/>
      <c r="C133" s="176" t="n"/>
      <c r="D133" s="177" t="n"/>
      <c r="E133" s="176" t="n"/>
      <c r="F133" s="176" t="n"/>
      <c r="G133" s="176" t="n"/>
      <c r="H133" s="176" t="n"/>
      <c r="I133" s="176" t="n"/>
    </row>
    <row r="134">
      <c r="B134" s="176" t="n"/>
      <c r="C134" s="176" t="n"/>
      <c r="D134" s="177" t="n"/>
      <c r="E134" s="176" t="n"/>
      <c r="F134" s="176" t="n"/>
      <c r="G134" s="176" t="n"/>
      <c r="H134" s="176" t="n"/>
      <c r="I134" s="176" t="n"/>
    </row>
    <row r="135">
      <c r="B135" s="176" t="n"/>
      <c r="C135" s="176" t="n"/>
      <c r="D135" s="177" t="n"/>
      <c r="E135" s="176" t="n"/>
      <c r="F135" s="176" t="n"/>
      <c r="G135" s="176" t="n"/>
      <c r="H135" s="176" t="n"/>
      <c r="I135" s="176" t="n"/>
    </row>
    <row r="136">
      <c r="B136" s="176" t="n"/>
      <c r="C136" s="176" t="n"/>
      <c r="D136" s="177" t="n"/>
      <c r="E136" s="176" t="n"/>
      <c r="F136" s="176" t="n"/>
      <c r="G136" s="176" t="n"/>
      <c r="H136" s="176" t="n"/>
      <c r="I136" s="176" t="n"/>
    </row>
  </sheetData>
  <autoFilter ref="A2:A3"/>
  <mergeCells count="1">
    <mergeCell ref="A1:N1"/>
  </mergeCells>
  <pageMargins left="0.7" right="0.7" top="0.75" bottom="0.75" header="0.3" footer="0.3"/>
  <pageSetup orientation="portrait" horizontalDpi="4294967294" verticalDpi="4294967294"/>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Sheet9">
    <outlinePr summaryBelow="1" summaryRight="1"/>
    <pageSetUpPr/>
  </sheetPr>
  <dimension ref="A1:K38"/>
  <sheetViews>
    <sheetView zoomScaleNormal="100" workbookViewId="0">
      <pane ySplit="3" topLeftCell="A4" activePane="bottomLeft" state="frozen"/>
      <selection pane="bottomLeft" activeCell="F24" sqref="F24"/>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DataType Definitions</t>
        </is>
      </c>
    </row>
    <row r="2" ht="20.05" customFormat="1" customHeight="1" s="137">
      <c r="A2" s="151" t="inlineStr">
        <is>
          <t>Infrastructure: IJT DataTypes and Enumerations | OPC 40450-1 Section 5</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TY-1 – Verify JoiningResultDataType exists in Address Space</t>
        </is>
      </c>
    </row>
    <row r="5" ht="40" customHeight="1" s="132">
      <c r="A5" s="85" t="inlineStr">
        <is>
          <t>y</t>
        </is>
      </c>
      <c r="B5" s="85" t="n">
        <v>1</v>
      </c>
      <c r="C5" s="85" t="n">
        <v>1</v>
      </c>
      <c r="D5" s="85" t="inlineStr">
        <is>
          <t>Connect to IJT Server and browse namespace</t>
        </is>
      </c>
      <c r="E5" s="85" t="inlineStr">
        <is>
          <t>Server MUST expose all custom DataType nodes defined in the IJT nodeset (OPC 40450-1 NodeSet2.xml / DataTypes).</t>
        </is>
      </c>
      <c r="F5" s="85" t="inlineStr">
        <is>
          <t>NodeId for JoiningResultDataType found in namespace 'http://opcfoundation.org/UA/IJT/'</t>
        </is>
      </c>
      <c r="G5" s="85" t="inlineStr">
        <is>
          <t>Good</t>
        </is>
      </c>
      <c r="H5" s="85" t="n"/>
      <c r="I5" s="85" t="n"/>
      <c r="J5" s="85" t="inlineStr">
        <is>
          <t>OPC 40450-1 Section 5.4 / NodeSet2.xml</t>
        </is>
      </c>
      <c r="K5" s="85" t="n"/>
    </row>
    <row r="6" ht="40" customHeight="1" s="132">
      <c r="A6" s="85" t="inlineStr">
        <is>
          <t>y</t>
        </is>
      </c>
      <c r="B6" s="85" t="n">
        <v>1</v>
      </c>
      <c r="C6" s="85" t="n">
        <v>2</v>
      </c>
      <c r="D6" s="85" t="inlineStr">
        <is>
          <t>Read the DataType node attributes (NodeClass, BrowseName, IsAbstract)</t>
        </is>
      </c>
      <c r="E6" s="85" t="inlineStr">
        <is>
          <t>NodeClass = DataType; BrowseName = 'JoiningResultDataType'; IsAbstract = False.</t>
        </is>
      </c>
      <c r="F6" s="85" t="inlineStr">
        <is>
          <t>All three attributes match spec definition.</t>
        </is>
      </c>
      <c r="G6" s="85" t="inlineStr">
        <is>
          <t>Good</t>
        </is>
      </c>
      <c r="H6" s="85" t="n"/>
      <c r="I6" s="85" t="n"/>
      <c r="J6" s="85" t="inlineStr">
        <is>
          <t>OPC 40450-1 Section 5.4</t>
        </is>
      </c>
      <c r="K6" s="85" t="n"/>
    </row>
    <row r="7" ht="18" customHeight="1" s="132">
      <c r="A7" s="135" t="inlineStr">
        <is>
          <t>TY-2 – Verify JoiningResultMetaDataType exists in Address Space</t>
        </is>
      </c>
    </row>
    <row r="8" ht="40" customHeight="1" s="132">
      <c r="A8" s="86" t="inlineStr">
        <is>
          <t>y</t>
        </is>
      </c>
      <c r="B8" s="86" t="n">
        <v>2</v>
      </c>
      <c r="C8" s="86" t="n">
        <v>1</v>
      </c>
      <c r="D8" s="86" t="inlineStr">
        <is>
          <t>Browse for JoiningResultMetaDataType DataType node</t>
        </is>
      </c>
      <c r="E8" s="86" t="inlineStr">
        <is>
          <t>Server MUST expose JoiningResultMetaDataType DataType node.</t>
        </is>
      </c>
      <c r="F8" s="86" t="inlineStr">
        <is>
          <t>NodeId for JoiningResultMetaDataType found in IJT namespace.</t>
        </is>
      </c>
      <c r="G8" s="86" t="inlineStr">
        <is>
          <t>Good</t>
        </is>
      </c>
      <c r="H8" s="86" t="n"/>
      <c r="I8" s="86" t="n"/>
      <c r="J8" s="86" t="inlineStr">
        <is>
          <t>OPC 40450-1 Section 5.5</t>
        </is>
      </c>
      <c r="K8" s="86" t="n"/>
    </row>
    <row r="9" ht="40" customHeight="1" s="132">
      <c r="A9" s="86" t="inlineStr">
        <is>
          <t>y</t>
        </is>
      </c>
      <c r="B9" s="86" t="n">
        <v>2</v>
      </c>
      <c r="C9" s="86" t="n">
        <v>2</v>
      </c>
      <c r="D9" s="86" t="inlineStr">
        <is>
          <t>Verify BrowseName and IsAbstract</t>
        </is>
      </c>
      <c r="E9" s="86" t="inlineStr">
        <is>
          <t>BrowseName = 'JoiningResultMetaDataType'; IsAbstract = False.</t>
        </is>
      </c>
      <c r="F9" s="86" t="inlineStr">
        <is>
          <t>Attributes match spec.</t>
        </is>
      </c>
      <c r="G9" s="86" t="inlineStr">
        <is>
          <t>Good</t>
        </is>
      </c>
      <c r="H9" s="86" t="n"/>
      <c r="I9" s="86" t="n"/>
      <c r="J9" s="86" t="inlineStr">
        <is>
          <t>OPC 40450-1 Section 5.5</t>
        </is>
      </c>
      <c r="K9" s="86" t="n"/>
    </row>
    <row r="10" ht="18" customHeight="1" s="132">
      <c r="A10" s="135" t="inlineStr">
        <is>
          <t>TY-3 – Verify StepResultDataType exists in Address Space</t>
        </is>
      </c>
    </row>
    <row r="11" ht="40" customHeight="1" s="132">
      <c r="A11" s="85" t="inlineStr">
        <is>
          <t>y</t>
        </is>
      </c>
      <c r="B11" s="85" t="n">
        <v>3</v>
      </c>
      <c r="C11" s="85" t="n">
        <v>1</v>
      </c>
      <c r="D11" s="85" t="inlineStr">
        <is>
          <t>Browse for StepResultDataType DataType node</t>
        </is>
      </c>
      <c r="E11" s="85" t="inlineStr">
        <is>
          <t>Server MUST expose StepResultDataType DataType node.</t>
        </is>
      </c>
      <c r="F11" s="85" t="inlineStr">
        <is>
          <t>NodeId for StepResultDataType found in IJT namespace.</t>
        </is>
      </c>
      <c r="G11" s="85" t="inlineStr">
        <is>
          <t>Good</t>
        </is>
      </c>
      <c r="H11" s="85" t="n"/>
      <c r="I11" s="85" t="n"/>
      <c r="J11" s="85" t="inlineStr">
        <is>
          <t>OPC 40450-1 Section 5.6</t>
        </is>
      </c>
      <c r="K11" s="85" t="n"/>
    </row>
    <row r="12" ht="40" customHeight="1" s="132">
      <c r="A12" s="85" t="inlineStr">
        <is>
          <t>y</t>
        </is>
      </c>
      <c r="B12" s="85" t="n">
        <v>3</v>
      </c>
      <c r="C12" s="85" t="n">
        <v>2</v>
      </c>
      <c r="D12" s="85" t="inlineStr">
        <is>
          <t>Verify BrowseName, IsAbstract, and parent DataType</t>
        </is>
      </c>
      <c r="E12" s="85" t="inlineStr">
        <is>
          <t>BrowseName = 'StepResultDataType'; IsAbstract = False; parent inherits from Structure.</t>
        </is>
      </c>
      <c r="F12" s="85" t="inlineStr">
        <is>
          <t>Correct hierarchy confirmed.</t>
        </is>
      </c>
      <c r="G12" s="85" t="inlineStr">
        <is>
          <t>Good</t>
        </is>
      </c>
      <c r="H12" s="85" t="n"/>
      <c r="I12" s="85" t="n"/>
      <c r="J12" s="85" t="inlineStr">
        <is>
          <t>OPC 40450-1 Section 5.6</t>
        </is>
      </c>
      <c r="K12" s="85" t="n"/>
    </row>
    <row r="13" ht="18" customHeight="1" s="132">
      <c r="A13" s="135" t="inlineStr">
        <is>
          <t>TY-4 – Verify ErrorInformationDataType exists in Address Space</t>
        </is>
      </c>
    </row>
    <row r="14" ht="40" customHeight="1" s="132">
      <c r="A14" s="86" t="inlineStr">
        <is>
          <t>y</t>
        </is>
      </c>
      <c r="B14" s="86" t="n">
        <v>4</v>
      </c>
      <c r="C14" s="86" t="n">
        <v>1</v>
      </c>
      <c r="D14" s="86" t="inlineStr">
        <is>
          <t>Browse for ErrorInformationDataType DataType node</t>
        </is>
      </c>
      <c r="E14" s="86" t="inlineStr">
        <is>
          <t>Server MUST expose ErrorInformationDataType DataType node.</t>
        </is>
      </c>
      <c r="F14" s="86" t="inlineStr">
        <is>
          <t>NodeId found in IJT namespace.</t>
        </is>
      </c>
      <c r="G14" s="86" t="inlineStr">
        <is>
          <t>Good</t>
        </is>
      </c>
      <c r="H14" s="86" t="n"/>
      <c r="I14" s="86" t="n"/>
      <c r="J14" s="86" t="inlineStr">
        <is>
          <t>OPC 40450-1 Section 5.7</t>
        </is>
      </c>
      <c r="K14" s="86" t="n"/>
    </row>
    <row r="15" ht="40" customHeight="1" s="132">
      <c r="A15" s="86" t="inlineStr">
        <is>
          <t>y</t>
        </is>
      </c>
      <c r="B15" s="86" t="n">
        <v>4</v>
      </c>
      <c r="C15" s="86" t="n">
        <v>2</v>
      </c>
      <c r="D15" s="86" t="inlineStr">
        <is>
          <t>Verify BrowseName and IsAbstract</t>
        </is>
      </c>
      <c r="E15" s="86" t="inlineStr">
        <is>
          <t>BrowseName = 'ErrorInformationDataType'; IsAbstract = False.</t>
        </is>
      </c>
      <c r="F15" s="86" t="inlineStr">
        <is>
          <t>Attributes match spec.</t>
        </is>
      </c>
      <c r="G15" s="86" t="inlineStr">
        <is>
          <t>Good</t>
        </is>
      </c>
      <c r="H15" s="86" t="n"/>
      <c r="I15" s="86" t="n"/>
      <c r="J15" s="86" t="inlineStr">
        <is>
          <t>OPC 40450-1 Section 5.7</t>
        </is>
      </c>
      <c r="K15" s="86" t="n"/>
    </row>
    <row r="16" ht="18" customFormat="1" customHeight="1" s="138">
      <c r="A16" s="154" t="inlineStr">
        <is>
          <t>TY-5 – Verify ResultValueDataType exists in Address Space</t>
        </is>
      </c>
      <c r="B16" s="152" t="n"/>
      <c r="C16" s="152" t="n"/>
      <c r="D16" s="152" t="n"/>
      <c r="E16" s="152" t="n"/>
      <c r="F16" s="152" t="n"/>
      <c r="G16" s="152" t="n"/>
      <c r="H16" s="152" t="n"/>
      <c r="I16" s="152" t="n"/>
      <c r="J16" s="152" t="n"/>
      <c r="K16" s="153" t="n"/>
    </row>
    <row r="17" ht="40" customHeight="1" s="132">
      <c r="A17" s="85" t="inlineStr">
        <is>
          <t>y</t>
        </is>
      </c>
      <c r="B17" s="85" t="n">
        <v>5</v>
      </c>
      <c r="C17" s="85" t="n">
        <v>1</v>
      </c>
      <c r="D17" s="85" t="inlineStr">
        <is>
          <t>Browse for ResultValueDataType DataType node</t>
        </is>
      </c>
      <c r="E17" s="85" t="inlineStr">
        <is>
          <t>Server MUST expose ResultValueDataType DataType node.</t>
        </is>
      </c>
      <c r="F17" s="85" t="inlineStr">
        <is>
          <t>NodeId found in IJT namespace.</t>
        </is>
      </c>
      <c r="G17" s="85" t="inlineStr">
        <is>
          <t>Good</t>
        </is>
      </c>
      <c r="H17" s="85" t="n"/>
      <c r="I17" s="85" t="n"/>
      <c r="J17" s="85" t="inlineStr">
        <is>
          <t>OPC 40450-1 Section 5.8</t>
        </is>
      </c>
      <c r="K17" s="85" t="n"/>
    </row>
    <row r="18" ht="18" customHeight="1" s="132">
      <c r="A18" s="135" t="inlineStr">
        <is>
          <t>TY-6 – Verify JoiningTraceDataType exists in Address Space</t>
        </is>
      </c>
    </row>
    <row r="19" ht="40" customHeight="1" s="132">
      <c r="A19" s="86" t="inlineStr">
        <is>
          <t>y</t>
        </is>
      </c>
      <c r="B19" s="86" t="n">
        <v>6</v>
      </c>
      <c r="C19" s="86" t="n">
        <v>1</v>
      </c>
      <c r="D19" s="86" t="inlineStr">
        <is>
          <t>Browse for JoiningTraceDataType DataType node</t>
        </is>
      </c>
      <c r="E19" s="86" t="inlineStr">
        <is>
          <t>Server MUST expose JoiningTraceDataType DataType node.</t>
        </is>
      </c>
      <c r="F19" s="86" t="inlineStr">
        <is>
          <t>NodeId found in IJT namespace.</t>
        </is>
      </c>
      <c r="G19" s="86" t="inlineStr">
        <is>
          <t>Good</t>
        </is>
      </c>
      <c r="H19" s="86" t="n"/>
      <c r="I19" s="86" t="n"/>
      <c r="J19" s="86" t="inlineStr">
        <is>
          <t>OPC 40450-1 Section 5.9</t>
        </is>
      </c>
      <c r="K19" s="86" t="n"/>
    </row>
    <row r="20" ht="18" customHeight="1" s="132">
      <c r="A20" s="135" t="inlineStr">
        <is>
          <t>TY-7 – Verify TraceContentDataType exists in Address Space</t>
        </is>
      </c>
    </row>
    <row r="21" ht="40" customHeight="1" s="132">
      <c r="A21" s="85" t="inlineStr">
        <is>
          <t>y</t>
        </is>
      </c>
      <c r="B21" s="85" t="n">
        <v>7</v>
      </c>
      <c r="C21" s="85" t="n">
        <v>1</v>
      </c>
      <c r="D21" s="85" t="inlineStr">
        <is>
          <t>Browse for TraceContentDataType DataType node</t>
        </is>
      </c>
      <c r="E21" s="85" t="inlineStr">
        <is>
          <t>Server MUST expose TraceContentDataType DataType node.</t>
        </is>
      </c>
      <c r="F21" s="85" t="inlineStr">
        <is>
          <t>NodeId found in IJT namespace.</t>
        </is>
      </c>
      <c r="G21" s="85" t="inlineStr">
        <is>
          <t>Good</t>
        </is>
      </c>
      <c r="H21" s="85" t="n"/>
      <c r="I21" s="85" t="n"/>
      <c r="J21" s="85" t="inlineStr">
        <is>
          <t>OPC 40450-1 Section 5.10</t>
        </is>
      </c>
      <c r="K21" s="85" t="n"/>
    </row>
    <row r="22" ht="18" customHeight="1" s="132">
      <c r="A22" s="135" t="inlineStr">
        <is>
          <t>TY-8 – Verify EntityDataType exists in Address Space</t>
        </is>
      </c>
    </row>
    <row r="23" ht="40" customHeight="1" s="132">
      <c r="A23" s="86" t="inlineStr">
        <is>
          <t>y</t>
        </is>
      </c>
      <c r="B23" s="86" t="n">
        <v>8</v>
      </c>
      <c r="C23" s="86" t="n">
        <v>1</v>
      </c>
      <c r="D23" s="86" t="inlineStr">
        <is>
          <t>Browse for EntityDataType DataType node in IJT namespace</t>
        </is>
      </c>
      <c r="E23" s="86" t="inlineStr">
        <is>
          <t>Server MUST expose EntityDataType because IJT result identifiers, event AssociatedEntities, joining-process links, and joint links use EntityDataType[].</t>
        </is>
      </c>
      <c r="F23" s="86" t="inlineStr">
        <is>
          <t>EntityDataType DataType node is found in the IJT namespace. No alternate associated-entity DataType is required.</t>
        </is>
      </c>
      <c r="G23" s="86" t="inlineStr">
        <is>
          <t>Good</t>
        </is>
      </c>
      <c r="H23" s="86" t="n"/>
      <c r="I23" s="86" t="n"/>
      <c r="J23" s="86" t="inlineStr">
        <is>
          <t>OPC 40450-1 Section 10.10 / NodeSet2.xml</t>
        </is>
      </c>
      <c r="K23" s="86" t="n"/>
    </row>
    <row r="24" ht="18" customHeight="1" s="132">
      <c r="A24" s="135" t="inlineStr">
        <is>
          <t>TY-9 – Verify formal dependency DataTypes and table-defined value fields</t>
        </is>
      </c>
    </row>
    <row r="25" ht="40" customHeight="1" s="132">
      <c r="A25" s="85" t="inlineStr">
        <is>
          <t>y</t>
        </is>
      </c>
      <c r="B25" s="85" t="n">
        <v>9</v>
      </c>
      <c r="C25" s="85" t="n">
        <v>1</v>
      </c>
      <c r="D25" s="85" t="inlineStr">
        <is>
          <t>Browse for formal DataType nodes used by IJT/Machinery Result value fields, including ResultEvaluationEnum, ProcessingTimesDataType, and IJT structured DataTypes.</t>
        </is>
      </c>
      <c r="E25" s="85" t="inlineStr">
        <is>
          <t>Server exposes the formal DataType nodes from the loaded IJT and dependent NodeSets. IJT table-defined integer value sets such as Classification, EntityType, and PhysicalQuantity are validated where the fields are used, not as invented enum DataType nodes.</t>
        </is>
      </c>
      <c r="F25" s="85" t="inlineStr">
        <is>
          <t>Formal DataType nodes that exist in the loaded NodeSets are present with correct BrowseName. No failure is raised for non-browseable table-defined value tables that are not UADataType nodes.</t>
        </is>
      </c>
      <c r="G25" s="85" t="inlineStr">
        <is>
          <t>Good</t>
        </is>
      </c>
      <c r="H25" s="85" t="n"/>
      <c r="I25" s="85" t="n"/>
      <c r="J25" s="85" t="inlineStr">
        <is>
          <t>OPC 40450-1 Section 10.10 / OPC 40001-101</t>
        </is>
      </c>
      <c r="K25" s="85" t="n"/>
    </row>
    <row r="26" ht="40" customHeight="1" s="132">
      <c r="A26" s="85" t="inlineStr">
        <is>
          <t>y</t>
        </is>
      </c>
      <c r="B26" s="85" t="n">
        <v>9</v>
      </c>
      <c r="C26" s="85" t="n">
        <v>2</v>
      </c>
      <c r="D26" s="85" t="inlineStr">
        <is>
          <t>Read EnumStrings or EnumValues only for formal enum DataTypes present in the loaded NodeSets; validate table-defined integer fields in their owning result/event rows.</t>
        </is>
      </c>
      <c r="E26" s="85" t="inlineStr">
        <is>
          <t>Formal enum values must match their defining NodeSet/spec. Do not require invented IJT enum DataTypes for classification, entity-type, value-qualifier, or key-content concepts when the local NodeSet defines them differently.</t>
        </is>
      </c>
      <c r="F26" s="85" t="inlineStr">
        <is>
          <t>Existing formal enum values match their source. Table-defined fields are validated by field DataType plus allowed-value tables in the relevant CU rows.</t>
        </is>
      </c>
      <c r="G26" s="85" t="inlineStr">
        <is>
          <t>Good</t>
        </is>
      </c>
      <c r="H26" s="85" t="n"/>
      <c r="I26" s="85" t="n"/>
      <c r="J26" s="85" t="inlineStr">
        <is>
          <t>OPC 40450-1 Annex A</t>
        </is>
      </c>
      <c r="K26" s="85" t="n"/>
    </row>
    <row r="27" ht="18" customHeight="1" s="132">
      <c r="A27" s="135" t="inlineStr">
        <is>
          <t>TY-10 – Verify DataType nodes namespace index</t>
        </is>
      </c>
    </row>
    <row r="28" ht="40" customHeight="1" s="132">
      <c r="A28" s="86" t="inlineStr">
        <is>
          <t>y</t>
        </is>
      </c>
      <c r="B28" s="86" t="n">
        <v>10</v>
      </c>
      <c r="C28" s="86" t="n">
        <v>1</v>
      </c>
      <c r="D28" s="86" t="inlineStr">
        <is>
          <t>Read NamespaceArray from Server; identify index for 'http://opcfoundation.org/UA/IJT/'</t>
        </is>
      </c>
      <c r="E28" s="86" t="inlineStr">
        <is>
          <t>IJT namespace MUST be registered in the server's NamespaceArray.</t>
        </is>
      </c>
      <c r="F28" s="86" t="inlineStr">
        <is>
          <t>IJT namespace URI found at index ≥ 2.</t>
        </is>
      </c>
      <c r="G28" s="86" t="inlineStr">
        <is>
          <t>Good</t>
        </is>
      </c>
      <c r="H28" s="86" t="n"/>
      <c r="I28" s="86" t="n"/>
      <c r="J28" s="86" t="inlineStr">
        <is>
          <t>OPC 10000-5 Section 8.2 / OPC 40450-1 Section 4</t>
        </is>
      </c>
      <c r="K28" s="86" t="n"/>
    </row>
    <row r="29" ht="40" customHeight="1" s="132">
      <c r="A29" s="86" t="inlineStr">
        <is>
          <t>y</t>
        </is>
      </c>
      <c r="B29" s="86" t="n">
        <v>10</v>
      </c>
      <c r="C29" s="86" t="n">
        <v>2</v>
      </c>
      <c r="D29" s="86" t="inlineStr">
        <is>
          <t>Verify all IJT DataType NodeIds use the correct namespace index</t>
        </is>
      </c>
      <c r="E29" s="86" t="inlineStr">
        <is>
          <t>All IJT-defined DataType nodes MUST have NamespaceIndex = [IJT namespace index].</t>
        </is>
      </c>
      <c r="F29" s="86" t="inlineStr">
        <is>
          <t>No IJT type nodes reference namespace index 0 or 1.</t>
        </is>
      </c>
      <c r="G29" s="86" t="inlineStr">
        <is>
          <t>Good</t>
        </is>
      </c>
      <c r="H29" s="86" t="n"/>
      <c r="I29" s="86" t="n"/>
      <c r="J29" s="86" t="inlineStr">
        <is>
          <t>OPC 10000-3 Section 5.2.3</t>
        </is>
      </c>
      <c r="K29" s="86" t="n"/>
    </row>
    <row r="30" ht="18" customHeight="1" s="132">
      <c r="A30" s="135" t="inlineStr">
        <is>
          <t>TY-11 – Verify JoiningSystemEventContentType VariableType</t>
        </is>
      </c>
    </row>
    <row r="31" ht="40" customHeight="1" s="132">
      <c r="A31" s="85" t="inlineStr">
        <is>
          <t>y</t>
        </is>
      </c>
      <c r="B31" s="85" t="n">
        <v>11</v>
      </c>
      <c r="C31" s="85" t="n">
        <v>1</v>
      </c>
      <c r="D31" s="85" t="inlineStr">
        <is>
          <t>Browse for JoiningSystemEventContentType VariableType node in IJT namespace</t>
        </is>
      </c>
      <c r="E31" s="85" t="inlineStr">
        <is>
          <t>Server MUST expose JoiningSystemEventContentType as a VariableType, not as a DataType.</t>
        </is>
      </c>
      <c r="F31" s="85" t="inlineStr">
        <is>
          <t>JoiningSystemEventContentType VariableType node is found in the IJT namespace.</t>
        </is>
      </c>
      <c r="G31" s="85" t="inlineStr">
        <is>
          <t>Good</t>
        </is>
      </c>
      <c r="H31" s="85" t="n"/>
      <c r="I31" s="85" t="n"/>
      <c r="J31" s="85" t="inlineStr">
        <is>
          <t>OPC 40450-1 Section 9 / NodeSet2.xml</t>
        </is>
      </c>
      <c r="K31" s="85" t="n"/>
    </row>
    <row r="32" ht="40" customHeight="1" s="132">
      <c r="A32" s="85" t="inlineStr">
        <is>
          <t>y</t>
        </is>
      </c>
      <c r="B32" s="85" t="n">
        <v>11</v>
      </c>
      <c r="C32" s="85" t="n">
        <v>2</v>
      </c>
      <c r="D32" s="85" t="inlineStr">
        <is>
          <t>Verify VariableType children: JoiningTechnology, EventText, EventCode, AssociatedEntities, ReportedValues</t>
        </is>
      </c>
      <c r="E32" s="85" t="inlineStr">
        <is>
          <t>Children use DataTypes from the NodeSet: JoiningTechnology/EventText=LocalizedText, EventCode=Int64, AssociatedEntities=EntityDataType[], ReportedValues=ReportedValueDataType[].</t>
        </is>
      </c>
      <c r="F32" s="85" t="inlineStr">
        <is>
          <t>All exposed children have the correct BrowseName, DataType, ValueRank, and optional modelling rule.</t>
        </is>
      </c>
      <c r="G32" s="85" t="inlineStr">
        <is>
          <t>Good</t>
        </is>
      </c>
      <c r="H32" s="85" t="n"/>
      <c r="I32" s="85" t="n"/>
      <c r="J32" s="85" t="inlineStr">
        <is>
          <t>OPC 40450-1 Section 9 / NodeSet2.xml</t>
        </is>
      </c>
      <c r="K32" s="85" t="n"/>
    </row>
    <row r="33" ht="18" customHeight="1" s="132">
      <c r="A33" s="135" t="inlineStr">
        <is>
          <t>TY-12 – Verify JoiningProcessDataType DataType node</t>
        </is>
      </c>
    </row>
    <row r="34" ht="40" customHeight="1" s="132">
      <c r="A34" s="86" t="inlineStr">
        <is>
          <t>y</t>
        </is>
      </c>
      <c r="B34" s="86" t="n">
        <v>12</v>
      </c>
      <c r="C34" s="86" t="n">
        <v>1</v>
      </c>
      <c r="D34" s="86" t="inlineStr">
        <is>
          <t>Browse for JoiningProcessDataType DataType node in IJT namespace</t>
        </is>
      </c>
      <c r="E34" s="86" t="inlineStr">
        <is>
          <t>Server MUST expose JoiningProcessDataType DataType node.</t>
        </is>
      </c>
      <c r="F34" s="86" t="inlineStr">
        <is>
          <t>NodeId found in IJT namespace.</t>
        </is>
      </c>
      <c r="G34" s="86" t="inlineStr">
        <is>
          <t>Good</t>
        </is>
      </c>
      <c r="H34" s="86" t="n"/>
      <c r="I34" s="86" t="n"/>
      <c r="J34" s="86" t="inlineStr">
        <is>
          <t>OPC 40450-1 NodeSet2.xml / DataTypes</t>
        </is>
      </c>
      <c r="K34" s="86" t="n"/>
    </row>
    <row r="35" ht="18" customHeight="1" s="132">
      <c r="A35" s="135" t="inlineStr">
        <is>
          <t>TY-13 – Verify JointDataType and JointDesignDataType nodes</t>
        </is>
      </c>
    </row>
    <row r="36" ht="40" customHeight="1" s="132">
      <c r="A36" s="85" t="inlineStr">
        <is>
          <t>y</t>
        </is>
      </c>
      <c r="B36" s="85" t="n">
        <v>13</v>
      </c>
      <c r="C36" s="85" t="n">
        <v>1</v>
      </c>
      <c r="D36" s="85" t="inlineStr">
        <is>
          <t>Browse for JointDataType and JointDesignDataType DataType nodes</t>
        </is>
      </c>
      <c r="E36" s="85" t="inlineStr">
        <is>
          <t>Both DataType nodes MUST be present in IJT namespace.</t>
        </is>
      </c>
      <c r="F36" s="85" t="inlineStr">
        <is>
          <t>Both NodeIds found in IJT namespace.</t>
        </is>
      </c>
      <c r="G36" s="85" t="inlineStr">
        <is>
          <t>Good</t>
        </is>
      </c>
      <c r="H36" s="85" t="n"/>
      <c r="I36" s="85" t="n"/>
      <c r="J36" s="85" t="inlineStr">
        <is>
          <t>OPC 40450-1 NodeSet2.xml / DataTypes</t>
        </is>
      </c>
      <c r="K36" s="85" t="n"/>
    </row>
    <row r="37" ht="18" customHeight="1" s="132">
      <c r="A37" s="135" t="inlineStr">
        <is>
          <t>TY-14 – Inspect DataType description and display name attributes</t>
        </is>
      </c>
    </row>
    <row r="38" ht="40" customHeight="1" s="132">
      <c r="A38" s="86" t="inlineStr">
        <is>
          <t>n</t>
        </is>
      </c>
      <c r="B38" s="86" t="n">
        <v>14</v>
      </c>
      <c r="C38" s="86" t="n">
        <v>1</v>
      </c>
      <c r="D38" s="86" t="inlineStr">
        <is>
          <t>[Optional helper - documentation quality] Read Description and DisplayName attributes of IJT-defined DataType nodes</t>
        </is>
      </c>
      <c r="E38" s="86" t="inlineStr">
        <is>
          <t>This is a documentation quality inspection only; OPC 40450-1 conformance for DataType existence does not depend on every Description being non-empty.</t>
        </is>
      </c>
      <c r="F38" s="86" t="inlineStr">
        <is>
          <t>DisplayName is readable. Description is recorded when present; absence of Description is not a conformance failure for the type-existence rows.</t>
        </is>
      </c>
      <c r="G38" s="86" t="inlineStr">
        <is>
          <t>Good</t>
        </is>
      </c>
      <c r="H38" s="86" t="n"/>
      <c r="I38" s="86" t="n"/>
      <c r="J38" s="86" t="inlineStr">
        <is>
          <t>OPC 10000-3 Section 5.3.1 / OPC 40450-1</t>
        </is>
      </c>
      <c r="K38" s="86" t="inlineStr">
        <is>
          <t>Optional helper; do not fail conformance solely on missing Description.</t>
        </is>
      </c>
    </row>
  </sheetData>
  <mergeCells count="16">
    <mergeCell ref="A22:K22"/>
    <mergeCell ref="A35:K35"/>
    <mergeCell ref="A4:K4"/>
    <mergeCell ref="A18:K18"/>
    <mergeCell ref="A20:K20"/>
    <mergeCell ref="A30:K30"/>
    <mergeCell ref="A7:K7"/>
    <mergeCell ref="A24:K24"/>
    <mergeCell ref="A2:K2"/>
    <mergeCell ref="A16:K16"/>
    <mergeCell ref="A33:K33"/>
    <mergeCell ref="A10:K10"/>
    <mergeCell ref="A13:K13"/>
    <mergeCell ref="A1:K1"/>
    <mergeCell ref="A37:K37"/>
    <mergeCell ref="A27:K27"/>
  </mergeCells>
  <pageMargins left="0.7" right="0.7" top="0.75" bottom="0.75" header="0.3" footer="0.3"/>
  <pageSetup orientation="portrait" horizontalDpi="1200" verticalDpi="1200"/>
</worksheet>
</file>

<file path=xl/worksheets/sheet3.xml><?xml version="1.0" encoding="utf-8"?>
<worksheet xmlns="http://schemas.openxmlformats.org/spreadsheetml/2006/main">
  <sheetPr codeName="Sheet10">
    <outlinePr summaryBelow="1" summaryRight="1"/>
    <pageSetUpPr/>
  </sheetPr>
  <dimension ref="A1:K28"/>
  <sheetViews>
    <sheetView zoomScaleNormal="100" workbookViewId="0">
      <pane ySplit="3" topLeftCell="A4" activePane="bottomLeft" state="frozen"/>
      <selection pane="bottomLeft" activeCell="F10" sqref="F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Optional Elements Conformance</t>
        </is>
      </c>
    </row>
    <row r="2" ht="20.05" customFormat="1" customHeight="1" s="137">
      <c r="A2" s="151" t="inlineStr">
        <is>
          <t>Infrastructure: Optional Node Presence Verification | OPC 40450-1 Section 6–11</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OE-1 – Verify optional JoiningSystemIdentificationType AddIn presence</t>
        </is>
      </c>
    </row>
    <row r="5" ht="40" customHeight="1" s="132">
      <c r="A5" s="85" t="inlineStr">
        <is>
          <t>y</t>
        </is>
      </c>
      <c r="B5" s="85" t="n">
        <v>1</v>
      </c>
      <c r="C5" s="85" t="n">
        <v>1</v>
      </c>
      <c r="D5" s="85" t="inlineStr">
        <is>
          <t>Browse JoiningSystemType instance for Identification AddIn node</t>
        </is>
      </c>
      <c r="E5" s="85" t="inlineStr">
        <is>
          <t>If the server claims CU 'IJT Joining System Identification', then Identification AddIn MUST be present with TypeDefinition = JoiningSystemIdentificationType.</t>
        </is>
      </c>
      <c r="F5" s="85" t="inlineStr">
        <is>
          <t>Identification AddIn node present with correct TypeDefinition.</t>
        </is>
      </c>
      <c r="G5" s="85" t="inlineStr">
        <is>
          <t>Good</t>
        </is>
      </c>
      <c r="H5" s="85" t="n"/>
      <c r="I5" s="85" t="n"/>
      <c r="J5" s="85" t="inlineStr">
        <is>
          <t>OPC 40450-1 Section 6.2</t>
        </is>
      </c>
      <c r="K5" s="85" t="n"/>
    </row>
    <row r="6" ht="40" customFormat="1" customHeight="1" s="138">
      <c r="A6" s="85" t="inlineStr">
        <is>
          <t>n</t>
        </is>
      </c>
      <c r="B6" s="85" t="n">
        <v>1</v>
      </c>
      <c r="C6" s="85" t="n">
        <v>2</v>
      </c>
      <c r="D6" s="85" t="inlineStr">
        <is>
          <t>[Optional helper - profile declaration consistency] If server does not claim the IJT Joining System Identification CU, inspect any exposed Identification AddIn without treating presence alone as a failure</t>
        </is>
      </c>
      <c r="E6" s="85" t="inlineStr">
        <is>
          <t>Server does not claim the CU; this row is a profile declaration consistency review, not a mandatory conformance row.</t>
        </is>
      </c>
      <c r="F6" s="85" t="inlineStr">
        <is>
          <t>If the AddIn is absent, the declaration is consistent. If present, do not fail solely for presence; record whether profile/declaration documentation needs alignment.</t>
        </is>
      </c>
      <c r="G6" s="85" t="inlineStr">
        <is>
          <t>Good</t>
        </is>
      </c>
      <c r="H6" s="85" t="n"/>
      <c r="I6" s="85" t="n"/>
      <c r="J6" s="85" t="inlineStr">
        <is>
          <t>OPC 40450-1 Section 6.2</t>
        </is>
      </c>
      <c r="K6" s="85" t="inlineStr">
        <is>
          <t>Optional helper. Presence of an optional node is not by itself a CU failure.</t>
        </is>
      </c>
    </row>
    <row r="7" ht="18" customHeight="1" s="132">
      <c r="A7" s="135" t="inlineStr">
        <is>
          <t>OE-2 – Verify optional MachineryBuildingBlocks AddIn presence</t>
        </is>
      </c>
    </row>
    <row r="8" ht="40" customHeight="1" s="132">
      <c r="A8" s="86" t="inlineStr">
        <is>
          <t>y</t>
        </is>
      </c>
      <c r="B8" s="86" t="n">
        <v>2</v>
      </c>
      <c r="C8" s="86" t="n">
        <v>1</v>
      </c>
      <c r="D8" s="86" t="inlineStr">
        <is>
          <t>Browse JoiningSystemType instance for MachineryBuildingBlocks folder</t>
        </is>
      </c>
      <c r="E8" s="86" t="inlineStr">
        <is>
          <t>If server claims CU 'IJT Joining System MBB', then MachineryBuildingBlocks MUST be present per OPC 40001-1.</t>
        </is>
      </c>
      <c r="F8" s="86" t="inlineStr">
        <is>
          <t>MachineryBuildingBlocks folder present with correct TypeDefinition.</t>
        </is>
      </c>
      <c r="G8" s="86" t="inlineStr">
        <is>
          <t>Good</t>
        </is>
      </c>
      <c r="H8" s="86" t="n"/>
      <c r="I8" s="86" t="n"/>
      <c r="J8" s="86" t="inlineStr">
        <is>
          <t>OPC 40450-1 Section 6.3 / OPC 40001-1</t>
        </is>
      </c>
      <c r="K8" s="86" t="n"/>
    </row>
    <row r="9" ht="18" customHeight="1" s="132">
      <c r="A9" s="135" t="inlineStr">
        <is>
          <t>OE-3 – Verify optional AssetManagement component presence</t>
        </is>
      </c>
    </row>
    <row r="10" ht="40" customHeight="1" s="132">
      <c r="A10" s="85" t="inlineStr">
        <is>
          <t>y</t>
        </is>
      </c>
      <c r="B10" s="85" t="n">
        <v>3</v>
      </c>
      <c r="C10" s="85" t="n">
        <v>1</v>
      </c>
      <c r="D10" s="85" t="inlineStr">
        <is>
          <t>Browse JoiningSystemType instance for AssetManagement component</t>
        </is>
      </c>
      <c r="E10" s="85" t="inlineStr">
        <is>
          <t>If server claims 'IJT Asset Management' CU, then AssetManagement component MUST be present with TypeDefinition = JoiningSystemAssetManagementType.</t>
        </is>
      </c>
      <c r="F10" s="85" t="inlineStr">
        <is>
          <t>AssetManagement component present with correct TypeDefinition.</t>
        </is>
      </c>
      <c r="G10" s="85" t="inlineStr">
        <is>
          <t>Good</t>
        </is>
      </c>
      <c r="H10" s="85" t="n"/>
      <c r="I10" s="85" t="n"/>
      <c r="J10" s="85" t="inlineStr">
        <is>
          <t>OPC 40450-1 Section 7.2</t>
        </is>
      </c>
      <c r="K10" s="85" t="n"/>
    </row>
    <row r="11" ht="18" customHeight="1" s="132">
      <c r="A11" s="135" t="inlineStr">
        <is>
          <t>OE-4 – Verify optional ResultManagement component presence</t>
        </is>
      </c>
    </row>
    <row r="12" ht="40" customHeight="1" s="132">
      <c r="A12" s="86" t="inlineStr">
        <is>
          <t>y</t>
        </is>
      </c>
      <c r="B12" s="86" t="n">
        <v>4</v>
      </c>
      <c r="C12" s="86" t="n">
        <v>1</v>
      </c>
      <c r="D12" s="86" t="inlineStr">
        <is>
          <t>Browse JoiningSystemType instance for ResultManagement component</t>
        </is>
      </c>
      <c r="E12" s="86" t="inlineStr">
        <is>
          <t>If server claims 'IJT Result Management' CU, then ResultManagement component MUST be present.</t>
        </is>
      </c>
      <c r="F12" s="86" t="inlineStr">
        <is>
          <t>ResultManagement component present with correct TypeDefinition.</t>
        </is>
      </c>
      <c r="G12" s="86" t="inlineStr">
        <is>
          <t>Good</t>
        </is>
      </c>
      <c r="H12" s="86" t="n"/>
      <c r="I12" s="86" t="n"/>
      <c r="J12" s="86" t="inlineStr">
        <is>
          <t>OPC 40450-1 Section 8.2</t>
        </is>
      </c>
      <c r="K12" s="86" t="n"/>
    </row>
    <row r="13" ht="18" customHeight="1" s="132">
      <c r="A13" s="135" t="inlineStr">
        <is>
          <t>OE-5 – Verify optional OperationCounters on asset instances</t>
        </is>
      </c>
    </row>
    <row r="14" ht="40" customHeight="1" s="132">
      <c r="A14" s="85" t="inlineStr">
        <is>
          <t>y</t>
        </is>
      </c>
      <c r="B14" s="85" t="n">
        <v>5</v>
      </c>
      <c r="C14" s="85" t="n">
        <v>1</v>
      </c>
      <c r="D14" s="85" t="inlineStr">
        <is>
          <t>Browse asset instances for optional OperationCounters component</t>
        </is>
      </c>
      <c r="E14" s="85" t="inlineStr">
        <is>
          <t>If server claims CU 'IJT Asset Management Operation Counters', then at least one asset MUST have OperationCounters of type MachineryOperationCounterType.</t>
        </is>
      </c>
      <c r="F14" s="85" t="inlineStr">
        <is>
          <t>OperationCounters present on at least one asset.</t>
        </is>
      </c>
      <c r="G14" s="85" t="inlineStr">
        <is>
          <t>Good</t>
        </is>
      </c>
      <c r="H14" s="85" t="n"/>
      <c r="I14" s="85" t="n"/>
      <c r="J14" s="85" t="inlineStr">
        <is>
          <t>OPC 40450-1 NodeSet2.xml / InstanceDeclarations</t>
        </is>
      </c>
      <c r="K14" s="85" t="n"/>
    </row>
    <row r="15" ht="18" customHeight="1" s="132">
      <c r="A15" s="135" t="inlineStr">
        <is>
          <t>OE-6 – Verify optional Health component on asset instances</t>
        </is>
      </c>
    </row>
    <row r="16" ht="40" customHeight="1" s="132">
      <c r="A16" s="86" t="inlineStr">
        <is>
          <t>y</t>
        </is>
      </c>
      <c r="B16" s="86" t="n">
        <v>6</v>
      </c>
      <c r="C16" s="86" t="n">
        <v>1</v>
      </c>
      <c r="D16" s="86" t="inlineStr">
        <is>
          <t>Browse asset instances for optional Health component</t>
        </is>
      </c>
      <c r="E16" s="86" t="inlineStr">
        <is>
          <t>If server claims CU 'IJT Asset Management Health', then at least one asset MUST have Health object with DeviceHealth property.</t>
        </is>
      </c>
      <c r="F16" s="86" t="inlineStr">
        <is>
          <t>Health object present on at least one asset with correct structure.</t>
        </is>
      </c>
      <c r="G16" s="86" t="inlineStr">
        <is>
          <t>Good</t>
        </is>
      </c>
      <c r="H16" s="86" t="n"/>
      <c r="I16" s="86" t="n"/>
      <c r="J16" s="86" t="inlineStr">
        <is>
          <t>OPC 40450-1 NodeSet2.xml / InstanceDeclarations / OPC 40083</t>
        </is>
      </c>
      <c r="K16" s="86" t="n"/>
    </row>
    <row r="17" ht="18" customHeight="1" s="132">
      <c r="A17" s="135" t="inlineStr">
        <is>
          <t>OE-7 – Verify optional Maintenance.Calibration on asset instances</t>
        </is>
      </c>
    </row>
    <row r="18" ht="40" customHeight="1" s="132">
      <c r="A18" s="85" t="inlineStr">
        <is>
          <t>y</t>
        </is>
      </c>
      <c r="B18" s="85" t="n">
        <v>7</v>
      </c>
      <c r="C18" s="85" t="n">
        <v>1</v>
      </c>
      <c r="D18" s="85" t="inlineStr">
        <is>
          <t>Browse asset instances for optional Maintenance.Calibration</t>
        </is>
      </c>
      <c r="E18" s="85" t="inlineStr">
        <is>
          <t>If server claims CU 'IJT Asset Management Calibration', then at least one asset MUST have Maintenance.Calibration with LastCalibration and CalibrationValue.</t>
        </is>
      </c>
      <c r="F18" s="85" t="inlineStr">
        <is>
          <t>Calibration component present on at least one asset.</t>
        </is>
      </c>
      <c r="G18" s="85" t="inlineStr">
        <is>
          <t>Good</t>
        </is>
      </c>
      <c r="H18" s="85" t="n"/>
      <c r="I18" s="85" t="n"/>
      <c r="J18" s="85" t="inlineStr">
        <is>
          <t>OPC 40450-1 NodeSet2.xml / InstanceDeclarations</t>
        </is>
      </c>
      <c r="K18" s="85" t="n"/>
    </row>
    <row r="19" ht="18" customHeight="1" s="132">
      <c r="A19" s="135" t="inlineStr">
        <is>
          <t>OE-8 – Verify optional extended ResultMetaData fields</t>
        </is>
      </c>
    </row>
    <row r="20" ht="40" customHeight="1" s="132">
      <c r="A20" s="86" t="inlineStr">
        <is>
          <t>y</t>
        </is>
      </c>
      <c r="B20" s="86" t="n">
        <v>8</v>
      </c>
      <c r="C20" s="86" t="n">
        <v>1</v>
      </c>
      <c r="D20" s="86" t="inlineStr">
        <is>
          <t>Read JoiningResultMetaDataType fields from observed result data; validate optional additional-data fields when present or when required by the claimed CU</t>
        </is>
      </c>
      <c r="E20" s="86" t="inlineStr">
        <is>
          <t>Server claims the relevant result additional-data CU. Field presence obligations come from that CU; optional NodeSet fields are validated when present.</t>
        </is>
      </c>
      <c r="F20" s="86" t="inlineStr">
        <is>
          <t>Required fields for the claimed CU are present and typed correctly. Optional absent fields do not fail this infrastructure row unless the specific CU requires them.</t>
        </is>
      </c>
      <c r="G20" s="86" t="inlineStr">
        <is>
          <t>Good</t>
        </is>
      </c>
      <c r="H20" s="86" t="n"/>
      <c r="I20" s="86" t="n"/>
      <c r="J20" s="86" t="inlineStr">
        <is>
          <t>OPC 40450-1 Section 8.4</t>
        </is>
      </c>
      <c r="K20" s="86" t="n"/>
    </row>
    <row r="21" ht="18" customHeight="1" s="132">
      <c r="A21" s="135" t="inlineStr">
        <is>
          <t>OE-9 – Verify optional ExtendedMetaData KeyValueDataType entries in result</t>
        </is>
      </c>
    </row>
    <row r="22" ht="40" customHeight="1" s="132">
      <c r="A22" s="85" t="inlineStr">
        <is>
          <t>y</t>
        </is>
      </c>
      <c r="B22" s="85" t="n">
        <v>9</v>
      </c>
      <c r="C22" s="85" t="n">
        <v>1</v>
      </c>
      <c r="D22" s="85" t="inlineStr">
        <is>
          <t>Read JoiningResultMetaDataType.ExtendedMetaData from an observed joining result</t>
        </is>
      </c>
      <c r="E22" s="85" t="inlineStr">
        <is>
          <t>If server claims CU 'IJT Result Extended Meta Data', validate ExtendedMetaData as KeyValueDataType[] per JoiningResultMetaDataType; absence/failure criteria belong to that CU row.</t>
        </is>
      </c>
      <c r="F22" s="85" t="inlineStr">
        <is>
          <t>ExtendedMetaData entries use KeyValueDataType (Key=TrimmedString, Value=BaseDataType). No pair-named structure is assumed.</t>
        </is>
      </c>
      <c r="G22" s="85" t="inlineStr">
        <is>
          <t>Good</t>
        </is>
      </c>
      <c r="H22" s="85" t="n"/>
      <c r="I22" s="85" t="n"/>
      <c r="J22" s="85" t="inlineStr">
        <is>
          <t>OPC 40450-1 Section 8.4.3</t>
        </is>
      </c>
      <c r="K22" s="85" t="inlineStr">
        <is>
          <t>NodeSet field is ExtendedMetaData: KeyValueDataType[].</t>
        </is>
      </c>
    </row>
    <row r="23" ht="18" customHeight="1" s="132">
      <c r="A23" s="135" t="inlineStr">
        <is>
          <t>OE-10 – Verify optional JoiningProcess Management component</t>
        </is>
      </c>
    </row>
    <row r="24" ht="40" customHeight="1" s="132">
      <c r="A24" s="86" t="inlineStr">
        <is>
          <t>y</t>
        </is>
      </c>
      <c r="B24" s="86" t="n">
        <v>10</v>
      </c>
      <c r="C24" s="86" t="n">
        <v>1</v>
      </c>
      <c r="D24" s="86" t="inlineStr">
        <is>
          <t>Browse JoiningSystemType for JoiningProcessManagement component</t>
        </is>
      </c>
      <c r="E24" s="86" t="inlineStr">
        <is>
          <t>If server claims CU 'IJT Joining Process Management', then JoiningProcessManagement MUST be present with TypeDefinition = JoiningProcessManagementType.</t>
        </is>
      </c>
      <c r="F24" s="86" t="inlineStr">
        <is>
          <t>JoiningProcessManagement component present with correct TypeDefinition.</t>
        </is>
      </c>
      <c r="G24" s="86" t="inlineStr">
        <is>
          <t>Good</t>
        </is>
      </c>
      <c r="H24" s="86" t="n"/>
      <c r="I24" s="86" t="n"/>
      <c r="J24" s="86" t="inlineStr">
        <is>
          <t>OPC 40450-1 Section 10.2</t>
        </is>
      </c>
      <c r="K24" s="86" t="n"/>
    </row>
    <row r="25" ht="18" customHeight="1" s="132">
      <c r="A25" s="135" t="inlineStr">
        <is>
          <t>OE-11 – Verify optional JointManagement component</t>
        </is>
      </c>
    </row>
    <row r="26" ht="40" customHeight="1" s="132">
      <c r="A26" s="85" t="inlineStr">
        <is>
          <t>y</t>
        </is>
      </c>
      <c r="B26" s="85" t="n">
        <v>11</v>
      </c>
      <c r="C26" s="85" t="n">
        <v>1</v>
      </c>
      <c r="D26" s="85" t="inlineStr">
        <is>
          <t>Browse JoiningSystemType for JointManagement component</t>
        </is>
      </c>
      <c r="E26" s="85" t="inlineStr">
        <is>
          <t>If server claims CU 'IJT Joint Management', then JointManagement MUST be present with TypeDefinition = JointManagementType.</t>
        </is>
      </c>
      <c r="F26" s="85" t="inlineStr">
        <is>
          <t>JointManagement component present.</t>
        </is>
      </c>
      <c r="G26" s="85" t="inlineStr">
        <is>
          <t>Good</t>
        </is>
      </c>
      <c r="H26" s="85" t="n"/>
      <c r="I26" s="85" t="n"/>
      <c r="J26" s="85" t="inlineStr">
        <is>
          <t>OPC 40450-1 Section 11.2</t>
        </is>
      </c>
      <c r="K26" s="85" t="n"/>
    </row>
    <row r="27" ht="18" customHeight="1" s="132">
      <c r="A27" s="135" t="inlineStr">
        <is>
          <t>OE-12 – Verify absent optional components when CU not claimed</t>
        </is>
      </c>
    </row>
    <row r="28" ht="40" customHeight="1" s="132">
      <c r="A28" s="86" t="inlineStr">
        <is>
          <t>n</t>
        </is>
      </c>
      <c r="B28" s="86" t="n">
        <v>12</v>
      </c>
      <c r="C28" s="86" t="n">
        <v>1</v>
      </c>
      <c r="D28" s="86" t="inlineStr">
        <is>
          <t>[Optional helper - profile declaration consistency] Review optional components exposed when their CU/profile is not declared</t>
        </is>
      </c>
      <c r="E28" s="86" t="inlineStr">
        <is>
          <t>This is a declaration consistency review. Optional nodes may be present without making the corresponding profile-negative row a conformance failure.</t>
        </is>
      </c>
      <c r="F28" s="86" t="inlineStr">
        <is>
          <t>Record any mismatch between exposed optional components and declared support. Do not fail solely because an optional component is exposed.</t>
        </is>
      </c>
      <c r="G28" s="86" t="inlineStr">
        <is>
          <t>Good</t>
        </is>
      </c>
      <c r="H28" s="86" t="n"/>
      <c r="I28" s="86" t="n"/>
      <c r="J28" s="86" t="inlineStr">
        <is>
          <t>OPC 10000-7 Section 6.3</t>
        </is>
      </c>
      <c r="K28" s="86" t="inlineStr">
        <is>
          <t>Optional helper; avoids treating optional presence as prohibited.</t>
        </is>
      </c>
    </row>
  </sheetData>
  <mergeCells count="14">
    <mergeCell ref="A4:K4"/>
    <mergeCell ref="A21:K21"/>
    <mergeCell ref="A15:K15"/>
    <mergeCell ref="A7:K7"/>
    <mergeCell ref="A25:K25"/>
    <mergeCell ref="A17:K17"/>
    <mergeCell ref="A2:K2"/>
    <mergeCell ref="A11:K11"/>
    <mergeCell ref="A19:K19"/>
    <mergeCell ref="A13:K13"/>
    <mergeCell ref="A1:K1"/>
    <mergeCell ref="A23:K23"/>
    <mergeCell ref="A9:K9"/>
    <mergeCell ref="A27:K27"/>
  </mergeCells>
  <pageMargins left="0.7" right="0.7" top="0.75" bottom="0.75" header="0.3" footer="0.3"/>
  <pageSetup orientation="portrait" horizontalDpi="1200" verticalDpi="1200"/>
</worksheet>
</file>

<file path=xl/worksheets/sheet4.xml><?xml version="1.0" encoding="utf-8"?>
<worksheet xmlns="http://schemas.openxmlformats.org/spreadsheetml/2006/main">
  <sheetPr codeName="Sheet11">
    <outlinePr summaryBelow="1" summaryRight="1"/>
    <pageSetUpPr/>
  </sheetPr>
  <dimension ref="A1:K30"/>
  <sheetViews>
    <sheetView zoomScaleNormal="100" workbookViewId="0">
      <pane ySplit="3" topLeftCell="A4" activePane="bottomLeft" state="frozen"/>
      <selection pane="bottomLeft" activeCell="A4" sqref="A4:K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ObjectType Conformance</t>
        </is>
      </c>
    </row>
    <row r="2" ht="20.05" customFormat="1" customHeight="1" s="137">
      <c r="A2" s="151" t="inlineStr">
        <is>
          <t>Infrastructure: IJT Interface ObjectTypes | OPC 40450-1 Section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IF-1 – Verify IControllerType interface ObjectType exists</t>
        </is>
      </c>
    </row>
    <row r="5" ht="40" customHeight="1" s="132">
      <c r="A5" s="85" t="inlineStr">
        <is>
          <t>y</t>
        </is>
      </c>
      <c r="B5" s="85" t="n">
        <v>1</v>
      </c>
      <c r="C5" s="85" t="n">
        <v>1</v>
      </c>
      <c r="D5" s="85" t="inlineStr">
        <is>
          <t>Browse IJT namespace for IControllerType ObjectType node</t>
        </is>
      </c>
      <c r="E5" s="85" t="inlineStr">
        <is>
          <t>Server MUST expose IControllerType ObjectType node in IJT namespace (NodeClass = ObjectType, IsAbstract = True).</t>
        </is>
      </c>
      <c r="F5" s="85" t="inlineStr">
        <is>
          <t>IControllerType ObjectType node found in IJT namespace.</t>
        </is>
      </c>
      <c r="G5" s="85" t="inlineStr">
        <is>
          <t>Good</t>
        </is>
      </c>
      <c r="H5" s="85" t="n"/>
      <c r="I5" s="85" t="n"/>
      <c r="J5" s="85" t="inlineStr">
        <is>
          <t>OPC 40450-1 Section 7.3</t>
        </is>
      </c>
      <c r="K5" s="85" t="n"/>
    </row>
    <row r="6" ht="40" customHeight="1" s="132">
      <c r="A6" s="85" t="inlineStr">
        <is>
          <t>y</t>
        </is>
      </c>
      <c r="B6" s="85" t="n">
        <v>1</v>
      </c>
      <c r="C6" s="85" t="n">
        <v>2</v>
      </c>
      <c r="D6" s="85" t="inlineStr">
        <is>
          <t>Browse Controller asset instances in AssetManagement; verify TypeDefinition includes IControllerType</t>
        </is>
      </c>
      <c r="E6" s="85" t="inlineStr">
        <is>
          <t>All Controller instances MUST implement IControllerType (as HasInterface or via type hierarchy).</t>
        </is>
      </c>
      <c r="F6" s="85" t="inlineStr">
        <is>
          <t>TypeDefinitionId of Controller instances references IControllerType.</t>
        </is>
      </c>
      <c r="G6" s="85" t="inlineStr">
        <is>
          <t>Good</t>
        </is>
      </c>
      <c r="H6" s="85" t="n"/>
      <c r="I6" s="85" t="n"/>
      <c r="J6" s="85" t="inlineStr">
        <is>
          <t>OPC 40450-1 Section 7.3</t>
        </is>
      </c>
      <c r="K6" s="85" t="n"/>
    </row>
    <row r="7" ht="18" customHeight="1" s="132">
      <c r="A7" s="135" t="inlineStr">
        <is>
          <t>IF-2 – Verify IToolType interface ObjectType exists</t>
        </is>
      </c>
    </row>
    <row r="8" ht="40" customHeight="1" s="132">
      <c r="A8" s="86" t="inlineStr">
        <is>
          <t>y</t>
        </is>
      </c>
      <c r="B8" s="86" t="n">
        <v>2</v>
      </c>
      <c r="C8" s="86" t="n">
        <v>1</v>
      </c>
      <c r="D8" s="86" t="inlineStr">
        <is>
          <t>Browse IJT namespace for IToolType ObjectType node</t>
        </is>
      </c>
      <c r="E8" s="86" t="inlineStr">
        <is>
          <t>Server MUST expose IToolType ObjectType node (IsAbstract = True).</t>
        </is>
      </c>
      <c r="F8" s="86" t="inlineStr">
        <is>
          <t>IToolType found in IJT namespace.</t>
        </is>
      </c>
      <c r="G8" s="86" t="inlineStr">
        <is>
          <t>Good</t>
        </is>
      </c>
      <c r="H8" s="86" t="n"/>
      <c r="I8" s="86" t="n"/>
      <c r="J8" s="86" t="inlineStr">
        <is>
          <t>OPC 40450-1 Section 7.4</t>
        </is>
      </c>
      <c r="K8" s="86" t="n"/>
    </row>
    <row r="9" ht="40" customHeight="1" s="132">
      <c r="A9" s="86" t="inlineStr">
        <is>
          <t>y</t>
        </is>
      </c>
      <c r="B9" s="86" t="n">
        <v>2</v>
      </c>
      <c r="C9" s="86" t="n">
        <v>2</v>
      </c>
      <c r="D9" s="86" t="inlineStr">
        <is>
          <t>Verify Tool instances implement IToolType</t>
        </is>
      </c>
      <c r="E9" s="86" t="inlineStr">
        <is>
          <t>All Tool asset instances MUST implement IToolType.</t>
        </is>
      </c>
      <c r="F9" s="86" t="inlineStr">
        <is>
          <t>Tool instances reference IToolType in type hierarchy.</t>
        </is>
      </c>
      <c r="G9" s="86" t="inlineStr">
        <is>
          <t>Good</t>
        </is>
      </c>
      <c r="H9" s="86" t="n"/>
      <c r="I9" s="86" t="n"/>
      <c r="J9" s="86" t="inlineStr">
        <is>
          <t>OPC 40450-1 Section 7.4</t>
        </is>
      </c>
      <c r="K9" s="86" t="n"/>
    </row>
    <row r="10" ht="18" customHeight="1" s="132">
      <c r="A10" s="135" t="inlineStr">
        <is>
          <t>IF-3 – Verify IServoType interface ObjectType exists</t>
        </is>
      </c>
    </row>
    <row r="11" ht="40" customFormat="1" customHeight="1" s="138">
      <c r="A11" s="85" t="inlineStr">
        <is>
          <t>y</t>
        </is>
      </c>
      <c r="B11" s="85" t="n">
        <v>3</v>
      </c>
      <c r="C11" s="85" t="n">
        <v>1</v>
      </c>
      <c r="D11" s="85" t="inlineStr">
        <is>
          <t>Browse IJT namespace for IServoType ObjectType node</t>
        </is>
      </c>
      <c r="E11" s="85" t="inlineStr">
        <is>
          <t>Server MUST expose IServoType ObjectType (IsAbstract = True) if CU 'IJT Asset Management Servo' is claimed.</t>
        </is>
      </c>
      <c r="F11" s="85" t="inlineStr">
        <is>
          <t>IServoType found in IJT namespace when CU is claimed.</t>
        </is>
      </c>
      <c r="G11" s="85" t="inlineStr">
        <is>
          <t>Good</t>
        </is>
      </c>
      <c r="H11" s="85" t="n"/>
      <c r="I11" s="85" t="n"/>
      <c r="J11" s="85" t="inlineStr">
        <is>
          <t>OPC 40450-1 Section 7.5</t>
        </is>
      </c>
      <c r="K11" s="85" t="n"/>
    </row>
    <row r="12" ht="18" customHeight="1" s="132">
      <c r="A12" s="135" t="inlineStr">
        <is>
          <t>IF-4 – Verify IMemoryDeviceType interface ObjectType exists</t>
        </is>
      </c>
    </row>
    <row r="13" ht="40" customHeight="1" s="132">
      <c r="A13" s="86" t="inlineStr">
        <is>
          <t>y</t>
        </is>
      </c>
      <c r="B13" s="86" t="n">
        <v>4</v>
      </c>
      <c r="C13" s="86" t="n">
        <v>1</v>
      </c>
      <c r="D13" s="86" t="inlineStr">
        <is>
          <t>Browse IJT namespace for IMemoryDeviceType ObjectType node</t>
        </is>
      </c>
      <c r="E13" s="86" t="inlineStr">
        <is>
          <t>Server MUST expose IMemoryDeviceType when CU 'IJT Asset Management Memory Device' is claimed.</t>
        </is>
      </c>
      <c r="F13" s="86" t="inlineStr">
        <is>
          <t>IMemoryDeviceType found in IJT namespace.</t>
        </is>
      </c>
      <c r="G13" s="86" t="inlineStr">
        <is>
          <t>Good</t>
        </is>
      </c>
      <c r="H13" s="86" t="n"/>
      <c r="I13" s="86" t="n"/>
      <c r="J13" s="86" t="inlineStr">
        <is>
          <t>OPC 40450-1 Section 7.6</t>
        </is>
      </c>
      <c r="K13" s="86" t="n"/>
    </row>
    <row r="14" ht="18" customHeight="1" s="132">
      <c r="A14" s="135" t="inlineStr">
        <is>
          <t>IF-5 – Verify ICableType interface ObjectType exists</t>
        </is>
      </c>
    </row>
    <row r="15" ht="40" customHeight="1" s="132">
      <c r="A15" s="85" t="inlineStr">
        <is>
          <t>y</t>
        </is>
      </c>
      <c r="B15" s="85" t="n">
        <v>5</v>
      </c>
      <c r="C15" s="85" t="n">
        <v>1</v>
      </c>
      <c r="D15" s="85" t="inlineStr">
        <is>
          <t>Browse IJT namespace for ICableType ObjectType node</t>
        </is>
      </c>
      <c r="E15" s="85" t="inlineStr">
        <is>
          <t>Server MUST expose ICableType when CU 'IJT Asset Management Cable' is claimed.</t>
        </is>
      </c>
      <c r="F15" s="85" t="inlineStr">
        <is>
          <t>ICableType found in IJT namespace.</t>
        </is>
      </c>
      <c r="G15" s="85" t="inlineStr">
        <is>
          <t>Good</t>
        </is>
      </c>
      <c r="H15" s="85" t="n"/>
      <c r="I15" s="85" t="n"/>
      <c r="J15" s="85" t="inlineStr">
        <is>
          <t>OPC 40450-1 Section 7.7</t>
        </is>
      </c>
      <c r="K15" s="85" t="n"/>
    </row>
    <row r="16" ht="18" customHeight="1" s="132">
      <c r="A16" s="135" t="inlineStr">
        <is>
          <t>IF-6 – Verify IPowerSupplyType interface ObjectType exists</t>
        </is>
      </c>
    </row>
    <row r="17" ht="40" customHeight="1" s="132">
      <c r="A17" s="86" t="inlineStr">
        <is>
          <t>y</t>
        </is>
      </c>
      <c r="B17" s="86" t="n">
        <v>6</v>
      </c>
      <c r="C17" s="86" t="n">
        <v>1</v>
      </c>
      <c r="D17" s="86" t="inlineStr">
        <is>
          <t>Browse IJT namespace for IPowerSupplyType ObjectType node</t>
        </is>
      </c>
      <c r="E17" s="86" t="inlineStr">
        <is>
          <t>Server MUST expose IPowerSupplyType when CU 'IJT Asset Management Power Supply' is claimed.</t>
        </is>
      </c>
      <c r="F17" s="86" t="inlineStr">
        <is>
          <t>IPowerSupplyType found in IJT namespace.</t>
        </is>
      </c>
      <c r="G17" s="86" t="inlineStr">
        <is>
          <t>Good</t>
        </is>
      </c>
      <c r="H17" s="86" t="n"/>
      <c r="I17" s="86" t="n"/>
      <c r="J17" s="86" t="inlineStr">
        <is>
          <t>OPC 40450-1 Section 7.8</t>
        </is>
      </c>
      <c r="K17" s="86" t="n"/>
    </row>
    <row r="18" ht="18" customHeight="1" s="132">
      <c r="A18" s="135" t="inlineStr">
        <is>
          <t>IF-7 – Verify IFeederType interface ObjectType exists</t>
        </is>
      </c>
    </row>
    <row r="19" ht="40" customHeight="1" s="132">
      <c r="A19" s="85" t="inlineStr">
        <is>
          <t>y</t>
        </is>
      </c>
      <c r="B19" s="85" t="n">
        <v>7</v>
      </c>
      <c r="C19" s="85" t="n">
        <v>1</v>
      </c>
      <c r="D19" s="85" t="inlineStr">
        <is>
          <t>Browse IJT namespace for IFeederType ObjectType node</t>
        </is>
      </c>
      <c r="E19" s="85" t="inlineStr">
        <is>
          <t>Server MUST expose IFeederType when CU 'IJT Asset Management Feeder' is claimed.</t>
        </is>
      </c>
      <c r="F19" s="85" t="inlineStr">
        <is>
          <t>IFeederType found in IJT namespace.</t>
        </is>
      </c>
      <c r="G19" s="85" t="inlineStr">
        <is>
          <t>Good</t>
        </is>
      </c>
      <c r="H19" s="85" t="n"/>
      <c r="I19" s="85" t="n"/>
      <c r="J19" s="85" t="inlineStr">
        <is>
          <t>OPC 40450-1 Section 7.9</t>
        </is>
      </c>
      <c r="K19" s="85" t="n"/>
    </row>
    <row r="20" ht="18" customHeight="1" s="132">
      <c r="A20" s="135" t="inlineStr">
        <is>
          <t>IF-8 – Verify ISensorType interface ObjectType exists</t>
        </is>
      </c>
    </row>
    <row r="21" ht="40" customHeight="1" s="132">
      <c r="A21" s="86" t="inlineStr">
        <is>
          <t>y</t>
        </is>
      </c>
      <c r="B21" s="86" t="n">
        <v>8</v>
      </c>
      <c r="C21" s="86" t="n">
        <v>1</v>
      </c>
      <c r="D21" s="86" t="inlineStr">
        <is>
          <t>Browse IJT namespace for ISensorType ObjectType node</t>
        </is>
      </c>
      <c r="E21" s="86" t="inlineStr">
        <is>
          <t>Server MUST expose ISensorType when CU 'IJT Asset Management Sensor' is claimed.</t>
        </is>
      </c>
      <c r="F21" s="86" t="inlineStr">
        <is>
          <t>ISensorType found in IJT namespace.</t>
        </is>
      </c>
      <c r="G21" s="86" t="inlineStr">
        <is>
          <t>Good</t>
        </is>
      </c>
      <c r="H21" s="86" t="n"/>
      <c r="I21" s="86" t="n"/>
      <c r="J21" s="86" t="inlineStr">
        <is>
          <t>OPC 40450-1 Section 7.11</t>
        </is>
      </c>
      <c r="K21" s="86" t="n"/>
    </row>
    <row r="22" ht="18" customHeight="1" s="132">
      <c r="A22" s="135" t="inlineStr">
        <is>
          <t>IF-9 – Verify IJoiningAdditionalInformationType interface exists</t>
        </is>
      </c>
    </row>
    <row r="23" ht="40" customHeight="1" s="132">
      <c r="A23" s="85" t="inlineStr">
        <is>
          <t>y</t>
        </is>
      </c>
      <c r="B23" s="85" t="n">
        <v>9</v>
      </c>
      <c r="C23" s="85" t="n">
        <v>1</v>
      </c>
      <c r="D23" s="85" t="inlineStr">
        <is>
          <t>Browse IJT namespace for IJoiningAdditionalInformationType ObjectType node</t>
        </is>
      </c>
      <c r="E23" s="85" t="inlineStr">
        <is>
          <t>Server MUST expose IJoiningAdditionalInformationType (IsAbstract = True).</t>
        </is>
      </c>
      <c r="F23" s="85" t="inlineStr">
        <is>
          <t>IJoiningAdditionalInformationType found in IJT namespace.</t>
        </is>
      </c>
      <c r="G23" s="85" t="inlineStr">
        <is>
          <t>Good</t>
        </is>
      </c>
      <c r="H23" s="85" t="n"/>
      <c r="I23" s="85" t="n"/>
      <c r="J23" s="85" t="inlineStr">
        <is>
          <t>OPC 40450-1 Section 7 ObjectTypes / NodeSet2.xml</t>
        </is>
      </c>
      <c r="K23" s="85" t="n"/>
    </row>
    <row r="24" ht="40" customHeight="1" s="132">
      <c r="A24" s="85" t="inlineStr">
        <is>
          <t>y</t>
        </is>
      </c>
      <c r="B24" s="85" t="n">
        <v>9</v>
      </c>
      <c r="C24" s="85" t="n">
        <v>2</v>
      </c>
      <c r="D24" s="85" t="inlineStr">
        <is>
          <t>Verify asset instances in CU-62 scope expose IJoiningAdditionalInformationType through the Identification AddIn</t>
        </is>
      </c>
      <c r="E24" s="85" t="inlineStr">
        <is>
          <t>CU 'IJT Asset Management Additional Information' covers asset instances exposing this interface as part of Identification; at least JoiningTechnology is required by CU text.</t>
        </is>
      </c>
      <c r="F24" s="85" t="inlineStr">
        <is>
          <t>In-scope asset Identification AddIns expose IJoiningAdditionalInformationType and JoiningTechnology (LocalizedText).</t>
        </is>
      </c>
      <c r="G24" s="85" t="inlineStr">
        <is>
          <t>Good</t>
        </is>
      </c>
      <c r="H24" s="85" t="n"/>
      <c r="I24" s="85" t="n"/>
      <c r="J24" s="85" t="inlineStr">
        <is>
          <t>OPC 40450-1 Section 7 ObjectTypes / NodeSet2.xml</t>
        </is>
      </c>
      <c r="K24" s="85" t="n"/>
    </row>
    <row r="25" ht="18" customHeight="1" s="132">
      <c r="A25" s="135" t="inlineStr">
        <is>
          <t>IF-10 – Verify interface ObjectTypes are abstract</t>
        </is>
      </c>
    </row>
    <row r="26" ht="40" customHeight="1" s="132">
      <c r="A26" s="86" t="inlineStr">
        <is>
          <t>y</t>
        </is>
      </c>
      <c r="B26" s="86" t="n">
        <v>10</v>
      </c>
      <c r="C26" s="86" t="n">
        <v>1</v>
      </c>
      <c r="D26" s="86" t="inlineStr">
        <is>
          <t>Read IsAbstract attribute for all IJT interface ObjectTypes (IControllerType, IToolType, IServoType, etc.)</t>
        </is>
      </c>
      <c r="E26" s="86" t="inlineStr">
        <is>
          <t>All interface ObjectTypes MUST have IsAbstract = True per OPC UA Interface pattern.</t>
        </is>
      </c>
      <c r="F26" s="86" t="inlineStr">
        <is>
          <t>IsAbstract = True for all IJT interface types.</t>
        </is>
      </c>
      <c r="G26" s="86" t="inlineStr">
        <is>
          <t>Good</t>
        </is>
      </c>
      <c r="H26" s="86" t="n"/>
      <c r="I26" s="86" t="n"/>
      <c r="J26" s="86" t="inlineStr">
        <is>
          <t>OPC 10000-3 Section 5.5.2</t>
        </is>
      </c>
      <c r="K26" s="86" t="n"/>
    </row>
    <row r="27" ht="18" customHeight="1" s="132">
      <c r="A27" s="135" t="inlineStr">
        <is>
          <t>IF-11 – Verify interface type hierarchy (HasSubtype)</t>
        </is>
      </c>
    </row>
    <row r="28" ht="40" customHeight="1" s="132">
      <c r="A28" s="85" t="inlineStr">
        <is>
          <t>y</t>
        </is>
      </c>
      <c r="B28" s="85" t="n">
        <v>11</v>
      </c>
      <c r="C28" s="85" t="n">
        <v>1</v>
      </c>
      <c r="D28" s="85" t="inlineStr">
        <is>
          <t>Traverse HasSubtype references from IBaseObjectType or BaseObjectType to IJT interface types</t>
        </is>
      </c>
      <c r="E28" s="85" t="inlineStr">
        <is>
          <t>IJT interface types MUST be accessible via HasSubtype references in the type hierarchy.</t>
        </is>
      </c>
      <c r="F28" s="85" t="inlineStr">
        <is>
          <t>All IJT interface types reachable via HasSubtype traversal from BaseObjectType.</t>
        </is>
      </c>
      <c r="G28" s="85" t="inlineStr">
        <is>
          <t>Good</t>
        </is>
      </c>
      <c r="H28" s="85" t="n"/>
      <c r="I28" s="85" t="n"/>
      <c r="J28" s="85" t="inlineStr">
        <is>
          <t>OPC 10000-3 Section 5.5.2</t>
        </is>
      </c>
      <c r="K28" s="85" t="n"/>
    </row>
    <row r="29" ht="18" customHeight="1" s="132">
      <c r="A29" s="135" t="inlineStr">
        <is>
          <t>IF-12 – Verify HasInterface references on asset instance types</t>
        </is>
      </c>
    </row>
    <row r="30" ht="40" customHeight="1" s="132">
      <c r="A30" s="86" t="inlineStr">
        <is>
          <t>y</t>
        </is>
      </c>
      <c r="B30" s="86" t="n">
        <v>12</v>
      </c>
      <c r="C30" s="86" t="n">
        <v>1</v>
      </c>
      <c r="D30" s="86" t="inlineStr">
        <is>
          <t>Browse concrete asset ObjectTypes or instance TypeDefinitions for HasInterface/type-hierarchy links to IJT interface ObjectTypes</t>
        </is>
      </c>
      <c r="E30" s="86" t="inlineStr">
        <is>
          <t>When the server exposes concrete asset types/instances for claimed asset CUs, their type/interface information identifies the applicable IJT interface.</t>
        </is>
      </c>
      <c r="F30" s="86" t="inlineStr">
        <is>
          <t>Applicable asset types/instances reference the correct IJT interface via HasInterface or a subtype/type-definition path.</t>
        </is>
      </c>
      <c r="G30" s="86" t="inlineStr">
        <is>
          <t>Good</t>
        </is>
      </c>
      <c r="H30" s="86" t="n"/>
      <c r="I30" s="86" t="n"/>
      <c r="J30" s="86" t="inlineStr">
        <is>
          <t>OPC 10000-3 Section 4.4 / OPC 40450-1 Section 7</t>
        </is>
      </c>
      <c r="K30" s="86" t="n"/>
    </row>
  </sheetData>
  <mergeCells count="14">
    <mergeCell ref="A22:K22"/>
    <mergeCell ref="A12:K12"/>
    <mergeCell ref="A4:K4"/>
    <mergeCell ref="A18:K18"/>
    <mergeCell ref="A20:K20"/>
    <mergeCell ref="A29:K29"/>
    <mergeCell ref="A7:K7"/>
    <mergeCell ref="A25:K25"/>
    <mergeCell ref="A2:K2"/>
    <mergeCell ref="A16:K16"/>
    <mergeCell ref="A10:K10"/>
    <mergeCell ref="A14:K14"/>
    <mergeCell ref="A1:K1"/>
    <mergeCell ref="A27:K27"/>
  </mergeCells>
  <pageMargins left="0.7" right="0.7" top="0.75" bottom="0.75" header="0.3" footer="0.3"/>
  <pageSetup orientation="portrait" horizontalDpi="1200" verticalDpi="1200"/>
</worksheet>
</file>

<file path=xl/worksheets/sheet5.xml><?xml version="1.0" encoding="utf-8"?>
<worksheet xmlns="http://schemas.openxmlformats.org/spreadsheetml/2006/main">
  <sheetPr codeName="Sheet14">
    <outlinePr summaryBelow="1" summaryRight="1"/>
    <pageSetUpPr/>
  </sheetPr>
  <dimension ref="A1:K28"/>
  <sheetViews>
    <sheetView zoomScaleNormal="100" workbookViewId="0">
      <pane ySplit="3" topLeftCell="A4" activePane="bottomLeft" state="frozen"/>
      <selection pane="bottomLeft" activeCell="A4" sqref="A4:K9"/>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Element Conformance</t>
        </is>
      </c>
    </row>
    <row r="2" ht="20.05" customFormat="1" customHeight="1" s="137">
      <c r="A2" s="151" t="inlineStr">
        <is>
          <t>Infrastructure: Mandatory Interface Elements on Asset Instances | OPC 40450-1 Section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IE-1 – Verify mandatory IControllerType elements on Controller instances</t>
        </is>
      </c>
    </row>
    <row r="5" ht="40" customHeight="1" s="132">
      <c r="A5" s="85" t="inlineStr">
        <is>
          <t>y</t>
        </is>
      </c>
      <c r="B5" s="85" t="n">
        <v>1</v>
      </c>
      <c r="C5" s="85" t="n">
        <v>1</v>
      </c>
      <c r="D5" s="85" t="inlineStr">
        <is>
          <t>Browse a Controller instance in AssetManagement; check for mandatory nodes: AssetId (String), DeviceClass (String), Manufacturer (LocalizedText), Model (LocalizedText), SerialNumber (String), HardwareRevision (String), SoftwareRevision (String), ProductCode (String), ProductInstanceUri (String)</t>
        </is>
      </c>
      <c r="E5" s="85" t="inlineStr">
        <is>
          <t>All mandatory elements of IControllerType MUST be present with correct DataTypes per spec Table.</t>
        </is>
      </c>
      <c r="F5" s="85" t="inlineStr">
        <is>
          <t>All mandatory nodes found. NodeClass, DataType, and AccessLevel match spec.</t>
        </is>
      </c>
      <c r="G5" s="85" t="inlineStr">
        <is>
          <t>Good</t>
        </is>
      </c>
      <c r="H5" s="85" t="n"/>
      <c r="I5" s="85" t="n"/>
      <c r="J5" s="85" t="inlineStr">
        <is>
          <t>OPC 40450-1 Section 7.3 Table</t>
        </is>
      </c>
      <c r="K5" s="85" t="n"/>
    </row>
    <row r="6" ht="40" customHeight="1" s="132">
      <c r="A6" s="85" t="inlineStr">
        <is>
          <t>y</t>
        </is>
      </c>
      <c r="B6" s="85" t="n">
        <v>1</v>
      </c>
      <c r="C6" s="85" t="n">
        <v>2</v>
      </c>
      <c r="D6" s="85" t="inlineStr">
        <is>
          <t>Read the value of SerialNumber and verify it is non-empty</t>
        </is>
      </c>
      <c r="E6" s="85" t="inlineStr">
        <is>
          <t>SerialNumber MUST be populated with a non-empty string identifying the physical asset.</t>
        </is>
      </c>
      <c r="F6" s="85" t="inlineStr">
        <is>
          <t>SerialNumber value is a non-empty String.</t>
        </is>
      </c>
      <c r="G6" s="85" t="inlineStr">
        <is>
          <t>Good</t>
        </is>
      </c>
      <c r="H6" s="85" t="n"/>
      <c r="I6" s="85" t="n"/>
      <c r="J6" s="85" t="inlineStr">
        <is>
          <t>OPC 40450-1 Section 7.3</t>
        </is>
      </c>
      <c r="K6" s="85" t="n"/>
    </row>
    <row r="7" ht="18" customHeight="1" s="132">
      <c r="A7" s="135" t="inlineStr">
        <is>
          <t>IE-2 – Verify mandatory IToolType elements on Tool instances</t>
        </is>
      </c>
    </row>
    <row r="8" ht="40" customHeight="1" s="132">
      <c r="A8" s="86" t="inlineStr">
        <is>
          <t>y</t>
        </is>
      </c>
      <c r="B8" s="86" t="n">
        <v>2</v>
      </c>
      <c r="C8" s="86" t="n">
        <v>1</v>
      </c>
      <c r="D8" s="86" t="inlineStr">
        <is>
          <t>Browse a Tool instance; check for mandatory nodes: AssetId, DeviceClass, Manufacturer, Model, SerialNumber, ProductInstanceUri, Parameters (containing DeviceName, MaxCurrent, MaxVoltage, MaxTorque, etc.)</t>
        </is>
      </c>
      <c r="E8" s="86" t="inlineStr">
        <is>
          <t>All mandatory elements of IToolType MUST be present with correct DataTypes.</t>
        </is>
      </c>
      <c r="F8" s="86" t="inlineStr">
        <is>
          <t>All mandatory nodes found with correct structure.</t>
        </is>
      </c>
      <c r="G8" s="86" t="inlineStr">
        <is>
          <t>Good</t>
        </is>
      </c>
      <c r="H8" s="86" t="n"/>
      <c r="I8" s="86" t="n"/>
      <c r="J8" s="86" t="inlineStr">
        <is>
          <t>OPC 40450-1 Section 7.4 Table</t>
        </is>
      </c>
      <c r="K8" s="86" t="n"/>
    </row>
    <row r="9" ht="40" customHeight="1" s="132">
      <c r="A9" s="86" t="inlineStr">
        <is>
          <t>y</t>
        </is>
      </c>
      <c r="B9" s="86" t="n">
        <v>2</v>
      </c>
      <c r="C9" s="86" t="n">
        <v>2</v>
      </c>
      <c r="D9" s="86" t="inlineStr">
        <is>
          <t>Read JoiningTechnology from the Tool's IJoiningAdditionalInformation component</t>
        </is>
      </c>
      <c r="E9" s="86" t="inlineStr">
        <is>
          <t>JoiningTechnology MUST be present with DataType = LocalizedText (per CU-62 'at least JoiningTechnology').</t>
        </is>
      </c>
      <c r="F9" s="86" t="inlineStr">
        <is>
          <t>JoiningTechnology present. DataType = LocalizedText. Read returns Good.</t>
        </is>
      </c>
      <c r="G9" s="86" t="inlineStr">
        <is>
          <t>Good</t>
        </is>
      </c>
      <c r="H9" s="86" t="n"/>
      <c r="I9" s="86" t="n"/>
      <c r="J9" s="86" t="inlineStr">
        <is>
          <t>OPC 40450-1 Section 7 ObjectTypes / NodeSet2.xml</t>
        </is>
      </c>
      <c r="K9" s="86" t="n"/>
    </row>
    <row r="10" ht="18" customFormat="1" customHeight="1" s="138">
      <c r="A10" s="154" t="inlineStr">
        <is>
          <t>IE-3 – Verify mandatory IServoType elements on Servo instances</t>
        </is>
      </c>
      <c r="B10" s="152" t="n"/>
      <c r="C10" s="152" t="n"/>
      <c r="D10" s="152" t="n"/>
      <c r="E10" s="152" t="n"/>
      <c r="F10" s="152" t="n"/>
      <c r="G10" s="152" t="n"/>
      <c r="H10" s="152" t="n"/>
      <c r="I10" s="152" t="n"/>
      <c r="J10" s="152" t="n"/>
      <c r="K10" s="153" t="n"/>
    </row>
    <row r="11" ht="40" customHeight="1" s="132">
      <c r="A11" s="85" t="inlineStr">
        <is>
          <t>y</t>
        </is>
      </c>
      <c r="B11" s="85" t="n">
        <v>3</v>
      </c>
      <c r="C11" s="85" t="n">
        <v>1</v>
      </c>
      <c r="D11" s="85" t="inlineStr">
        <is>
          <t>Browse a Servo instance (if present); check mandatory nodes per IServoType Table</t>
        </is>
      </c>
      <c r="E11" s="85" t="inlineStr">
        <is>
          <t>All mandatory IServoType elements MUST be present when Servo assets exist.</t>
        </is>
      </c>
      <c r="F11" s="85" t="inlineStr">
        <is>
          <t>Mandatory nodes found with correct DataTypes.</t>
        </is>
      </c>
      <c r="G11" s="85" t="inlineStr">
        <is>
          <t>Good</t>
        </is>
      </c>
      <c r="H11" s="85" t="n"/>
      <c r="I11" s="85" t="n"/>
      <c r="J11" s="85" t="inlineStr">
        <is>
          <t>OPC 40450-1 Section 7.5 Table</t>
        </is>
      </c>
      <c r="K11" s="85" t="n"/>
    </row>
    <row r="12" ht="18" customHeight="1" s="132">
      <c r="A12" s="135" t="inlineStr">
        <is>
          <t>IE-4 – Verify mandatory IMemoryDeviceType elements</t>
        </is>
      </c>
    </row>
    <row r="13" ht="40" customHeight="1" s="132">
      <c r="A13" s="86" t="inlineStr">
        <is>
          <t>y</t>
        </is>
      </c>
      <c r="B13" s="86" t="n">
        <v>4</v>
      </c>
      <c r="C13" s="86" t="n">
        <v>1</v>
      </c>
      <c r="D13" s="86" t="inlineStr">
        <is>
          <t>Browse a MemoryDevice instance (if present); check mandatory nodes per spec</t>
        </is>
      </c>
      <c r="E13" s="86" t="inlineStr">
        <is>
          <t>All mandatory IMemoryDeviceType elements MUST be present.</t>
        </is>
      </c>
      <c r="F13" s="86" t="inlineStr">
        <is>
          <t>Mandatory nodes found.</t>
        </is>
      </c>
      <c r="G13" s="86" t="inlineStr">
        <is>
          <t>Good</t>
        </is>
      </c>
      <c r="H13" s="86" t="n"/>
      <c r="I13" s="86" t="n"/>
      <c r="J13" s="86" t="inlineStr">
        <is>
          <t>OPC 40450-1 Section 7.6 Table</t>
        </is>
      </c>
      <c r="K13" s="86" t="n"/>
    </row>
    <row r="14" ht="18" customHeight="1" s="132">
      <c r="A14" s="135" t="inlineStr">
        <is>
          <t>IE-5 – Verify mandatory ICableType elements</t>
        </is>
      </c>
    </row>
    <row r="15" ht="40" customHeight="1" s="132">
      <c r="A15" s="85" t="inlineStr">
        <is>
          <t>y</t>
        </is>
      </c>
      <c r="B15" s="85" t="n">
        <v>5</v>
      </c>
      <c r="C15" s="85" t="n">
        <v>1</v>
      </c>
      <c r="D15" s="85" t="inlineStr">
        <is>
          <t>Browse a Cable instance (if present); check mandatory nodes per spec</t>
        </is>
      </c>
      <c r="E15" s="85" t="inlineStr">
        <is>
          <t>All mandatory ICableType elements MUST be present.</t>
        </is>
      </c>
      <c r="F15" s="85" t="inlineStr">
        <is>
          <t>Mandatory nodes found.</t>
        </is>
      </c>
      <c r="G15" s="85" t="inlineStr">
        <is>
          <t>Good</t>
        </is>
      </c>
      <c r="H15" s="85" t="n"/>
      <c r="I15" s="85" t="n"/>
      <c r="J15" s="85" t="inlineStr">
        <is>
          <t>OPC 40450-1 Section 7.7 Table</t>
        </is>
      </c>
      <c r="K15" s="85" t="n"/>
    </row>
    <row r="16" ht="18" customHeight="1" s="132">
      <c r="A16" s="135" t="inlineStr">
        <is>
          <t>IE-6 – Verify IJoiningAdditionalInformationType mandatory elements on all assets</t>
        </is>
      </c>
    </row>
    <row r="17" ht="40" customHeight="1" s="132">
      <c r="A17" s="86" t="inlineStr">
        <is>
          <t>y</t>
        </is>
      </c>
      <c r="B17" s="86" t="n">
        <v>6</v>
      </c>
      <c r="C17" s="86" t="n">
        <v>1</v>
      </c>
      <c r="D17" s="86" t="inlineStr">
        <is>
          <t>Browse each asset instance in CU-62 scope for IJoiningAdditionalInformationType on its Identification AddIn and verify at least JoiningTechnology (LocalizedText). For asset state properties, use the relevant state interface/CU rows.</t>
        </is>
      </c>
      <c r="E17" s="86" t="inlineStr">
        <is>
          <t>CU 'IJT Asset Management Additional Information' requires at least JoiningTechnology for in-scope asset Identification AddIns. The NodeSet defines JoiningTechnology as LocalizedText; Connected and Enabled are separate optional Boolean state properties, not children of IJoiningAdditionalInformationType.</t>
        </is>
      </c>
      <c r="F17" s="86" t="inlineStr">
        <is>
          <t>JoiningTechnology is present as LocalizedText for in-scope assets. Connected/Enabled are validated only where the applicable asset state interface or CU exposes them.</t>
        </is>
      </c>
      <c r="G17" s="86" t="inlineStr">
        <is>
          <t>Good</t>
        </is>
      </c>
      <c r="H17" s="86" t="n"/>
      <c r="I17" s="86" t="n"/>
      <c r="J17" s="86" t="inlineStr">
        <is>
          <t>OPC 40450-1 Section 7 ObjectTypes / NodeSet2.xml</t>
        </is>
      </c>
      <c r="K17" s="86" t="inlineStr">
        <is>
          <t>Do not use IsConnected/IsEnabled names for IJoiningAdditionalInformationType; NodeSet properties are Connected and Enabled under separate state components.</t>
        </is>
      </c>
    </row>
    <row r="18" ht="40" customHeight="1" s="132">
      <c r="A18" s="86" t="inlineStr">
        <is>
          <t>y</t>
        </is>
      </c>
      <c r="B18" s="86" t="n">
        <v>6</v>
      </c>
      <c r="C18" s="86" t="n">
        <v>2</v>
      </c>
      <c r="D18" s="86" t="inlineStr">
        <is>
          <t>Read Connected and Enabled values when the applicable asset state components expose them; verify DataType is Boolean</t>
        </is>
      </c>
      <c r="E18" s="86" t="inlineStr">
        <is>
          <t>The relevant asset state components are present for the claimed CUs. These properties are not required solely by IJoiningAdditionalInformationType.</t>
        </is>
      </c>
      <c r="F18" s="86" t="inlineStr">
        <is>
          <t>Connected and Enabled values are Boolean when exposed and reflect the server's current asset state.</t>
        </is>
      </c>
      <c r="G18" s="86" t="inlineStr">
        <is>
          <t>Good</t>
        </is>
      </c>
      <c r="H18" s="86" t="n"/>
      <c r="I18" s="86" t="n"/>
      <c r="J18" s="86" t="inlineStr">
        <is>
          <t>OPC 40450-1 Section 7 ObjectTypes / NodeSet2.xml</t>
        </is>
      </c>
      <c r="K18" s="86" t="n"/>
    </row>
    <row r="19" ht="18" customHeight="1" s="132">
      <c r="A19" s="135" t="inlineStr">
        <is>
          <t>IE-7 – Verify NodeClass of all interface element nodes is Variable or Object</t>
        </is>
      </c>
    </row>
    <row r="20" ht="40" customHeight="1" s="132">
      <c r="A20" s="85" t="inlineStr">
        <is>
          <t>y</t>
        </is>
      </c>
      <c r="B20" s="85" t="n">
        <v>7</v>
      </c>
      <c r="C20" s="85" t="n">
        <v>1</v>
      </c>
      <c r="D20" s="85" t="inlineStr">
        <is>
          <t>For each interface element node in asset instances, read NodeClass attribute</t>
        </is>
      </c>
      <c r="E20" s="85" t="inlineStr">
        <is>
          <t>Property nodes MUST have NodeClass = Variable; component objects MUST have NodeClass = Object.</t>
        </is>
      </c>
      <c r="F20" s="85" t="inlineStr">
        <is>
          <t>All interface element nodes have correct NodeClass per spec.</t>
        </is>
      </c>
      <c r="G20" s="85" t="inlineStr">
        <is>
          <t>Good</t>
        </is>
      </c>
      <c r="H20" s="85" t="n"/>
      <c r="I20" s="85" t="n"/>
      <c r="J20" s="85" t="inlineStr">
        <is>
          <t>OPC 10000-3 Section 5.3</t>
        </is>
      </c>
      <c r="K20" s="85" t="n"/>
    </row>
    <row r="21" ht="18" customHeight="1" s="132">
      <c r="A21" s="135" t="inlineStr">
        <is>
          <t>IE-8 – Verify AccessLevel of interface element variables</t>
        </is>
      </c>
    </row>
    <row r="22" ht="40" customHeight="1" s="132">
      <c r="A22" s="86" t="inlineStr">
        <is>
          <t>y</t>
        </is>
      </c>
      <c r="B22" s="86" t="n">
        <v>8</v>
      </c>
      <c r="C22" s="86" t="n">
        <v>1</v>
      </c>
      <c r="D22" s="86" t="inlineStr">
        <is>
          <t>Read AccessLevel, UserAccessLevel, and AccessLevelEx when supported for interface variables whose source specification explicitly defines a read-only access policy.</t>
        </is>
      </c>
      <c r="E22" s="86" t="inlineStr">
        <is>
          <t>Do not infer read-only access from nameplate/identification semantics alone. Use the relevant IJT/DI/Machinery/AMB type definition as the source of truth.</t>
        </is>
      </c>
      <c r="F22" s="86" t="inlineStr">
        <is>
          <t>Access attributes are readable. Variables explicitly defined as read-only have CurrentRead set and no effective CurrentWrite for the tested user.</t>
        </is>
      </c>
      <c r="G22" s="86" t="inlineStr">
        <is>
          <t>Good</t>
        </is>
      </c>
      <c r="H22" s="86" t="n"/>
      <c r="I22" s="86" t="n"/>
      <c r="J22" s="86" t="inlineStr">
        <is>
          <t>OPC 10000-3 Section 5.6.2 / OPC 40450-1 Section 7</t>
        </is>
      </c>
      <c r="K22" s="86" t="n"/>
    </row>
    <row r="23" ht="18" customHeight="1" s="132">
      <c r="A23" s="135" t="inlineStr">
        <is>
          <t>IE-9 – Verify ProductInstanceUri format on asset instances</t>
        </is>
      </c>
    </row>
    <row r="24" ht="40" customHeight="1" s="132">
      <c r="A24" s="85" t="inlineStr">
        <is>
          <t>y</t>
        </is>
      </c>
      <c r="B24" s="85" t="n">
        <v>9</v>
      </c>
      <c r="C24" s="85" t="n">
        <v>1</v>
      </c>
      <c r="D24" s="85" t="inlineStr">
        <is>
          <t>Read ProductInstanceUri from all asset instances</t>
        </is>
      </c>
      <c r="E24" s="85" t="inlineStr">
        <is>
          <t>ProductInstanceUri MUST be a non-empty URI string in format 'urn:&lt;manufacturer&gt;:&lt;serialnumber&gt;' or similar unique identifier.</t>
        </is>
      </c>
      <c r="F24" s="85" t="inlineStr">
        <is>
          <t>ProductInstanceUri is non-empty and follows URI format.</t>
        </is>
      </c>
      <c r="G24" s="85" t="inlineStr">
        <is>
          <t>Good</t>
        </is>
      </c>
      <c r="H24" s="85" t="n"/>
      <c r="I24" s="85" t="n"/>
      <c r="J24" s="85" t="inlineStr">
        <is>
          <t>OPC 40001-1 / OPC 40450-1 Section 7</t>
        </is>
      </c>
      <c r="K24" s="85" t="n"/>
    </row>
    <row r="25" ht="40" customHeight="1" s="132">
      <c r="A25" s="85" t="inlineStr">
        <is>
          <t>y</t>
        </is>
      </c>
      <c r="B25" s="85" t="n">
        <v>9</v>
      </c>
      <c r="C25" s="85" t="n">
        <v>2</v>
      </c>
      <c r="D25" s="85" t="inlineStr">
        <is>
          <t>Verify ProductInstanceUri values are unique across all asset instances</t>
        </is>
      </c>
      <c r="E25" s="85" t="inlineStr">
        <is>
          <t>ProductInstanceUri MUST be globally unique per asset.</t>
        </is>
      </c>
      <c r="F25" s="85" t="inlineStr">
        <is>
          <t>No two asset instances share the same ProductInstanceUri.</t>
        </is>
      </c>
      <c r="G25" s="85" t="inlineStr">
        <is>
          <t>Good</t>
        </is>
      </c>
      <c r="H25" s="85" t="n"/>
      <c r="I25" s="85" t="n"/>
      <c r="J25" s="85" t="inlineStr">
        <is>
          <t>OPC 40001-1 Section 5</t>
        </is>
      </c>
      <c r="K25" s="85" t="n"/>
    </row>
    <row r="26" ht="18" customHeight="1" s="132">
      <c r="A26" s="135" t="inlineStr">
        <is>
          <t>IE-10 – Verify MethodSet on AssetManagement contains expected methods</t>
        </is>
      </c>
    </row>
    <row r="27" ht="40" customHeight="1" s="132">
      <c r="A27" s="86" t="inlineStr">
        <is>
          <t>y</t>
        </is>
      </c>
      <c r="B27" s="86" t="n">
        <v>10</v>
      </c>
      <c r="C27" s="86" t="n">
        <v>1</v>
      </c>
      <c r="D27" s="86" t="inlineStr">
        <is>
          <t>Browse JoiningSystemAssetManagementType.MethodSet for declared methods</t>
        </is>
      </c>
      <c r="E27" s="86" t="inlineStr">
        <is>
          <t>MethodSet MUST contain at least the mandatory methods declared by the server's supported CUs (e.g., EnableAsset if CU-66 is claimed).</t>
        </is>
      </c>
      <c r="F27" s="86" t="inlineStr">
        <is>
          <t>All declared-supported methods present in MethodSet.</t>
        </is>
      </c>
      <c r="G27" s="86" t="inlineStr">
        <is>
          <t>Good</t>
        </is>
      </c>
      <c r="H27" s="86" t="n"/>
      <c r="I27" s="86" t="n"/>
      <c r="J27" s="86" t="inlineStr">
        <is>
          <t>OPC 40450-1 Section 7.2 Table</t>
        </is>
      </c>
      <c r="K27" s="86" t="n"/>
    </row>
    <row r="28" ht="40" customHeight="1" s="132">
      <c r="A28" s="86" t="inlineStr">
        <is>
          <t>y</t>
        </is>
      </c>
      <c r="B28" s="86" t="n">
        <v>10</v>
      </c>
      <c r="C28" s="86" t="n">
        <v>2</v>
      </c>
      <c r="D28" s="86" t="inlineStr">
        <is>
          <t>Verify Method nodes have NodeClass = Method and Executable = True</t>
        </is>
      </c>
      <c r="E28" s="86" t="inlineStr">
        <is>
          <t>All MethodSet methods MUST have NodeClass = Method and Executable attribute = True.</t>
        </is>
      </c>
      <c r="F28" s="86" t="inlineStr">
        <is>
          <t>NodeClass = Method and Executable = True for all MethodSet methods.</t>
        </is>
      </c>
      <c r="G28" s="86" t="inlineStr">
        <is>
          <t>Good</t>
        </is>
      </c>
      <c r="H28" s="86" t="n"/>
      <c r="I28" s="86" t="n"/>
      <c r="J28" s="86" t="inlineStr">
        <is>
          <t>OPC 10000-3 Section 5.7</t>
        </is>
      </c>
      <c r="K28" s="86" t="n"/>
    </row>
  </sheetData>
  <mergeCells count="12">
    <mergeCell ref="A12:K12"/>
    <mergeCell ref="A4:K4"/>
    <mergeCell ref="A26:K26"/>
    <mergeCell ref="A21:K21"/>
    <mergeCell ref="A7:K7"/>
    <mergeCell ref="A2:K2"/>
    <mergeCell ref="A16:K16"/>
    <mergeCell ref="A19:K19"/>
    <mergeCell ref="A10:K10"/>
    <mergeCell ref="A14:K14"/>
    <mergeCell ref="A1:K1"/>
    <mergeCell ref="A23:K23"/>
  </mergeCells>
  <pageMargins left="0.7" right="0.7" top="0.75" bottom="0.75" header="0.3" footer="0.3"/>
  <pageSetup orientation="portrait" horizontalDpi="1200" verticalDpi="1200"/>
</worksheet>
</file>

<file path=xl/worksheets/sheet6.xml><?xml version="1.0" encoding="utf-8"?>
<worksheet xmlns="http://schemas.openxmlformats.org/spreadsheetml/2006/main">
  <sheetPr codeName="Sheet2">
    <outlinePr summaryBelow="1" summaryRight="1"/>
    <pageSetUpPr/>
  </sheetPr>
  <dimension ref="A1:N6"/>
  <sheetViews>
    <sheetView workbookViewId="0">
      <selection activeCell="E12" sqref="E12"/>
    </sheetView>
  </sheetViews>
  <sheetFormatPr baseColWidth="8" defaultColWidth="9.15625" defaultRowHeight="14.4"/>
  <cols>
    <col width="6.26171875" customWidth="1" style="132" min="1" max="1"/>
    <col width="5.578125" customWidth="1" style="132" min="2" max="2"/>
    <col width="5.83984375" customWidth="1" style="132" min="3" max="3"/>
    <col width="37.15625" customWidth="1" style="132" min="4" max="4"/>
    <col width="39.578125" customWidth="1" style="132" min="5" max="5"/>
    <col width="36" customWidth="1" style="132" min="6" max="6"/>
    <col width="14.68359375" customWidth="1" style="132" min="7" max="7"/>
    <col width="18" customWidth="1" style="132" min="8" max="8"/>
    <col width="10" customWidth="1" style="132" min="9" max="9"/>
    <col width="27.15625" customWidth="1" style="132" min="10" max="10"/>
    <col width="31.68359375" customWidth="1" style="132" min="11" max="11"/>
    <col width="9.15625" customWidth="1" style="3" min="12" max="12"/>
  </cols>
  <sheetData>
    <row r="1">
      <c r="A1" s="24" t="inlineStr">
        <is>
          <t>CTT</t>
        </is>
      </c>
      <c r="B1" s="13" t="inlineStr">
        <is>
          <t>No</t>
        </is>
      </c>
      <c r="C1" s="14" t="inlineStr">
        <is>
          <t>Step</t>
        </is>
      </c>
      <c r="D1" s="15" t="inlineStr">
        <is>
          <t>TestCase</t>
        </is>
      </c>
      <c r="E1" s="15" t="inlineStr">
        <is>
          <t>TestRequirements</t>
        </is>
      </c>
      <c r="F1" s="15" t="inlineStr">
        <is>
          <t>ExpectedResults</t>
        </is>
      </c>
      <c r="G1" s="15" t="inlineStr">
        <is>
          <t>ServiceResult</t>
        </is>
      </c>
      <c r="H1" s="15" t="inlineStr">
        <is>
          <t>OperationResults</t>
        </is>
      </c>
      <c r="I1" s="15" t="inlineStr">
        <is>
          <t>Reviewed</t>
        </is>
      </c>
      <c r="J1" s="15" t="inlineStr">
        <is>
          <t>SpecLink</t>
        </is>
      </c>
      <c r="K1" s="16" t="inlineStr">
        <is>
          <t>Comments</t>
        </is>
      </c>
      <c r="L1" s="25" t="n"/>
      <c r="M1" s="26" t="n"/>
      <c r="N1" s="26" t="n"/>
    </row>
    <row r="2">
      <c r="A2" s="10" t="n"/>
      <c r="B2" s="22" t="n"/>
      <c r="C2" s="8" t="n"/>
      <c r="D2" s="9" t="n"/>
      <c r="E2" s="9" t="n"/>
      <c r="F2" s="9" t="n"/>
      <c r="G2" s="9" t="n"/>
      <c r="H2" s="9" t="n"/>
      <c r="I2" s="9" t="n"/>
      <c r="J2" s="9" t="n"/>
      <c r="K2" s="11" t="n"/>
      <c r="L2" s="27" t="n"/>
      <c r="M2" s="28" t="n"/>
      <c r="N2" s="28" t="n"/>
    </row>
    <row r="3">
      <c r="A3" s="10" t="n"/>
      <c r="B3" s="22" t="n"/>
      <c r="C3" s="8" t="n"/>
      <c r="D3" s="9" t="n"/>
      <c r="E3" s="9" t="n"/>
      <c r="F3" s="9" t="n"/>
      <c r="G3" s="9" t="n"/>
      <c r="H3" s="9" t="n"/>
      <c r="I3" s="9" t="n"/>
      <c r="J3" s="9" t="n"/>
      <c r="K3" s="11" t="n"/>
      <c r="L3" s="27" t="n"/>
      <c r="M3" s="28" t="n"/>
      <c r="N3" s="28" t="n"/>
    </row>
    <row r="4">
      <c r="A4" s="10" t="n"/>
      <c r="B4" s="22" t="n"/>
      <c r="C4" s="8" t="n"/>
      <c r="D4" s="9" t="n"/>
      <c r="E4" s="9" t="n"/>
      <c r="F4" s="9" t="n"/>
      <c r="G4" s="9" t="n"/>
      <c r="H4" s="9" t="n"/>
      <c r="I4" s="9" t="n"/>
      <c r="J4" s="9" t="n"/>
      <c r="K4" s="11" t="n"/>
    </row>
    <row r="5" customFormat="1" s="138">
      <c r="A5" s="29" t="inlineStr">
        <is>
          <t>Error Test Cases</t>
        </is>
      </c>
      <c r="K5" s="12" t="n"/>
    </row>
    <row r="6">
      <c r="A6" s="17" t="n"/>
      <c r="B6" s="18" t="n"/>
      <c r="C6" s="19" t="n"/>
      <c r="D6" s="20" t="n"/>
      <c r="E6" s="20" t="n"/>
      <c r="F6" s="20" t="n"/>
      <c r="G6" s="20" t="n"/>
      <c r="H6" s="20" t="n"/>
      <c r="I6" s="20" t="n"/>
      <c r="J6" s="20" t="n"/>
      <c r="K6" s="21" t="n"/>
    </row>
  </sheetData>
  <pageMargins left="0.7" right="0.7" top="0.75" bottom="0.75" header="0.3" footer="0.3"/>
</worksheet>
</file>

<file path=xl/worksheets/sheet7.xml><?xml version="1.0" encoding="utf-8"?>
<worksheet xmlns="http://schemas.openxmlformats.org/spreadsheetml/2006/main">
  <sheetPr codeName="Sheet3">
    <tabColor rgb="002E75B6"/>
    <outlinePr summaryBelow="1" summaryRight="1"/>
    <pageSetUpPr/>
  </sheetPr>
  <dimension ref="A1:K38"/>
  <sheetViews>
    <sheetView workbookViewId="0">
      <pane ySplit="2" topLeftCell="A3" activePane="bottomLeft" state="frozen"/>
      <selection pane="bottomLeft" activeCell="E17" sqref="E17"/>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CU-01 IJT Joining System Base – OPC 40450-1 Section 7.1</t>
        </is>
      </c>
      <c r="B1" s="197" t="n"/>
      <c r="C1" s="197" t="n"/>
      <c r="D1" s="197" t="n"/>
      <c r="E1" s="197" t="n"/>
      <c r="F1" s="197" t="n"/>
      <c r="G1" s="197" t="n"/>
      <c r="H1" s="197" t="n"/>
      <c r="I1" s="197" t="n"/>
      <c r="J1" s="197" t="n"/>
      <c r="K1" s="198" t="n"/>
    </row>
    <row r="2" ht="22" customHeight="1" s="132">
      <c r="A2" s="159">
        <f>HYPERLINK("#Home!A1","⌂ Home")</f>
        <v/>
      </c>
      <c r="B2" s="141" t="n"/>
      <c r="C2" s="179" t="inlineStr">
        <is>
          <t>CU-01 IJT Joining System Base – OPC 40450-1 Section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JoiningSystemType is present in the Server TypeSystem</t>
        </is>
      </c>
      <c r="E4" s="182" t="n"/>
      <c r="F4" s="182" t="n"/>
      <c r="G4" s="182" t="n"/>
      <c r="H4" s="182" t="n"/>
      <c r="I4" s="182" t="inlineStr">
        <is>
          <t>n</t>
        </is>
      </c>
      <c r="J4" s="182" t="inlineStr">
        <is>
          <t>OPC 40450-1 Section 11.1 CU-01</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Locate the JoiningSystemType ObjectType in the Server TypeSystem by any valid OPC UA address-space navigation mechanism. Verify a node with BrowseName "JoiningSystemType" exists in the IJT namespace (http://opcfoundation.org/UA/IJT/Base/).</t>
        </is>
      </c>
      <c r="E5" s="183" t="inlineStr">
        <is>
          <t>OPC UA session established. Server accessible via endpoint.</t>
        </is>
      </c>
      <c r="F5" s="183" t="inlineStr">
        <is>
          <t>The node JoiningSystemType is found in the TypeSystem.</t>
        </is>
      </c>
      <c r="G5" s="185" t="inlineStr">
        <is>
          <t>Good</t>
        </is>
      </c>
      <c r="H5" s="185" t="inlineStr">
        <is>
          <t>Good</t>
        </is>
      </c>
      <c r="I5" s="183" t="n"/>
      <c r="J5" s="183" t="inlineStr">
        <is>
          <t>OPC 40450-1 Section 7.1 Table 15</t>
        </is>
      </c>
      <c r="K5" s="183" t="inlineStr">
        <is>
          <t>Verify IJT namespace URI is http://opcfoundation.org/UA/IJT/Base/</t>
        </is>
      </c>
    </row>
    <row r="6" s="132">
      <c r="A6" s="183" t="n"/>
      <c r="B6" s="183" t="n"/>
      <c r="C6" s="184" t="n">
        <v>2</v>
      </c>
      <c r="D6" s="183" t="inlineStr">
        <is>
          <t>Read the IsAbstract Attribute of JoiningSystemType.</t>
        </is>
      </c>
      <c r="E6" s="183" t="inlineStr">
        <is>
          <t>JoiningSystemType node found in step 1.</t>
        </is>
      </c>
      <c r="F6" s="183" t="inlineStr">
        <is>
          <t>IsAbstract = False. Instances of this type are permitted.</t>
        </is>
      </c>
      <c r="G6" s="185" t="inlineStr">
        <is>
          <t>Good</t>
        </is>
      </c>
      <c r="H6" s="185" t="inlineStr">
        <is>
          <t>Good</t>
        </is>
      </c>
      <c r="I6" s="183" t="n"/>
      <c r="J6" s="183" t="inlineStr">
        <is>
          <t>OPC 40450-1 Section 7.1 Table 15</t>
        </is>
      </c>
      <c r="K6" s="183" t="n"/>
    </row>
    <row r="7" s="132">
      <c r="A7" s="183" t="n"/>
      <c r="B7" s="183" t="n"/>
      <c r="C7" s="184" t="n">
        <v>3</v>
      </c>
      <c r="D7" s="183" t="inlineStr">
        <is>
          <t>Read the NodeClass Attribute of JoiningSystemType.</t>
        </is>
      </c>
      <c r="E7" s="183" t="inlineStr">
        <is>
          <t>JoiningSystemType node found in step 1.</t>
        </is>
      </c>
      <c r="F7" s="183" t="inlineStr">
        <is>
          <t>NodeClass = ObjectType.</t>
        </is>
      </c>
      <c r="G7" s="185" t="inlineStr">
        <is>
          <t>Good</t>
        </is>
      </c>
      <c r="H7" s="185" t="inlineStr">
        <is>
          <t>Good</t>
        </is>
      </c>
      <c r="I7" s="183" t="n"/>
      <c r="J7" s="183" t="inlineStr">
        <is>
          <t>OPC 10000-5 Section 5.5.2</t>
        </is>
      </c>
      <c r="K7" s="183" t="n"/>
    </row>
    <row r="8" ht="20" customHeight="1" s="132">
      <c r="A8" s="180" t="inlineStr">
        <is>
          <t>y</t>
        </is>
      </c>
      <c r="B8" s="180" t="n">
        <v>2</v>
      </c>
      <c r="C8" s="180" t="n">
        <v>0</v>
      </c>
      <c r="D8" s="181" t="inlineStr">
        <is>
          <t>Verify JoiningSystemType inherits from BaseObjectType</t>
        </is>
      </c>
      <c r="E8" s="182" t="n"/>
      <c r="F8" s="182" t="n"/>
      <c r="G8" s="182" t="n"/>
      <c r="H8" s="182" t="n"/>
      <c r="I8" s="182" t="inlineStr">
        <is>
          <t>n</t>
        </is>
      </c>
      <c r="J8" s="182" t="inlineStr">
        <is>
          <t>OPC 40450-1 Section 11.1 CU-01</t>
        </is>
      </c>
      <c r="K8" s="182" t="n"/>
    </row>
    <row r="9" s="132">
      <c r="A9" s="186" t="n"/>
      <c r="B9" s="186" t="n"/>
      <c r="C9" s="187" t="n">
        <v>1</v>
      </c>
      <c r="D9" s="186" t="inlineStr">
        <is>
          <t>Follow the HasSubtype inverse Reference from JoiningSystemType upward through the type hierarchy.</t>
        </is>
      </c>
      <c r="E9" s="186" t="inlineStr">
        <is>
          <t>JoiningSystemType found.</t>
        </is>
      </c>
      <c r="F9" s="186" t="inlineStr">
        <is>
          <t>JoiningSystemType is a direct or indirect subtype of 0:BaseObjectType (OPC UA base namespace).</t>
        </is>
      </c>
      <c r="G9" s="188" t="inlineStr">
        <is>
          <t>Good</t>
        </is>
      </c>
      <c r="H9" s="188" t="inlineStr">
        <is>
          <t>Good</t>
        </is>
      </c>
      <c r="I9" s="186" t="n"/>
      <c r="J9" s="186" t="inlineStr">
        <is>
          <t>OPC 40450-1 Section 7.1 Table 15</t>
        </is>
      </c>
      <c r="K9" s="186" t="inlineStr">
        <is>
          <t>Namespace prefix 0 = http://opcfoundation.org/UA/</t>
        </is>
      </c>
    </row>
    <row r="10" ht="20" customHeight="1" s="132">
      <c r="A10" s="180" t="inlineStr">
        <is>
          <t>y</t>
        </is>
      </c>
      <c r="B10" s="180" t="n">
        <v>3</v>
      </c>
      <c r="C10" s="180" t="n">
        <v>0</v>
      </c>
      <c r="D10" s="181" t="inlineStr">
        <is>
          <t>Verify JoiningSystemType mandatory InstanceDeclaration: 2:Identification AddIn</t>
        </is>
      </c>
      <c r="E10" s="182" t="n"/>
      <c r="F10" s="182" t="n"/>
      <c r="G10" s="182" t="n"/>
      <c r="H10" s="182" t="n"/>
      <c r="I10" s="182" t="inlineStr">
        <is>
          <t>n</t>
        </is>
      </c>
      <c r="J10" s="182" t="inlineStr">
        <is>
          <t>OPC 40450-1 Section 11.1 CU-01</t>
        </is>
      </c>
      <c r="K10" s="182" t="n"/>
    </row>
    <row r="11" s="132">
      <c r="A11" s="183" t="n"/>
      <c r="B11" s="183" t="n"/>
      <c r="C11" s="184" t="n">
        <v>1</v>
      </c>
      <c r="D11" s="183" t="inlineStr">
        <is>
          <t>From JoiningSystemType, follow HasAddIn References. Verify a component with BrowseName "2:Identification" (DI namespace) exists.</t>
        </is>
      </c>
      <c r="E11" s="183" t="inlineStr">
        <is>
          <t>JoiningSystemType found.</t>
        </is>
      </c>
      <c r="F11" s="183" t="inlineStr">
        <is>
          <t>HasAddIn reference to 2:Identification is present with ModellingRule = Mandatory.</t>
        </is>
      </c>
      <c r="G11" s="185" t="inlineStr">
        <is>
          <t>Good</t>
        </is>
      </c>
      <c r="H11" s="185" t="inlineStr">
        <is>
          <t>Good</t>
        </is>
      </c>
      <c r="I11" s="183" t="n"/>
      <c r="J11" s="183" t="inlineStr">
        <is>
          <t>OPC 40450-1 Section 7.1 Table 15</t>
        </is>
      </c>
      <c r="K11" s="183" t="n"/>
    </row>
    <row r="12" s="132">
      <c r="A12" s="183" t="n"/>
      <c r="B12" s="183" t="n"/>
      <c r="C12" s="184" t="n">
        <v>2</v>
      </c>
      <c r="D12" s="183" t="inlineStr">
        <is>
          <t>Read the TypeDefinitionId of the 2:Identification component.</t>
        </is>
      </c>
      <c r="E12" s="183" t="inlineStr">
        <is>
          <t>2:Identification component found.</t>
        </is>
      </c>
      <c r="F12" s="183" t="inlineStr">
        <is>
          <t>TypeDefinition = JoiningSystemIdentificationType or a subtype thereof.</t>
        </is>
      </c>
      <c r="G12" s="185" t="inlineStr">
        <is>
          <t>Good</t>
        </is>
      </c>
      <c r="H12" s="185" t="inlineStr">
        <is>
          <t>Good</t>
        </is>
      </c>
      <c r="I12" s="183" t="n"/>
      <c r="J12" s="183" t="inlineStr">
        <is>
          <t>OPC 40450-1 Section 7.1 Table 15</t>
        </is>
      </c>
      <c r="K12" s="183" t="n"/>
    </row>
    <row r="13" ht="20" customHeight="1" s="132">
      <c r="A13" s="180" t="inlineStr">
        <is>
          <t>y</t>
        </is>
      </c>
      <c r="B13" s="180" t="n">
        <v>4</v>
      </c>
      <c r="C13" s="180" t="n">
        <v>0</v>
      </c>
      <c r="D13" s="181" t="inlineStr">
        <is>
          <t>Verify JoiningSystemType optional component: AssetManagement</t>
        </is>
      </c>
      <c r="E13" s="182" t="n"/>
      <c r="F13" s="182" t="n"/>
      <c r="G13" s="182" t="n"/>
      <c r="H13" s="182" t="n"/>
      <c r="I13" s="182" t="inlineStr">
        <is>
          <t>n</t>
        </is>
      </c>
      <c r="J13" s="182" t="inlineStr">
        <is>
          <t>OPC 40450-1 Section 11.1 CU-01</t>
        </is>
      </c>
      <c r="K13" s="182" t="n"/>
    </row>
    <row r="14" s="132">
      <c r="A14" s="186" t="n"/>
      <c r="B14" s="186" t="n"/>
      <c r="C14" s="187" t="n">
        <v>1</v>
      </c>
      <c r="D14" s="186" t="inlineStr">
        <is>
          <t>From JoiningSystemType, follow HasComponent References. Check if a component with BrowseName "AssetManagement" exists.</t>
        </is>
      </c>
      <c r="E14" s="186" t="inlineStr">
        <is>
          <t>JoiningSystemType found.</t>
        </is>
      </c>
      <c r="F14" s="186" t="inlineStr">
        <is>
          <t>If AssetManagement is present, its ModellingRule = Optional and TypeDefinition = JoiningSystemAssetManagementType (which is a subtype of 2:FunctionalGroupType).</t>
        </is>
      </c>
      <c r="G14" s="188" t="inlineStr">
        <is>
          <t>Good</t>
        </is>
      </c>
      <c r="H14" s="188" t="inlineStr">
        <is>
          <t>Good</t>
        </is>
      </c>
      <c r="I14" s="186" t="n"/>
      <c r="J14" s="186" t="inlineStr">
        <is>
          <t>OPC 40450-1 Section 7.1 Table 15</t>
        </is>
      </c>
      <c r="K14" s="186" t="n"/>
    </row>
    <row r="15" ht="20" customHeight="1" s="132">
      <c r="A15" s="180" t="inlineStr">
        <is>
          <t>y</t>
        </is>
      </c>
      <c r="B15" s="180" t="n">
        <v>5</v>
      </c>
      <c r="C15" s="180" t="n">
        <v>0</v>
      </c>
      <c r="D15" s="181" t="inlineStr">
        <is>
          <t>Verify JoiningSystemType optional AddIn: 5:ResultManagement</t>
        </is>
      </c>
      <c r="E15" s="182" t="n"/>
      <c r="F15" s="182" t="n"/>
      <c r="G15" s="182" t="n"/>
      <c r="H15" s="182" t="n"/>
      <c r="I15" s="182" t="inlineStr">
        <is>
          <t>n</t>
        </is>
      </c>
      <c r="J15" s="182" t="inlineStr">
        <is>
          <t>OPC 40450-1 Section 11.1 CU-01</t>
        </is>
      </c>
      <c r="K15" s="182" t="n"/>
    </row>
    <row r="16" s="132">
      <c r="A16" s="183" t="n"/>
      <c r="B16" s="183" t="n"/>
      <c r="C16" s="184" t="n">
        <v>1</v>
      </c>
      <c r="D16" s="183" t="inlineStr">
        <is>
          <t>From JoiningSystemType, follow HasAddIn References. Check if an AddIn with BrowseName "5:ResultManagement" (Machinery Result namespace) exists.</t>
        </is>
      </c>
      <c r="E16" s="183" t="inlineStr">
        <is>
          <t>JoiningSystemType found.</t>
        </is>
      </c>
      <c r="F16" s="183" t="inlineStr">
        <is>
          <t>If 5:ResultManagement is present, TypeDefinition = JoiningSystemResultManagementType or a subtype.</t>
        </is>
      </c>
      <c r="G16" s="185" t="inlineStr">
        <is>
          <t>Good</t>
        </is>
      </c>
      <c r="H16" s="185" t="inlineStr">
        <is>
          <t>Good</t>
        </is>
      </c>
      <c r="I16" s="183" t="n"/>
      <c r="J16" s="183" t="inlineStr">
        <is>
          <t>OPC 40450-1 Section 7.1 Table 15</t>
        </is>
      </c>
      <c r="K16" s="183" t="n"/>
    </row>
    <row r="17" ht="20" customFormat="1" customHeight="1" s="138">
      <c r="A17" s="180" t="inlineStr">
        <is>
          <t>y</t>
        </is>
      </c>
      <c r="B17" s="180" t="n">
        <v>6</v>
      </c>
      <c r="C17" s="180" t="n">
        <v>0</v>
      </c>
      <c r="D17" s="181" t="inlineStr">
        <is>
          <t>Verify at least one instance of JoiningSystemType exists in the Objects folder</t>
        </is>
      </c>
      <c r="E17" s="182" t="n"/>
      <c r="F17" s="182" t="n"/>
      <c r="G17" s="182" t="n"/>
      <c r="H17" s="182" t="n"/>
      <c r="I17" s="182" t="inlineStr">
        <is>
          <t>n</t>
        </is>
      </c>
      <c r="J17" s="182" t="inlineStr">
        <is>
          <t>OPC 40450-1 Section 11.1 CU-01</t>
        </is>
      </c>
      <c r="K17" s="182" t="n"/>
    </row>
    <row r="18" s="132">
      <c r="A18" s="186" t="n"/>
      <c r="B18" s="186" t="n"/>
      <c r="C18" s="187" t="n">
        <v>1</v>
      </c>
      <c r="D18" s="186" t="inlineStr">
        <is>
          <t>Locate Object nodes below the Objects folder (NodeId ns=0;i=85) by any valid OPC UA address-space navigation mechanism. For each candidate Object, read the TypeDefinitionId.</t>
        </is>
      </c>
      <c r="E18" s="186" t="inlineStr">
        <is>
          <t>Server is running and reachable via OPC UA session.</t>
        </is>
      </c>
      <c r="F18" s="186" t="inlineStr">
        <is>
          <t>At least one Object node whose TypeDefinitionId is JoiningSystemType (or a subtype) is found.</t>
        </is>
      </c>
      <c r="G18" s="188" t="inlineStr">
        <is>
          <t>Good</t>
        </is>
      </c>
      <c r="H18" s="188" t="inlineStr">
        <is>
          <t>Good</t>
        </is>
      </c>
      <c r="I18" s="186" t="n"/>
      <c r="J18" s="186" t="inlineStr">
        <is>
          <t>OPC 40450-1 Section 7.1 Table 15</t>
        </is>
      </c>
      <c r="K18" s="186" t="inlineStr">
        <is>
          <t>There must be at least one JoiningSystem instance.</t>
        </is>
      </c>
    </row>
    <row r="19" ht="20" customHeight="1" s="132">
      <c r="A19" s="180" t="inlineStr">
        <is>
          <t>y</t>
        </is>
      </c>
      <c r="B19" s="180" t="n">
        <v>7</v>
      </c>
      <c r="C19" s="180" t="n">
        <v>0</v>
      </c>
      <c r="D19" s="181" t="inlineStr">
        <is>
          <t>Verify JoiningSystem instance has mandatory 2:Identification AddIn</t>
        </is>
      </c>
      <c r="E19" s="182" t="n"/>
      <c r="F19" s="182" t="n"/>
      <c r="G19" s="182" t="n"/>
      <c r="H19" s="182" t="n"/>
      <c r="I19" s="182" t="inlineStr">
        <is>
          <t>n</t>
        </is>
      </c>
      <c r="J19" s="182" t="inlineStr">
        <is>
          <t>OPC 40450-1 Section 11.1 CU-01</t>
        </is>
      </c>
      <c r="K19" s="182" t="n"/>
    </row>
    <row r="20" s="132">
      <c r="A20" s="183" t="n"/>
      <c r="B20" s="183" t="n"/>
      <c r="C20" s="184" t="n">
        <v>1</v>
      </c>
      <c r="D20" s="183" t="inlineStr">
        <is>
          <t>For each JoiningSystem instance found, follow HasAddIn References to find 2:Identification.</t>
        </is>
      </c>
      <c r="E20" s="183" t="inlineStr">
        <is>
          <t>At least one JoiningSystem instance found.</t>
        </is>
      </c>
      <c r="F20" s="183" t="inlineStr">
        <is>
          <t>2:Identification AddIn is present on every JoiningSystem instance.</t>
        </is>
      </c>
      <c r="G20" s="185" t="inlineStr">
        <is>
          <t>Good</t>
        </is>
      </c>
      <c r="H20" s="185" t="inlineStr">
        <is>
          <t>Good</t>
        </is>
      </c>
      <c r="I20" s="183" t="n"/>
      <c r="J20" s="183" t="inlineStr">
        <is>
          <t>OPC 40450-1 Section 7.1 Table 15</t>
        </is>
      </c>
      <c r="K20" s="183" t="n"/>
    </row>
    <row r="21" s="132">
      <c r="A21" s="183" t="n"/>
      <c r="B21" s="183" t="n"/>
      <c r="C21" s="184" t="n">
        <v>2</v>
      </c>
      <c r="D21" s="183" t="inlineStr">
        <is>
          <t>Read TypeDefinitionId of 2:Identification.</t>
        </is>
      </c>
      <c r="E21" s="183" t="inlineStr">
        <is>
          <t>2:Identification present.</t>
        </is>
      </c>
      <c r="F21" s="183" t="inlineStr">
        <is>
          <t>TypeDefinition = JoiningSystemIdentificationType or a subtype.</t>
        </is>
      </c>
      <c r="G21" s="185" t="inlineStr">
        <is>
          <t>Good</t>
        </is>
      </c>
      <c r="H21" s="185" t="inlineStr">
        <is>
          <t>Good</t>
        </is>
      </c>
      <c r="I21" s="183" t="n"/>
      <c r="J21" s="183" t="inlineStr">
        <is>
          <t>OPC 40450-1 Section 7.1 Table 15</t>
        </is>
      </c>
      <c r="K21" s="183" t="n"/>
    </row>
    <row r="22" ht="20" customHeight="1" s="132">
      <c r="A22" s="180" t="inlineStr">
        <is>
          <t>y</t>
        </is>
      </c>
      <c r="B22" s="180" t="n">
        <v>8</v>
      </c>
      <c r="C22" s="180" t="n">
        <v>0</v>
      </c>
      <c r="D22" s="181" t="inlineStr">
        <is>
          <t>Verify all variable DataType Attributes match type definition in JoiningSystem instances</t>
        </is>
      </c>
      <c r="E22" s="182" t="n"/>
      <c r="F22" s="182" t="n"/>
      <c r="G22" s="182" t="n"/>
      <c r="H22" s="182" t="n"/>
      <c r="I22" s="182" t="inlineStr">
        <is>
          <t>n</t>
        </is>
      </c>
      <c r="J22" s="182" t="inlineStr">
        <is>
          <t>OPC 40450-1 Section 11.1 CU-01</t>
        </is>
      </c>
      <c r="K22" s="182" t="n"/>
    </row>
    <row r="23" s="132">
      <c r="A23" s="186" t="n"/>
      <c r="B23" s="186" t="n"/>
      <c r="C23" s="187" t="n">
        <v>1</v>
      </c>
      <c r="D23" s="186" t="inlineStr">
        <is>
          <t>For each JoiningSystem instance, read the DataType Attribute of every Variable node exposed under the instance.</t>
        </is>
      </c>
      <c r="E23" s="186" t="inlineStr">
        <is>
          <t>JoiningSystem instance accessible.</t>
        </is>
      </c>
      <c r="F23" s="186" t="inlineStr">
        <is>
          <t>DataType of each Variable matches the type defined in JoiningSystemType or JoiningSystemIdentificationType (or subtypes thereof).</t>
        </is>
      </c>
      <c r="G23" s="188" t="inlineStr">
        <is>
          <t>Good</t>
        </is>
      </c>
      <c r="H23" s="188" t="inlineStr">
        <is>
          <t>Good</t>
        </is>
      </c>
      <c r="I23" s="186" t="n"/>
      <c r="J23" s="186" t="inlineStr">
        <is>
          <t>OPC 10000-3 Section 5.6.2</t>
        </is>
      </c>
      <c r="K23" s="186" t="n"/>
    </row>
    <row r="24" ht="20" customHeight="1" s="132">
      <c r="A24" s="180" t="inlineStr">
        <is>
          <t>y</t>
        </is>
      </c>
      <c r="B24" s="180" t="n">
        <v>9</v>
      </c>
      <c r="C24" s="180" t="n">
        <v>0</v>
      </c>
      <c r="D24" s="181" t="inlineStr">
        <is>
          <t>Verify the IJT NamespaceUri is correctly registered in the server NamespaceArray</t>
        </is>
      </c>
      <c r="E24" s="182" t="n"/>
      <c r="F24" s="182" t="n"/>
      <c r="G24" s="182" t="n"/>
      <c r="H24" s="182" t="n"/>
      <c r="I24" s="182" t="inlineStr">
        <is>
          <t>n</t>
        </is>
      </c>
      <c r="J24" s="182" t="inlineStr">
        <is>
          <t>OPC 40450-1 Section 11.1 CU-01</t>
        </is>
      </c>
      <c r="K24" s="182" t="n"/>
    </row>
    <row r="25" s="132">
      <c r="A25" s="183" t="n"/>
      <c r="B25" s="183" t="n"/>
      <c r="C25" s="184" t="n">
        <v>1</v>
      </c>
      <c r="D25" s="183" t="inlineStr">
        <is>
          <t>Read the NamespaceArray Variable (ns=0;i=2255) from the Server.</t>
        </is>
      </c>
      <c r="E25" s="183" t="inlineStr">
        <is>
          <t>OPC UA session established.</t>
        </is>
      </c>
      <c r="F25" s="183" t="inlineStr">
        <is>
          <t>The array contains the URI "http://opcfoundation.org/UA/IJT/Base/" at the correct index that matches the namespace of JoiningSystemType.</t>
        </is>
      </c>
      <c r="G25" s="185" t="inlineStr">
        <is>
          <t>Good</t>
        </is>
      </c>
      <c r="H25" s="185" t="inlineStr">
        <is>
          <t>Good</t>
        </is>
      </c>
      <c r="I25" s="183" t="n"/>
      <c r="J25" s="183" t="inlineStr">
        <is>
          <t>OPC 40450-1 Annex A</t>
        </is>
      </c>
      <c r="K25" s="183" t="inlineStr">
        <is>
          <t>NamespaceArray must list IJT Base namespace.</t>
        </is>
      </c>
    </row>
    <row r="26" ht="20" customHeight="1" s="132">
      <c r="A26" s="180" t="inlineStr">
        <is>
          <t>y</t>
        </is>
      </c>
      <c r="B26" s="180" t="n">
        <v>10</v>
      </c>
      <c r="C26" s="180" t="n">
        <v>0</v>
      </c>
      <c r="D26" s="181" t="inlineStr">
        <is>
          <t>Verify EventNotifier Attribute of JoiningSystem instance supports subscribing to events</t>
        </is>
      </c>
      <c r="E26" s="182" t="n"/>
      <c r="F26" s="182" t="n"/>
      <c r="G26" s="182" t="n"/>
      <c r="H26" s="182" t="n"/>
      <c r="I26" s="182" t="inlineStr">
        <is>
          <t>n</t>
        </is>
      </c>
      <c r="J26" s="182" t="inlineStr">
        <is>
          <t>OPC 40450-1 Section 11.1 CU-01</t>
        </is>
      </c>
      <c r="K26" s="182" t="n"/>
    </row>
    <row r="27" s="132">
      <c r="A27" s="186" t="n"/>
      <c r="B27" s="186" t="n"/>
      <c r="C27" s="187" t="n">
        <v>1</v>
      </c>
      <c r="D27" s="186" t="inlineStr">
        <is>
          <t>For each JoiningSystem instance, read the EventNotifier Attribute.</t>
        </is>
      </c>
      <c r="E27" s="186" t="inlineStr">
        <is>
          <t>JoiningSystem instance found.</t>
        </is>
      </c>
      <c r="F27" s="186" t="inlineStr">
        <is>
          <t>EventNotifier has the SubscribeToEvents bit (bit 0) set to 1, indicating the instance is an event notifier.</t>
        </is>
      </c>
      <c r="G27" s="188" t="inlineStr">
        <is>
          <t>Good</t>
        </is>
      </c>
      <c r="H27" s="188" t="inlineStr">
        <is>
          <t>Good</t>
        </is>
      </c>
      <c r="I27" s="186" t="n"/>
      <c r="J27" s="186" t="inlineStr">
        <is>
          <t>OPC 10000-3 Section 5.6.4</t>
        </is>
      </c>
      <c r="K27" s="186" t="inlineStr">
        <is>
          <t>Required so clients can subscribe to result events and alarms.</t>
        </is>
      </c>
    </row>
    <row r="28" ht="20" customHeight="1" s="132">
      <c r="A28" s="207" t="inlineStr">
        <is>
          <t>y</t>
        </is>
      </c>
      <c r="B28" s="207" t="n">
        <v>11</v>
      </c>
      <c r="C28" s="207" t="n">
        <v>0</v>
      </c>
      <c r="D28" s="207" t="inlineStr">
        <is>
          <t>Verify Identification AddIn property access attributes are readable</t>
        </is>
      </c>
      <c r="E28" s="207" t="n"/>
      <c r="F28" s="207" t="n"/>
      <c r="G28" s="207" t="n"/>
      <c r="H28" s="207" t="n"/>
      <c r="I28" s="207" t="inlineStr">
        <is>
          <t>n</t>
        </is>
      </c>
      <c r="J28" s="207" t="inlineStr">
        <is>
          <t>OPC 10000-3 Section 5.6.2 / OPC 40450-1 Section 7.1</t>
        </is>
      </c>
      <c r="K28" s="207" t="inlineStr">
        <is>
          <t>OPC Foundation feedback: access-policy checks are automatable, but writable Identification fields are not automatically IJT non-compliance unless the spec explicitly defines a non-writable access policy.</t>
        </is>
      </c>
    </row>
    <row r="29" ht="20" customHeight="1" s="132">
      <c r="A29" s="208" t="n"/>
      <c r="B29" s="208" t="n"/>
      <c r="C29" s="208" t="n">
        <v>1</v>
      </c>
      <c r="D29" s="208" t="inlineStr">
        <is>
          <t>Read AccessLevel, UserAccessLevel, and AccessLevelEx when supported for the Name property of the 2:Identification AddIn.</t>
        </is>
      </c>
      <c r="E29" s="208" t="inlineStr">
        <is>
          <t>JoiningSystem instance is available and 2:Identification AddIn is present. AccessLevelEx may be absent on older servers; use AccessLevel/UserAccessLevel when absent.</t>
        </is>
      </c>
      <c r="F29" s="208" t="inlineStr">
        <is>
          <t>Access attributes are readable. Name has CurrentRead. Do not require CurrentWrite to be absent unless an explicit specification requirement for that property exists.</t>
        </is>
      </c>
      <c r="G29" s="208" t="inlineStr">
        <is>
          <t>Good</t>
        </is>
      </c>
      <c r="H29" s="208" t="inlineStr">
        <is>
          <t>Good</t>
        </is>
      </c>
      <c r="I29" s="208" t="n"/>
      <c r="J29" s="208" t="inlineStr">
        <is>
          <t>OPC 10000-3 Section 5.6.2 / OPC 10000-5</t>
        </is>
      </c>
      <c r="K29" s="208" t="n"/>
    </row>
    <row r="30" s="132">
      <c r="A30" s="209" t="inlineStr">
        <is>
          <t>Error Test Cases</t>
        </is>
      </c>
      <c r="B30" s="209" t="n"/>
      <c r="C30" s="209" t="n"/>
      <c r="D30" s="209" t="n"/>
      <c r="E30" s="209" t="n"/>
      <c r="F30" s="209" t="n"/>
      <c r="G30" s="209" t="n"/>
      <c r="H30" s="209" t="n"/>
      <c r="I30" s="209" t="n"/>
      <c r="J30" s="209" t="n"/>
      <c r="K30" s="209" t="n"/>
    </row>
    <row r="31" ht="20" customHeight="1" s="132">
      <c r="A31" s="210" t="inlineStr">
        <is>
          <t>n</t>
        </is>
      </c>
      <c r="B31" s="210" t="n">
        <v>1</v>
      </c>
      <c r="C31" s="210" t="n">
        <v>0</v>
      </c>
      <c r="D31" s="210" t="inlineStr">
        <is>
          <t>Verify server rejects attempts to add undeclared nodes to the JoiningSystemType definition</t>
        </is>
      </c>
      <c r="E31" s="210" t="n"/>
      <c r="F31" s="210" t="n"/>
      <c r="G31" s="210" t="n"/>
      <c r="H31" s="210" t="n"/>
      <c r="I31" s="210" t="inlineStr">
        <is>
          <t>n</t>
        </is>
      </c>
      <c r="J31" s="210" t="inlineStr">
        <is>
          <t>OPC 10000-4 Section 5.7.2 / OPC 40450-1 Section 7.1</t>
        </is>
      </c>
      <c r="K31" s="210" t="n"/>
    </row>
    <row r="32" s="132">
      <c r="A32" s="186" t="n"/>
      <c r="B32" s="186" t="n"/>
      <c r="C32" s="187" t="n">
        <v>1</v>
      </c>
      <c r="D32" s="186" t="inlineStr">
        <is>
          <t>Attempt to call the AddNodes Service to add a new Variable child to the JoiningSystemType ObjectType node. Use a random BrowseName not defined in OPC 40450-1 Table 15.</t>
        </is>
      </c>
      <c r="E32" s="186" t="inlineStr">
        <is>
          <t>OPC UA session with administrator credentials established.</t>
        </is>
      </c>
      <c r="F32" s="186" t="inlineStr">
        <is>
          <t>AddNodes Service returns Bad_NotSupported or Bad_UserAccessDenied. The ObjectType definition in the server address space is not modified.</t>
        </is>
      </c>
      <c r="G32" s="188" t="inlineStr">
        <is>
          <t>Good</t>
        </is>
      </c>
      <c r="H32" s="195" t="inlineStr">
        <is>
          <t>Bad_NotSupported</t>
        </is>
      </c>
      <c r="I32" s="186" t="n"/>
      <c r="J32" s="186" t="inlineStr">
        <is>
          <t>OPC 10000-4 Section 5.7.2</t>
        </is>
      </c>
      <c r="K32" s="186" t="inlineStr">
        <is>
          <t>Type-system modifications are not permitted for the exposed server model.</t>
        </is>
      </c>
    </row>
    <row r="33" ht="20" customHeight="1" s="132">
      <c r="A33" s="191" t="inlineStr">
        <is>
          <t>n</t>
        </is>
      </c>
      <c r="B33" s="191" t="n">
        <v>2</v>
      </c>
      <c r="C33" s="191" t="n">
        <v>0</v>
      </c>
      <c r="D33" s="192" t="inlineStr">
        <is>
          <t>Verify JoiningSystemType IsAbstract=False (cannot instantiate abstract)</t>
        </is>
      </c>
      <c r="E33" s="193" t="n"/>
      <c r="F33" s="193" t="n"/>
      <c r="G33" s="193" t="n"/>
      <c r="H33" s="193" t="n"/>
      <c r="I33" s="193" t="inlineStr">
        <is>
          <t>n</t>
        </is>
      </c>
      <c r="J33" s="193" t="inlineStr">
        <is>
          <t>OPC 40450-1 Section 11.1 CU-01</t>
        </is>
      </c>
      <c r="K33" s="193" t="n"/>
    </row>
    <row r="34" s="132">
      <c r="A34" s="183" t="n"/>
      <c r="B34" s="183" t="n"/>
      <c r="C34" s="184" t="n">
        <v>1</v>
      </c>
      <c r="D34" s="183" t="inlineStr">
        <is>
          <t>Browse the JoiningSystemType TypeDefinition node. Read IsAbstract attribute.</t>
        </is>
      </c>
      <c r="E34" s="183" t="inlineStr">
        <is>
          <t>Server claims this Conformance Unit; no additional runtime setup is needed for this step.</t>
        </is>
      </c>
      <c r="F34" s="183" t="inlineStr">
        <is>
          <t>IsAbstract=False. Type can be instantiated. Invalid subtype returns Bad_TypeDefinitionInvalid.</t>
        </is>
      </c>
      <c r="G34" s="185" t="inlineStr">
        <is>
          <t>Good</t>
        </is>
      </c>
      <c r="H34" s="184" t="n"/>
      <c r="I34" s="183" t="n"/>
      <c r="J34" s="202" t="inlineStr">
        <is>
          <t>OPC 40450-1 Section 7.1</t>
        </is>
      </c>
      <c r="K34" s="183" t="inlineStr">
        <is>
          <t>Requirement source: OPC 40450-1 Section 7.1 - JoiningSystemType defined as concrete ObjectType.</t>
        </is>
      </c>
    </row>
    <row r="35" ht="20" customHeight="1" s="132">
      <c r="A35" s="191" t="inlineStr">
        <is>
          <t>n</t>
        </is>
      </c>
      <c r="B35" s="191" t="n">
        <v>3</v>
      </c>
      <c r="C35" s="191" t="n">
        <v>0</v>
      </c>
      <c r="D35" s="192" t="inlineStr">
        <is>
          <t>Verify JoiningSystemType instance persists after client session end</t>
        </is>
      </c>
      <c r="E35" s="193" t="n"/>
      <c r="F35" s="193" t="n"/>
      <c r="G35" s="193" t="n"/>
      <c r="H35" s="193" t="n"/>
      <c r="I35" s="193" t="inlineStr">
        <is>
          <t>n</t>
        </is>
      </c>
      <c r="J35" s="193" t="inlineStr">
        <is>
          <t>OPC 40450-1 Section 11.1 CU-01</t>
        </is>
      </c>
      <c r="K35" s="193" t="n"/>
    </row>
    <row r="36" s="132">
      <c r="A36" s="186" t="n"/>
      <c r="B36" s="186" t="n"/>
      <c r="C36" s="187" t="n">
        <v>1</v>
      </c>
      <c r="D36" s="186" t="inlineStr">
        <is>
          <t>Open session, browse JoiningSystem instance, record NodeId. Close session. Reopen and browse same NodeId.</t>
        </is>
      </c>
      <c r="E36" s="186" t="inlineStr">
        <is>
          <t>Server claims this Conformance Unit; no additional runtime setup is needed for this step.</t>
        </is>
      </c>
      <c r="F36" s="186" t="inlineStr">
        <is>
          <t>Instance NodeId identical in both sessions. All child nodes intact.</t>
        </is>
      </c>
      <c r="G36" s="188" t="inlineStr">
        <is>
          <t>Good</t>
        </is>
      </c>
      <c r="H36" s="187" t="n"/>
      <c r="I36" s="186" t="n"/>
      <c r="J36" s="203" t="inlineStr">
        <is>
          <t>OPC 40450-1 Section 7.1</t>
        </is>
      </c>
      <c r="K36" s="186" t="inlineStr">
        <is>
          <t>Requirement source: OPC 40450-1 Section 7.1 - JoiningSystem is a server-side singleton, not session-scoped.</t>
        </is>
      </c>
    </row>
    <row r="37" ht="20" customHeight="1" s="132">
      <c r="A37" s="191" t="inlineStr">
        <is>
          <t>n</t>
        </is>
      </c>
      <c r="B37" s="191" t="n">
        <v>4</v>
      </c>
      <c r="C37" s="191" t="n">
        <v>0</v>
      </c>
      <c r="D37" s="192" t="inlineStr">
        <is>
          <t>Verify Mandatory Identification AddIn cannot be deleted</t>
        </is>
      </c>
      <c r="E37" s="193" t="n"/>
      <c r="F37" s="193" t="n"/>
      <c r="G37" s="193" t="n"/>
      <c r="H37" s="193" t="n"/>
      <c r="I37" s="193" t="inlineStr">
        <is>
          <t>n</t>
        </is>
      </c>
      <c r="J37" s="193" t="inlineStr">
        <is>
          <t>OPC 40450-1 Section 11.1 CU-01</t>
        </is>
      </c>
      <c r="K37" s="193" t="n"/>
    </row>
    <row r="38" s="132">
      <c r="A38" s="183" t="n"/>
      <c r="B38" s="183" t="n"/>
      <c r="C38" s="184" t="n">
        <v>1</v>
      </c>
      <c r="D38" s="183" t="inlineStr">
        <is>
          <t>Call DeleteNodes service targeting 2:Identification under JoiningSystem.</t>
        </is>
      </c>
      <c r="E38" s="183" t="inlineStr">
        <is>
          <t>Server claims this Conformance Unit; no additional runtime setup is needed for this step.</t>
        </is>
      </c>
      <c r="F38" s="183" t="inlineStr">
        <is>
          <t>DeleteNodes service dispatch succeeds. The delete operation is rejected with Bad_NotSupported, Bad_UserAccessDenied, or equivalent operation-level rejection. 2:Identification is still present on subsequent Browse.</t>
        </is>
      </c>
      <c r="G38" s="194" t="inlineStr">
        <is>
          <t>Good</t>
        </is>
      </c>
      <c r="H38" s="184" t="inlineStr">
        <is>
          <t>Bad_NotSupported / Bad_UserAccessDenied; 2:Identification remains present</t>
        </is>
      </c>
      <c r="I38" s="183" t="n"/>
      <c r="J38" s="202" t="inlineStr">
        <is>
          <t>OPC 40450-1 Section 7.1</t>
        </is>
      </c>
      <c r="K38" s="183" t="inlineStr">
        <is>
          <t>Requirement source: OPC 10000-4 Section 5.7.4; OPC 40450-1 Section 7.1 - 2:Identification is Mandatory.</t>
        </is>
      </c>
    </row>
  </sheetData>
  <mergeCells count="3">
    <mergeCell ref="C2:K2"/>
    <mergeCell ref="A1:K1"/>
    <mergeCell ref="A2:B2"/>
  </mergeCells>
  <pageMargins left="0.7" right="0.7" top="0.75" bottom="0.75" header="0.3" footer="0.3"/>
</worksheet>
</file>

<file path=xl/worksheets/sheet8.xml><?xml version="1.0" encoding="utf-8"?>
<worksheet xmlns="http://schemas.openxmlformats.org/spreadsheetml/2006/main">
  <sheetPr codeName="Sheet2">
    <tabColor rgb="002E75B6"/>
    <outlinePr summaryBelow="1" summaryRight="1"/>
    <pageSetUpPr/>
  </sheetPr>
  <dimension ref="A1:K34"/>
  <sheetViews>
    <sheetView workbookViewId="0">
      <pane ySplit="2" topLeftCell="A3" activePane="bottomLeft" state="frozen"/>
      <selection pane="bottomLeft" activeCell="D6" sqref="D6"/>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CU-02 IJT Joining System Identification – OPC 40450-1 Section 7.1 Table 20</t>
        </is>
      </c>
      <c r="B1" s="197" t="n"/>
      <c r="C1" s="197" t="n"/>
      <c r="D1" s="197" t="n"/>
      <c r="E1" s="197" t="n"/>
      <c r="F1" s="197" t="n"/>
      <c r="G1" s="197" t="n"/>
      <c r="H1" s="197" t="n"/>
      <c r="I1" s="197" t="n"/>
      <c r="J1" s="197" t="n"/>
      <c r="K1" s="198" t="n"/>
    </row>
    <row r="2" ht="22" customHeight="1" s="132">
      <c r="A2" s="159">
        <f>HYPERLINK("#Home!A1","⌂ Home")</f>
        <v/>
      </c>
      <c r="B2" s="141" t="n"/>
      <c r="C2" s="179" t="inlineStr">
        <is>
          <t>CU-02 IJT Joining System Identification – OPC 40450-1 Section 7.1 Table 20</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JoiningSystemIdentificationType in the TypeSystem</t>
        </is>
      </c>
      <c r="E4" s="182" t="n"/>
      <c r="F4" s="182" t="n"/>
      <c r="G4" s="182" t="n"/>
      <c r="H4" s="182" t="n"/>
      <c r="I4" s="182" t="inlineStr">
        <is>
          <t>n</t>
        </is>
      </c>
      <c r="J4" s="182" t="inlineStr">
        <is>
          <t>OPC 40450-1 Section 11.1 CU-02</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Locate the JoiningSystemIdentificationType ObjectType in the Server TypeSystem by any valid OPC UA address-space navigation mechanism.</t>
        </is>
      </c>
      <c r="E5" s="183" t="inlineStr">
        <is>
          <t>Server accessible.</t>
        </is>
      </c>
      <c r="F5" s="183" t="inlineStr">
        <is>
          <t>JoiningSystemIdentificationType is found in the TypeSystem with NodeClass = ObjectType.</t>
        </is>
      </c>
      <c r="G5" s="185" t="inlineStr">
        <is>
          <t>Good</t>
        </is>
      </c>
      <c r="H5" s="185" t="inlineStr">
        <is>
          <t>Good</t>
        </is>
      </c>
      <c r="I5" s="183" t="n"/>
      <c r="J5" s="183" t="inlineStr">
        <is>
          <t>OPC 40450-1 Section 7.1 Table 20</t>
        </is>
      </c>
      <c r="K5" s="183" t="n"/>
    </row>
    <row r="6" s="132">
      <c r="A6" s="183" t="n"/>
      <c r="B6" s="183" t="n"/>
      <c r="C6" s="184" t="n">
        <v>2</v>
      </c>
      <c r="D6" s="183" t="inlineStr">
        <is>
          <t>Read IsAbstract Attribute of JoiningSystemIdentificationType.</t>
        </is>
      </c>
      <c r="E6" s="183" t="inlineStr">
        <is>
          <t>JoiningSystemIdentificationType found.</t>
        </is>
      </c>
      <c r="F6" s="183" t="inlineStr">
        <is>
          <t>IsAbstract = False.</t>
        </is>
      </c>
      <c r="G6" s="185" t="inlineStr">
        <is>
          <t>Good</t>
        </is>
      </c>
      <c r="H6" s="185" t="inlineStr">
        <is>
          <t>Good</t>
        </is>
      </c>
      <c r="I6" s="183" t="n"/>
      <c r="J6" s="183" t="inlineStr">
        <is>
          <t>OPC 40450-1 Section 7.1 Table 20</t>
        </is>
      </c>
      <c r="K6" s="183" t="n"/>
    </row>
    <row r="7" s="132">
      <c r="A7" s="183" t="n"/>
      <c r="B7" s="183" t="n"/>
      <c r="C7" s="184" t="n">
        <v>3</v>
      </c>
      <c r="D7" s="183" t="inlineStr">
        <is>
          <t>Follow HasSubtype inverse Reference to verify supertype.</t>
        </is>
      </c>
      <c r="E7" s="183" t="inlineStr">
        <is>
          <t>JoiningSystemIdentificationType found.</t>
        </is>
      </c>
      <c r="F7" s="183" t="inlineStr">
        <is>
          <t>JoiningSystemIdentificationType is a subtype of 2:FunctionalGroupType (DI namespace).</t>
        </is>
      </c>
      <c r="G7" s="185" t="inlineStr">
        <is>
          <t>Good</t>
        </is>
      </c>
      <c r="H7" s="185" t="inlineStr">
        <is>
          <t>Good</t>
        </is>
      </c>
      <c r="I7" s="183" t="n"/>
      <c r="J7" s="183" t="inlineStr">
        <is>
          <t>OPC 40450-1 Section 7.1 Table 20</t>
        </is>
      </c>
      <c r="K7" s="183" t="inlineStr">
        <is>
          <t>DI namespace: http://opcfoundation.org/UA/DI/</t>
        </is>
      </c>
    </row>
    <row r="8" ht="20" customHeight="1" s="132">
      <c r="A8" s="180" t="inlineStr">
        <is>
          <t>y</t>
        </is>
      </c>
      <c r="B8" s="180" t="n">
        <v>2</v>
      </c>
      <c r="C8" s="180" t="n">
        <v>0</v>
      </c>
      <c r="D8" s="181" t="inlineStr">
        <is>
          <t>Verify mandatory Property Name is defined in JoiningSystemIdentificationType</t>
        </is>
      </c>
      <c r="E8" s="182" t="n"/>
      <c r="F8" s="182" t="n"/>
      <c r="G8" s="182" t="n"/>
      <c r="H8" s="182" t="n"/>
      <c r="I8" s="182" t="inlineStr">
        <is>
          <t>n</t>
        </is>
      </c>
      <c r="J8" s="182" t="inlineStr">
        <is>
          <t>OPC 40450-1 Section 11.1 CU-02</t>
        </is>
      </c>
      <c r="K8" s="182" t="n"/>
    </row>
    <row r="9" s="132">
      <c r="A9" s="186" t="n"/>
      <c r="B9" s="186" t="n"/>
      <c r="C9" s="187" t="n">
        <v>1</v>
      </c>
      <c r="D9" s="186" t="inlineStr">
        <is>
          <t>From JoiningSystemIdentificationType, follow HasProperty References.</t>
        </is>
      </c>
      <c r="E9" s="186" t="inlineStr">
        <is>
          <t>JoiningSystemIdentificationType found.</t>
        </is>
      </c>
      <c r="F9" s="186" t="inlineStr">
        <is>
          <t>A Property with BrowseName "Name" is present with ModellingRule = Mandatory and DataType = String.</t>
        </is>
      </c>
      <c r="G9" s="188" t="inlineStr">
        <is>
          <t>Good</t>
        </is>
      </c>
      <c r="H9" s="188" t="inlineStr">
        <is>
          <t>Good</t>
        </is>
      </c>
      <c r="I9" s="186" t="n"/>
      <c r="J9" s="186" t="inlineStr">
        <is>
          <t>OPC 40450-1 Section 7.1 Table 20</t>
        </is>
      </c>
      <c r="K9" s="186" t="n"/>
    </row>
    <row r="10" ht="20" customHeight="1" s="132">
      <c r="A10" s="180" t="inlineStr">
        <is>
          <t>y</t>
        </is>
      </c>
      <c r="B10" s="180" t="n">
        <v>3</v>
      </c>
      <c r="C10" s="180" t="n">
        <v>0</v>
      </c>
      <c r="D10" s="181" t="inlineStr">
        <is>
          <t>Verify optional Properties ProductInstanceUri, Manufacturer, ManufacturerUri exist in type definition</t>
        </is>
      </c>
      <c r="E10" s="182" t="n"/>
      <c r="F10" s="182" t="n"/>
      <c r="G10" s="182" t="n"/>
      <c r="H10" s="182" t="n"/>
      <c r="I10" s="182" t="inlineStr">
        <is>
          <t>n</t>
        </is>
      </c>
      <c r="J10" s="182" t="inlineStr">
        <is>
          <t>OPC 40450-1 Section 11.1 CU-02</t>
        </is>
      </c>
      <c r="K10" s="182" t="n"/>
    </row>
    <row r="11" s="132">
      <c r="A11" s="183" t="n"/>
      <c r="B11" s="183" t="n"/>
      <c r="C11" s="184" t="n">
        <v>1</v>
      </c>
      <c r="D11" s="183" t="inlineStr">
        <is>
          <t>From JoiningSystemIdentificationType, follow HasProperty References and check for optional properties.</t>
        </is>
      </c>
      <c r="E11" s="183" t="inlineStr">
        <is>
          <t>JoiningSystemIdentificationType found.</t>
        </is>
      </c>
      <c r="F11" s="183" t="inlineStr">
        <is>
          <t>Properties 2:ProductInstanceUri (String, Optional), 2:Manufacturer (LocalizedText, Optional), 2:ManufacturerUri (String, Optional) are declared in the type definition.</t>
        </is>
      </c>
      <c r="G11" s="185" t="inlineStr">
        <is>
          <t>Good</t>
        </is>
      </c>
      <c r="H11" s="185" t="inlineStr">
        <is>
          <t>Good</t>
        </is>
      </c>
      <c r="I11" s="183" t="n"/>
      <c r="J11" s="183" t="inlineStr">
        <is>
          <t>OPC 40450-1 Section 7.1 Table 20</t>
        </is>
      </c>
      <c r="K11" s="183" t="n"/>
    </row>
    <row r="12" ht="20" customHeight="1" s="132">
      <c r="A12" s="180" t="inlineStr">
        <is>
          <t>y</t>
        </is>
      </c>
      <c r="B12" s="180" t="n">
        <v>4</v>
      </c>
      <c r="C12" s="180" t="n">
        <v>0</v>
      </c>
      <c r="D12" s="181" t="inlineStr">
        <is>
          <t>Verify 2:Identification AddIn in each JoiningSystem instance has all mandatory fields</t>
        </is>
      </c>
      <c r="E12" s="182" t="n"/>
      <c r="F12" s="182" t="n"/>
      <c r="G12" s="182" t="n"/>
      <c r="H12" s="182" t="n"/>
      <c r="I12" s="182" t="inlineStr">
        <is>
          <t>n</t>
        </is>
      </c>
      <c r="J12" s="182" t="inlineStr">
        <is>
          <t>OPC 40450-1 Section 11.1 CU-02</t>
        </is>
      </c>
      <c r="K12" s="182" t="n"/>
    </row>
    <row r="13" s="132">
      <c r="A13" s="186" t="n"/>
      <c r="B13" s="186" t="n"/>
      <c r="C13" s="187" t="n">
        <v>1</v>
      </c>
      <c r="D13" s="186" t="inlineStr">
        <is>
          <t>For each JoiningSystem instance, locate its mandatory 2:Identification AddIn and read the Name property.</t>
        </is>
      </c>
      <c r="E13" s="186" t="inlineStr">
        <is>
          <t>JoiningSystem instance found.</t>
        </is>
      </c>
      <c r="F13" s="186" t="inlineStr">
        <is>
          <t>The mandatory 2:Identification AddIn and Name property are present. Name is accessible, non-null, and non-empty. AccessLevel includes CurrentRead. Absence of 2:Identification or Name fails CU-02.</t>
        </is>
      </c>
      <c r="G13" s="188" t="inlineStr">
        <is>
          <t>Good</t>
        </is>
      </c>
      <c r="H13" s="188" t="inlineStr">
        <is>
          <t>Good</t>
        </is>
      </c>
      <c r="I13" s="186" t="n"/>
      <c r="J13" s="186" t="inlineStr">
        <is>
          <t>OPC 40450-1 Section 7.1 Table 20 &amp; Table 21</t>
        </is>
      </c>
      <c r="K13" s="186" t="n"/>
    </row>
    <row r="14" s="132">
      <c r="A14" s="186" t="n"/>
      <c r="B14" s="186" t="n"/>
      <c r="C14" s="187" t="n">
        <v>2</v>
      </c>
      <c r="D14" s="186" t="inlineStr">
        <is>
          <t>Verify the BrowseName of the Identification AddIn matches the DefaultInstanceBrowseName = "2:Identification".</t>
        </is>
      </c>
      <c r="E14" s="186" t="inlineStr">
        <is>
          <t>Identification AddIn accessible.</t>
        </is>
      </c>
      <c r="F14" s="186" t="inlineStr">
        <is>
          <t>BrowseName is "2:Identification" where "2:" refers to the DI namespace index.</t>
        </is>
      </c>
      <c r="G14" s="188" t="inlineStr">
        <is>
          <t>Good</t>
        </is>
      </c>
      <c r="H14" s="188" t="inlineStr">
        <is>
          <t>Good</t>
        </is>
      </c>
      <c r="I14" s="186" t="n"/>
      <c r="J14" s="186" t="inlineStr">
        <is>
          <t>OPC 40450-1 Section 7.1 Table 21</t>
        </is>
      </c>
      <c r="K14" s="186" t="n"/>
    </row>
    <row r="15" ht="20" customHeight="1" s="132">
      <c r="A15" s="180" t="inlineStr">
        <is>
          <t>y</t>
        </is>
      </c>
      <c r="B15" s="180" t="n">
        <v>5</v>
      </c>
      <c r="C15" s="180" t="n">
        <v>0</v>
      </c>
      <c r="D15" s="181" t="inlineStr">
        <is>
          <t>Verify optional property ProductInstanceUri – value and format when present</t>
        </is>
      </c>
      <c r="E15" s="182" t="n"/>
      <c r="F15" s="182" t="n"/>
      <c r="G15" s="182" t="n"/>
      <c r="H15" s="182" t="n"/>
      <c r="I15" s="182" t="inlineStr">
        <is>
          <t>n</t>
        </is>
      </c>
      <c r="J15" s="182" t="inlineStr">
        <is>
          <t>OPC 40450-1 Section 11.1 CU-02</t>
        </is>
      </c>
      <c r="K15" s="182" t="n"/>
    </row>
    <row r="16" s="132">
      <c r="A16" s="183" t="n"/>
      <c r="B16" s="183" t="n"/>
      <c r="C16" s="184" t="n">
        <v>1</v>
      </c>
      <c r="D16" s="183" t="inlineStr">
        <is>
          <t>Read the ProductInstanceUri Property of 2:Identification on each JoiningSystem instance (if the property exists).</t>
        </is>
      </c>
      <c r="E16" s="183" t="inlineStr">
        <is>
          <t>JoiningSystem instance found and its 2:Identification AddIn is present.</t>
        </is>
      </c>
      <c r="F16" s="183" t="inlineStr">
        <is>
          <t>If present, ProductInstanceUri has DataType = String, its Value is a well-formed URI (for example starts with urn: or http:), and AccessLevel includes CurrentRead.</t>
        </is>
      </c>
      <c r="G16" s="185" t="inlineStr">
        <is>
          <t>Good</t>
        </is>
      </c>
      <c r="H16" s="185" t="inlineStr">
        <is>
          <t>Good</t>
        </is>
      </c>
      <c r="I16" s="183" t="n"/>
      <c r="J16" s="183" t="inlineStr">
        <is>
          <t>OPC 40450-1 Section 7.1 Table 20 &amp; Table 21</t>
        </is>
      </c>
      <c r="K16" s="183" t="inlineStr">
        <is>
          <t>Per OPC UA for Machinery, ProductInstanceUri is a globally unique resource identifier.</t>
        </is>
      </c>
    </row>
    <row r="17" ht="20" customHeight="1" s="132">
      <c r="A17" s="180" t="inlineStr">
        <is>
          <t>y</t>
        </is>
      </c>
      <c r="B17" s="180" t="n">
        <v>6</v>
      </c>
      <c r="C17" s="180" t="n">
        <v>0</v>
      </c>
      <c r="D17" s="181" t="inlineStr">
        <is>
          <t>Verify optional property Manufacturer – value and format when present</t>
        </is>
      </c>
      <c r="E17" s="182" t="n"/>
      <c r="F17" s="182" t="n"/>
      <c r="G17" s="182" t="n"/>
      <c r="H17" s="182" t="n"/>
      <c r="I17" s="182" t="inlineStr">
        <is>
          <t>n</t>
        </is>
      </c>
      <c r="J17" s="182" t="inlineStr">
        <is>
          <t>OPC 40450-1 Section 11.1 CU-02</t>
        </is>
      </c>
      <c r="K17" s="182" t="n"/>
    </row>
    <row r="18" s="132">
      <c r="A18" s="186" t="n"/>
      <c r="B18" s="186" t="n"/>
      <c r="C18" s="187" t="n">
        <v>1</v>
      </c>
      <c r="D18" s="186" t="inlineStr">
        <is>
          <t>Read the 2:Manufacturer Property of 2:Identification (if present).</t>
        </is>
      </c>
      <c r="E18" s="186" t="inlineStr">
        <is>
          <t>JoiningSystem instance found and its 2:Identification AddIn is present.</t>
        </is>
      </c>
      <c r="F18" s="186" t="inlineStr">
        <is>
          <t>If present, DataType = LocalizedText. Value contains a human-readable, non-null manufacturer name. AccessLevel includes CurrentRead.</t>
        </is>
      </c>
      <c r="G18" s="188" t="inlineStr">
        <is>
          <t>Good</t>
        </is>
      </c>
      <c r="H18" s="188" t="inlineStr">
        <is>
          <t>Good</t>
        </is>
      </c>
      <c r="I18" s="186" t="n"/>
      <c r="J18" s="186" t="inlineStr">
        <is>
          <t>OPC 40450-1 Section 7.1 Table 20</t>
        </is>
      </c>
      <c r="K18" s="186" t="n"/>
    </row>
    <row r="19" ht="20" customHeight="1" s="132">
      <c r="A19" s="180" t="inlineStr">
        <is>
          <t>y</t>
        </is>
      </c>
      <c r="B19" s="180" t="n">
        <v>7</v>
      </c>
      <c r="C19" s="180" t="n">
        <v>0</v>
      </c>
      <c r="D19" s="181" t="inlineStr">
        <is>
          <t>Verify optional property ManufacturerUri – value and format when present</t>
        </is>
      </c>
      <c r="E19" s="182" t="n"/>
      <c r="F19" s="182" t="n"/>
      <c r="G19" s="182" t="n"/>
      <c r="H19" s="182" t="n"/>
      <c r="I19" s="182" t="inlineStr">
        <is>
          <t>n</t>
        </is>
      </c>
      <c r="J19" s="182" t="inlineStr">
        <is>
          <t>OPC 40450-1 Section 11.1 CU-02</t>
        </is>
      </c>
      <c r="K19" s="182" t="n"/>
    </row>
    <row r="20" s="132">
      <c r="A20" s="183" t="n"/>
      <c r="B20" s="183" t="n"/>
      <c r="C20" s="184" t="n">
        <v>1</v>
      </c>
      <c r="D20" s="183" t="inlineStr">
        <is>
          <t>Read the 2:ManufacturerUri Property of 2:Identification (if present).</t>
        </is>
      </c>
      <c r="E20" s="183" t="inlineStr">
        <is>
          <t>JoiningSystem instance found and its 2:Identification AddIn is present.</t>
        </is>
      </c>
      <c r="F20" s="183" t="inlineStr">
        <is>
          <t>If present, DataType = String. Value is a URI uniquely identifying the manufacturer. AccessLevel includes CurrentRead.</t>
        </is>
      </c>
      <c r="G20" s="185" t="inlineStr">
        <is>
          <t>Good</t>
        </is>
      </c>
      <c r="H20" s="185" t="inlineStr">
        <is>
          <t>Good</t>
        </is>
      </c>
      <c r="I20" s="183" t="n"/>
      <c r="J20" s="183" t="inlineStr">
        <is>
          <t>OPC 40450-1 Section 7.1 Table 20</t>
        </is>
      </c>
      <c r="K20" s="183" t="n"/>
    </row>
    <row r="21" ht="20" customHeight="1" s="132">
      <c r="A21" s="180" t="inlineStr">
        <is>
          <t>y</t>
        </is>
      </c>
      <c r="B21" s="180" t="n">
        <v>8</v>
      </c>
      <c r="C21" s="180" t="n">
        <v>0</v>
      </c>
      <c r="D21" s="181" t="inlineStr">
        <is>
          <t>Verify all other optional properties follow the type definition when present</t>
        </is>
      </c>
      <c r="E21" s="182" t="n"/>
      <c r="F21" s="182" t="n"/>
      <c r="G21" s="182" t="n"/>
      <c r="H21" s="182" t="n"/>
      <c r="I21" s="182" t="inlineStr">
        <is>
          <t>n</t>
        </is>
      </c>
      <c r="J21" s="182" t="inlineStr">
        <is>
          <t>OPC 40450-1 Section 11.1 CU-02</t>
        </is>
      </c>
      <c r="K21" s="182" t="n"/>
    </row>
    <row r="22" s="132">
      <c r="A22" s="186" t="n"/>
      <c r="B22" s="186" t="n"/>
      <c r="C22" s="187" t="n">
        <v>1</v>
      </c>
      <c r="D22" s="186" t="inlineStr">
        <is>
          <t>Read all optional properties: IntegratorName (String), Description (LocalizedText), JoiningTechnology (LocalizedText), 2:Model (LocalizedText), SystemId (String), 4:Location (String) from 2:Identification (if they exist).</t>
        </is>
      </c>
      <c r="E22" s="186" t="inlineStr">
        <is>
          <t>JoiningSystem instance found and its 2:Identification AddIn is present. Optional properties are checked only when present.</t>
        </is>
      </c>
      <c r="F22" s="186" t="inlineStr">
        <is>
          <t>For each present optional property, the DataType matches the type definition and the Value is valid for the field. AccessLevel includes CurrentRead when the property is readable.</t>
        </is>
      </c>
      <c r="G22" s="188" t="inlineStr">
        <is>
          <t>Good</t>
        </is>
      </c>
      <c r="H22" s="188" t="inlineStr">
        <is>
          <t>Good</t>
        </is>
      </c>
      <c r="I22" s="186" t="n"/>
      <c r="J22" s="186" t="inlineStr">
        <is>
          <t>OPC 40450-1 Section 7.1 Table 20</t>
        </is>
      </c>
      <c r="K22" s="186" t="inlineStr">
        <is>
          <t>4: = OPC UA for Machinery namespace (http://opcfoundation.org/UA/Machinery/)</t>
        </is>
      </c>
    </row>
    <row r="23" ht="20" customHeight="1" s="132">
      <c r="A23" s="207" t="inlineStr">
        <is>
          <t>y</t>
        </is>
      </c>
      <c r="B23" s="207" t="n">
        <v>9</v>
      </c>
      <c r="C23" s="207" t="n">
        <v>0</v>
      </c>
      <c r="D23" s="207" t="inlineStr">
        <is>
          <t>Verify Identification property access attributes without imposing unstated read-only policy</t>
        </is>
      </c>
      <c r="E23" s="207" t="n"/>
      <c r="F23" s="207" t="n"/>
      <c r="G23" s="207" t="n"/>
      <c r="H23" s="207" t="n"/>
      <c r="I23" s="207" t="inlineStr">
        <is>
          <t>n</t>
        </is>
      </c>
      <c r="J23" s="207" t="inlineStr">
        <is>
          <t>OPC 10000-3 Section 5.6.2 / OPC 40450-1 Section 7.2 Table 20</t>
        </is>
      </c>
      <c r="K23" s="207" t="inlineStr">
        <is>
          <t>Access policy is verified from attributes. Writable Identification fields are not automatically non-compliant unless the source specification explicitly forbids writes.</t>
        </is>
      </c>
    </row>
    <row r="24" ht="20" customHeight="1" s="132">
      <c r="A24" s="208" t="n"/>
      <c r="B24" s="208" t="n"/>
      <c r="C24" s="208" t="n">
        <v>1</v>
      </c>
      <c r="D24" s="208" t="inlineStr">
        <is>
          <t>Read AccessLevel, UserAccessLevel, and AccessLevelEx when supported for Name and every optional Identification property that is present.</t>
        </is>
      </c>
      <c r="E24" s="208" t="inlineStr">
        <is>
          <t>JoiningSystem instance found and its 2:Identification AddIn is present. Optional properties are inspected only when present.</t>
        </is>
      </c>
      <c r="F24" s="208" t="inlineStr">
        <is>
          <t>Attributes are readable. CurrentRead is set for Name and for each readable present property.</t>
        </is>
      </c>
      <c r="G24" s="208" t="inlineStr">
        <is>
          <t>Good</t>
        </is>
      </c>
      <c r="H24" s="208" t="inlineStr">
        <is>
          <t>Good</t>
        </is>
      </c>
      <c r="I24" s="208" t="n"/>
      <c r="J24" s="208" t="inlineStr">
        <is>
          <t>OPC 10000-3 Section 5.6.2</t>
        </is>
      </c>
      <c r="K24" s="208" t="n"/>
    </row>
    <row r="25" s="132">
      <c r="A25" s="202" t="n"/>
      <c r="B25" s="202" t="n"/>
      <c r="C25" s="202" t="n">
        <v>2</v>
      </c>
      <c r="D25" s="202" t="inlineStr">
        <is>
          <t>Evaluate the CurrentWrite bits from AccessLevelEx, UserAccessLevel, and AccessLevel against the explicit requirements in the IJT/DI/Machinery type definitions.</t>
        </is>
      </c>
      <c r="E25" s="202" t="inlineStr">
        <is>
          <t>Access attributes from Step 1 are available.</t>
        </is>
      </c>
      <c r="F25" s="202" t="inlineStr">
        <is>
          <t>CurrentWrite may be set or unset according to the server model. Do not fail CU-02 solely because an Identification property is writable; report it as informational unless the source specification explicitly marks it read-only.</t>
        </is>
      </c>
      <c r="G25" s="202" t="inlineStr">
        <is>
          <t>Good</t>
        </is>
      </c>
      <c r="H25" s="202" t="inlineStr">
        <is>
          <t>Good</t>
        </is>
      </c>
      <c r="I25" s="202" t="n"/>
      <c r="J25" s="202" t="inlineStr">
        <is>
          <t>OPC 10000-3 Section 5.6.2 / OPC 40450-1 Section 7.2 Table 20</t>
        </is>
      </c>
      <c r="K25" s="202" t="n"/>
    </row>
    <row r="26" s="132">
      <c r="A26" s="209" t="inlineStr">
        <is>
          <t>Error Test Cases</t>
        </is>
      </c>
      <c r="B26" s="209" t="n"/>
      <c r="C26" s="209" t="n"/>
      <c r="D26" s="209" t="n"/>
      <c r="E26" s="209" t="n"/>
      <c r="F26" s="209" t="n"/>
      <c r="G26" s="209" t="n"/>
      <c r="H26" s="209" t="n"/>
      <c r="I26" s="209" t="n"/>
      <c r="J26" s="209" t="n"/>
      <c r="K26" s="209" t="n"/>
    </row>
    <row r="27" ht="20" customHeight="1" s="132">
      <c r="A27" s="210" t="inlineStr">
        <is>
          <t>n</t>
        </is>
      </c>
      <c r="B27" s="210" t="n">
        <v>1</v>
      </c>
      <c r="C27" s="210" t="n">
        <v>0</v>
      </c>
      <c r="D27" s="210" t="inlineStr">
        <is>
          <t>Verify mandatory 2:Identification AddIn absence fails CU-02</t>
        </is>
      </c>
      <c r="E27" s="210" t="n"/>
      <c r="F27" s="210" t="n"/>
      <c r="G27" s="210" t="n"/>
      <c r="H27" s="210" t="n"/>
      <c r="I27" s="210" t="inlineStr">
        <is>
          <t>n</t>
        </is>
      </c>
      <c r="J27" s="210" t="inlineStr">
        <is>
          <t>OPC 40450-1 Section 7.1 Table 15 / Section 7.2 Table 20</t>
        </is>
      </c>
      <c r="K27" s="210" t="n"/>
    </row>
    <row r="28" s="132">
      <c r="A28" s="203" t="n"/>
      <c r="B28" s="203" t="n"/>
      <c r="C28" s="203" t="n">
        <v>1</v>
      </c>
      <c r="D28" s="203" t="inlineStr">
        <is>
          <t>Locate the 2:Identification AddIn on every JoiningSystem instance.</t>
        </is>
      </c>
      <c r="E28" s="203" t="inlineStr">
        <is>
          <t>CU-02 or the Basic Joining System profile is claimed.</t>
        </is>
      </c>
      <c r="F28" s="203" t="inlineStr">
        <is>
          <t>If 2:Identification is absent, the test fails because the AddIn is mandatory for CU-02. Do not bypass this test as a profile/precondition case.</t>
        </is>
      </c>
      <c r="G28" s="203" t="inlineStr">
        <is>
          <t>Good</t>
        </is>
      </c>
      <c r="H28" s="203" t="inlineStr">
        <is>
          <t>Good</t>
        </is>
      </c>
      <c r="I28" s="203" t="n"/>
      <c r="J28" s="203" t="inlineStr">
        <is>
          <t>OPC 40450-1 Section 7.1 Table 15</t>
        </is>
      </c>
      <c r="K28" s="203" t="n"/>
    </row>
    <row r="29" ht="20" customHeight="1" s="132">
      <c r="A29" s="210" t="inlineStr">
        <is>
          <t>n</t>
        </is>
      </c>
      <c r="B29" s="210" t="n">
        <v>2</v>
      </c>
      <c r="C29" s="210" t="n">
        <v>0</v>
      </c>
      <c r="D29" s="210" t="inlineStr">
        <is>
          <t>Verify Name property is Mandatory and non-null</t>
        </is>
      </c>
      <c r="E29" s="210" t="n"/>
      <c r="F29" s="210" t="n"/>
      <c r="G29" s="210" t="n"/>
      <c r="H29" s="210" t="n"/>
      <c r="I29" s="210" t="inlineStr">
        <is>
          <t>n</t>
        </is>
      </c>
      <c r="J29" s="210" t="inlineStr">
        <is>
          <t>OPC 40450-1 Section 7.2 Table 20</t>
        </is>
      </c>
      <c r="K29" s="210" t="n"/>
    </row>
    <row r="30" s="132">
      <c r="A30" s="202" t="n"/>
      <c r="B30" s="202" t="n"/>
      <c r="C30" s="202" t="n">
        <v>1</v>
      </c>
      <c r="D30" s="202" t="inlineStr">
        <is>
          <t>Read the Name property under 2:Identification of JoiningSystem.</t>
        </is>
      </c>
      <c r="E30" s="202" t="inlineStr">
        <is>
          <t>2:Identification AddIn is present.</t>
        </is>
      </c>
      <c r="F30" s="202" t="inlineStr">
        <is>
          <t>Read returns Good. Value is a non-null, non-empty String.</t>
        </is>
      </c>
      <c r="G30" s="202" t="inlineStr">
        <is>
          <t>Good</t>
        </is>
      </c>
      <c r="H30" s="202" t="inlineStr">
        <is>
          <t>Good</t>
        </is>
      </c>
      <c r="I30" s="202" t="n"/>
      <c r="J30" s="202" t="inlineStr">
        <is>
          <t>OPC 40450-1 Section 7.2 Table 20</t>
        </is>
      </c>
      <c r="K30" s="202" t="n"/>
    </row>
    <row r="31" ht="20" customHeight="1" s="132">
      <c r="A31" s="210" t="inlineStr">
        <is>
          <t>n</t>
        </is>
      </c>
      <c r="B31" s="210" t="n">
        <v>3</v>
      </c>
      <c r="C31" s="210" t="n">
        <v>0</v>
      </c>
      <c r="D31" s="210" t="inlineStr">
        <is>
          <t>Verify ProductInstanceUri is handled as optional on JoiningSystemIdentificationType</t>
        </is>
      </c>
      <c r="E31" s="210" t="n"/>
      <c r="F31" s="210" t="n"/>
      <c r="G31" s="210" t="n"/>
      <c r="H31" s="210" t="n"/>
      <c r="I31" s="210" t="inlineStr">
        <is>
          <t>n</t>
        </is>
      </c>
      <c r="J31" s="210" t="inlineStr">
        <is>
          <t>OPC 40450-1 Section 7.2 Table 20</t>
        </is>
      </c>
      <c r="K31" s="210" t="n"/>
    </row>
    <row r="32" s="132">
      <c r="A32" s="203" t="n"/>
      <c r="B32" s="203" t="n"/>
      <c r="C32" s="203" t="n">
        <v>1</v>
      </c>
      <c r="D32" s="203" t="inlineStr">
        <is>
          <t>Inspect the ProductInstanceUri declaration and the instance property when present.</t>
        </is>
      </c>
      <c r="E32" s="203" t="inlineStr">
        <is>
          <t>JoiningSystemIdentificationType is available in the TypeSystem. ProductInstanceUri may be absent because its ModellingRule is Optional in Table 20.</t>
        </is>
      </c>
      <c r="F32" s="203" t="inlineStr">
        <is>
          <t>Absence of ProductInstanceUri alone is not a CU-02 failure. If present, it has DataType = String and URI-compatible value.</t>
        </is>
      </c>
      <c r="G32" s="203" t="inlineStr">
        <is>
          <t>Good</t>
        </is>
      </c>
      <c r="H32" s="203" t="inlineStr">
        <is>
          <t>Good</t>
        </is>
      </c>
      <c r="I32" s="203" t="n"/>
      <c r="J32" s="203" t="inlineStr">
        <is>
          <t>OPC 40450-1 Section 7.2 Table 20</t>
        </is>
      </c>
      <c r="K32" s="203" t="n"/>
    </row>
    <row r="33" ht="20" customHeight="1" s="132">
      <c r="A33" s="210" t="inlineStr">
        <is>
          <t>n</t>
        </is>
      </c>
      <c r="B33" s="210" t="n">
        <v>4</v>
      </c>
      <c r="C33" s="210" t="n">
        <v>0</v>
      </c>
      <c r="D33" s="210" t="inlineStr">
        <is>
          <t>Verify JoiningSystemIdentificationType subtype of FunctionalGroupType</t>
        </is>
      </c>
      <c r="E33" s="210" t="n"/>
      <c r="F33" s="210" t="n"/>
      <c r="G33" s="210" t="n"/>
      <c r="H33" s="210" t="n"/>
      <c r="I33" s="210" t="inlineStr">
        <is>
          <t>n</t>
        </is>
      </c>
      <c r="J33" s="210" t="inlineStr">
        <is>
          <t>OPC 40450-1 Section 7.2 Table 20</t>
        </is>
      </c>
      <c r="K33" s="210" t="n"/>
    </row>
    <row r="34" s="132">
      <c r="A34" s="202" t="n"/>
      <c r="B34" s="202" t="n"/>
      <c r="C34" s="202" t="n">
        <v>1</v>
      </c>
      <c r="D34" s="202" t="inlineStr">
        <is>
          <t>Browse TypeDefinition hierarchy of the Identification node upward.</t>
        </is>
      </c>
      <c r="E34" s="202" t="inlineStr">
        <is>
          <t>JoiningSystemIdentificationType NodeId known.</t>
        </is>
      </c>
      <c r="F34" s="202" t="inlineStr">
        <is>
          <t>Type hierarchy includes FunctionalGroupType as supertype.</t>
        </is>
      </c>
      <c r="G34" s="202" t="inlineStr">
        <is>
          <t>Good</t>
        </is>
      </c>
      <c r="H34" s="202" t="inlineStr">
        <is>
          <t>Good</t>
        </is>
      </c>
      <c r="I34" s="202" t="n"/>
      <c r="J34" s="202" t="inlineStr">
        <is>
          <t>OPC 40450-1 Section 7.2 Table 20</t>
        </is>
      </c>
      <c r="K34" s="202" t="n"/>
    </row>
  </sheetData>
  <mergeCells count="3">
    <mergeCell ref="C2:K2"/>
    <mergeCell ref="A1:K1"/>
    <mergeCell ref="A2:B2"/>
  </mergeCells>
  <pageMargins left="0.7" right="0.7" top="0.75" bottom="0.75" header="0.3" footer="0.3"/>
</worksheet>
</file>

<file path=xl/worksheets/sheet9.xml><?xml version="1.0" encoding="utf-8"?>
<worksheet xmlns="http://schemas.openxmlformats.org/spreadsheetml/2006/main">
  <sheetPr codeName="Sheet2">
    <tabColor rgb="002E75B6"/>
    <outlinePr summaryBelow="1" summaryRight="1"/>
    <pageSetUpPr/>
  </sheetPr>
  <dimension ref="A1:K25"/>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CU-03 IJT Joining System Machinery Building Blocks – OPC 40450-1 Section 7.1</t>
        </is>
      </c>
      <c r="B1" s="197" t="n"/>
      <c r="C1" s="197" t="n"/>
      <c r="D1" s="197" t="n"/>
      <c r="E1" s="197" t="n"/>
      <c r="F1" s="197" t="n"/>
      <c r="G1" s="197" t="n"/>
      <c r="H1" s="197" t="n"/>
      <c r="I1" s="197" t="n"/>
      <c r="J1" s="197" t="n"/>
      <c r="K1" s="198" t="n"/>
    </row>
    <row r="2" ht="22" customHeight="1" s="132">
      <c r="A2" s="159">
        <f>HYPERLINK("#Home!A1","⌂ Home")</f>
        <v/>
      </c>
      <c r="B2" s="141" t="n"/>
      <c r="C2" s="179" t="inlineStr">
        <is>
          <t>CU-03 IJT Joining System Machinery Building Blocks – OPC 40450-1 Section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4:MachineryBuildingBlocks optional component is declared in JoiningSystemType</t>
        </is>
      </c>
      <c r="E4" s="182" t="n"/>
      <c r="F4" s="182" t="n"/>
      <c r="G4" s="182" t="n"/>
      <c r="H4" s="182" t="n"/>
      <c r="I4" s="182" t="inlineStr">
        <is>
          <t>n</t>
        </is>
      </c>
      <c r="J4" s="182" t="inlineStr">
        <is>
          <t>OPC 40450-1 Section 11.1 CU-03</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a HasComponent Reference with BrowseName "4:MachineryBuildingBlocks" (Machinery namespace).</t>
        </is>
      </c>
      <c r="E5" s="183" t="inlineStr">
        <is>
          <t>JoiningSystemType found in TypeSystem.</t>
        </is>
      </c>
      <c r="F5" s="183" t="inlineStr">
        <is>
          <t>The component 4:MachineryBuildingBlocks is declared in JoiningSystemType with ModellingRule = Optional and TypeDefinition = 0:FolderType.</t>
        </is>
      </c>
      <c r="G5" s="185" t="inlineStr">
        <is>
          <t>Good</t>
        </is>
      </c>
      <c r="H5" s="185" t="inlineStr">
        <is>
          <t>Good</t>
        </is>
      </c>
      <c r="I5" s="183" t="n"/>
      <c r="J5" s="183" t="inlineStr">
        <is>
          <t>OPC 40450-1 Section 7.1 Table 15</t>
        </is>
      </c>
      <c r="K5" s="183" t="inlineStr">
        <is>
          <t>Machinery namespace: http://opcfoundation.org/UA/Machinery/</t>
        </is>
      </c>
    </row>
    <row r="6" ht="20" customHeight="1" s="132">
      <c r="A6" s="180" t="inlineStr">
        <is>
          <t>y</t>
        </is>
      </c>
      <c r="B6" s="180" t="n">
        <v>2</v>
      </c>
      <c r="C6" s="180" t="n">
        <v>0</v>
      </c>
      <c r="D6" s="181" t="inlineStr">
        <is>
          <t>Verify MachineryBuildingBlocks instance exists and is a FolderType when present</t>
        </is>
      </c>
      <c r="E6" s="182" t="n"/>
      <c r="F6" s="182" t="n"/>
      <c r="G6" s="182" t="n"/>
      <c r="H6" s="182" t="n"/>
      <c r="I6" s="182" t="inlineStr">
        <is>
          <t>n</t>
        </is>
      </c>
      <c r="J6" s="182" t="inlineStr">
        <is>
          <t>OPC 40450-1 Section 11.1 CU-03</t>
        </is>
      </c>
      <c r="K6" s="182" t="n"/>
    </row>
    <row r="7" s="132">
      <c r="A7" s="186" t="n"/>
      <c r="B7" s="186" t="n"/>
      <c r="C7" s="187" t="n">
        <v>1</v>
      </c>
      <c r="D7" s="186" t="inlineStr">
        <is>
          <t>For each JoiningSystem instance, browse HasComponent References for a node with BrowseName "4:MachineryBuildingBlocks".</t>
        </is>
      </c>
      <c r="E7" s="186" t="inlineStr">
        <is>
          <t>JoiningSystem instance accessible.</t>
        </is>
      </c>
      <c r="F7" s="186" t="inlineStr">
        <is>
          <t>If present, TypeDefinitionId = 0:FolderType or a subtype. NodeClass = Object.</t>
        </is>
      </c>
      <c r="G7" s="188" t="inlineStr">
        <is>
          <t>Good</t>
        </is>
      </c>
      <c r="H7" s="188" t="inlineStr">
        <is>
          <t>Good</t>
        </is>
      </c>
      <c r="I7" s="186" t="n"/>
      <c r="J7" s="186" t="inlineStr">
        <is>
          <t>OPC 40450-1 Section 7.1 Table 15 / OPC 40001-1</t>
        </is>
      </c>
      <c r="K7" s="186" t="n"/>
    </row>
    <row r="8" s="132">
      <c r="A8" s="186" t="n"/>
      <c r="B8" s="186" t="n"/>
      <c r="C8" s="187" t="n">
        <v>2</v>
      </c>
      <c r="D8" s="186" t="inlineStr">
        <is>
          <t>Browse the contents of 4:MachineryBuildingBlocks using HierarchicalReferences.</t>
        </is>
      </c>
      <c r="E8" s="186" t="inlineStr">
        <is>
          <t>MachineryBuildingBlocks folder accessible.</t>
        </is>
      </c>
      <c r="F8" s="186" t="inlineStr">
        <is>
          <t>The folder may contain 0 or more building block objects as defined in OPC 40001-1 (OPC UA for Machinery). Each child must follow the OPC UA for Machinery specification.</t>
        </is>
      </c>
      <c r="G8" s="188" t="inlineStr">
        <is>
          <t>Good</t>
        </is>
      </c>
      <c r="H8" s="188" t="inlineStr">
        <is>
          <t>Good</t>
        </is>
      </c>
      <c r="I8" s="186" t="n"/>
      <c r="J8" s="186" t="inlineStr">
        <is>
          <t>OPC 40001-1</t>
        </is>
      </c>
      <c r="K8" s="186" t="n"/>
    </row>
    <row r="9" ht="20" customHeight="1" s="132">
      <c r="A9" s="180" t="inlineStr">
        <is>
          <t>y</t>
        </is>
      </c>
      <c r="B9" s="180" t="n">
        <v>3</v>
      </c>
      <c r="C9" s="180" t="n">
        <v>0</v>
      </c>
      <c r="D9" s="181" t="inlineStr">
        <is>
          <t>Verify building block objects inside MachineryBuildingBlocks comply with OPC UA for Machinery</t>
        </is>
      </c>
      <c r="E9" s="182" t="n"/>
      <c r="F9" s="182" t="n"/>
      <c r="G9" s="182" t="n"/>
      <c r="H9" s="182" t="n"/>
      <c r="I9" s="182" t="inlineStr">
        <is>
          <t>n</t>
        </is>
      </c>
      <c r="J9" s="182" t="inlineStr">
        <is>
          <t>OPC 40450-1 Section 11.1 CU-03</t>
        </is>
      </c>
      <c r="K9" s="182" t="n"/>
    </row>
    <row r="10" s="132">
      <c r="A10" s="183" t="n"/>
      <c r="B10" s="183" t="n"/>
      <c r="C10" s="184" t="n">
        <v>1</v>
      </c>
      <c r="D10" s="183" t="inlineStr">
        <is>
          <t>For each building block Object inside MachineryBuildingBlocks, read its TypeDefinitionId and verify it corresponds to a type defined in OPC 40001-1 (e.g. MachineryOperationCounterType, MachineryLifetimeCounterType, etc.).</t>
        </is>
      </c>
      <c r="E10" s="183" t="inlineStr">
        <is>
          <t>MachineryBuildingBlocks accessible and has at least one child.</t>
        </is>
      </c>
      <c r="F10" s="183" t="inlineStr">
        <is>
          <t>All building block TypeDefinitions are from the Machinery specification (namespace http://opcfoundation.org/UA/Machinery/). No unknown types are used.</t>
        </is>
      </c>
      <c r="G10" s="185" t="inlineStr">
        <is>
          <t>Good</t>
        </is>
      </c>
      <c r="H10" s="185" t="inlineStr">
        <is>
          <t>Good</t>
        </is>
      </c>
      <c r="I10" s="183" t="n"/>
      <c r="J10" s="183" t="inlineStr">
        <is>
          <t>OPC 40001-1</t>
        </is>
      </c>
      <c r="K10" s="183" t="n"/>
    </row>
    <row r="11" ht="20" customHeight="1" s="132">
      <c r="A11" s="180" t="inlineStr">
        <is>
          <t>y</t>
        </is>
      </c>
      <c r="B11" s="180" t="n">
        <v>4</v>
      </c>
      <c r="C11" s="180" t="n">
        <v>0</v>
      </c>
      <c r="D11" s="181" t="inlineStr">
        <is>
          <t>Verify MachineryBuildingBlocks is absent on JoiningSystem instances that do not claim the CU</t>
        </is>
      </c>
      <c r="E11" s="182" t="n"/>
      <c r="F11" s="182" t="n"/>
      <c r="G11" s="182" t="n"/>
      <c r="H11" s="182" t="n"/>
      <c r="I11" s="182" t="inlineStr">
        <is>
          <t>n</t>
        </is>
      </c>
      <c r="J11" s="182" t="inlineStr">
        <is>
          <t>OPC 40450-1 Section 11.1 CU-03</t>
        </is>
      </c>
      <c r="K11" s="182" t="n"/>
    </row>
    <row r="12" s="132">
      <c r="A12" s="186" t="n"/>
      <c r="B12" s="186" t="n"/>
      <c r="C12" s="187" t="n">
        <v>1</v>
      </c>
      <c r="D12" s="186" t="inlineStr">
        <is>
          <t>For each JoiningSystem instance that does NOT expose MachineryBuildingBlocks, confirm the node is not present under the instance.</t>
        </is>
      </c>
      <c r="E12" s="186" t="inlineStr">
        <is>
          <t>JoiningSystem instance accessible.</t>
        </is>
      </c>
      <c r="F12" s="186" t="inlineStr">
        <is>
          <t>The Browse returns no node with BrowseName "4:MachineryBuildingBlocks" under the instance. This is valid since the component is optional.</t>
        </is>
      </c>
      <c r="G12" s="188" t="inlineStr">
        <is>
          <t>Good</t>
        </is>
      </c>
      <c r="H12" s="188" t="inlineStr">
        <is>
          <t>Good</t>
        </is>
      </c>
      <c r="I12" s="186" t="n"/>
      <c r="J12" s="186" t="inlineStr">
        <is>
          <t>OPC 40450-1 Section 7.1 Table 15</t>
        </is>
      </c>
      <c r="K12" s="186" t="n"/>
    </row>
    <row r="13" ht="20" customHeight="1" s="132">
      <c r="A13" s="189" t="inlineStr">
        <is>
          <t>Error Test Cases</t>
        </is>
      </c>
      <c r="B13" s="190" t="n"/>
      <c r="C13" s="190" t="n"/>
      <c r="D13" s="190" t="n"/>
      <c r="E13" s="190" t="n"/>
      <c r="F13" s="190" t="n"/>
      <c r="G13" s="190" t="n"/>
      <c r="H13" s="190" t="n"/>
      <c r="I13" s="190" t="n"/>
      <c r="J13" s="190" t="n"/>
      <c r="K13" s="190" t="n"/>
    </row>
    <row r="14" ht="20" customHeight="1" s="132">
      <c r="A14" s="191" t="inlineStr">
        <is>
          <t>n</t>
        </is>
      </c>
      <c r="B14" s="191" t="n">
        <v>1</v>
      </c>
      <c r="C14" s="191" t="n">
        <v>0</v>
      </c>
      <c r="D14" s="192" t="inlineStr">
        <is>
          <t>Verify MachineryBuildingBlocks folder and its children cannot be modified by client structural changes</t>
        </is>
      </c>
      <c r="E14" s="193" t="n"/>
      <c r="F14" s="193" t="n"/>
      <c r="G14" s="193" t="n"/>
      <c r="H14" s="193" t="n"/>
      <c r="I14" s="193" t="inlineStr">
        <is>
          <t>n</t>
        </is>
      </c>
      <c r="J14" s="193" t="inlineStr">
        <is>
          <t>OPC 40450-1 Section 11.1 CU-03</t>
        </is>
      </c>
      <c r="K14" s="193" t="n"/>
    </row>
    <row r="15" s="132">
      <c r="A15" s="183" t="n"/>
      <c r="B15" s="183" t="n"/>
      <c r="C15" s="184" t="n">
        <v>1</v>
      </c>
      <c r="D15" s="183" t="inlineStr">
        <is>
          <t>Attempt to add a new child Object under MachineryBuildingBlocks via the AddNodes Service.</t>
        </is>
      </c>
      <c r="E15" s="183" t="inlineStr">
        <is>
          <t>MachineryBuildingBlocks folder accessible.</t>
        </is>
      </c>
      <c r="F15" s="183" t="inlineStr">
        <is>
          <t>AddNodes returns Bad_NotSupported or Bad_UserAccessDenied. The structure remains unchanged.</t>
        </is>
      </c>
      <c r="G15" s="185" t="inlineStr">
        <is>
          <t>Good</t>
        </is>
      </c>
      <c r="H15" s="194" t="inlineStr">
        <is>
          <t>Bad_NotSupported</t>
        </is>
      </c>
      <c r="I15" s="183" t="n"/>
      <c r="J15" s="183" t="inlineStr">
        <is>
          <t>OPC 10000-4 Section 5.7.2</t>
        </is>
      </c>
      <c r="K15" s="183" t="inlineStr">
        <is>
          <t>Address space structure must not be modified by external clients.</t>
        </is>
      </c>
    </row>
    <row r="16" ht="20" customHeight="1" s="132">
      <c r="A16" s="191" t="inlineStr">
        <is>
          <t>n</t>
        </is>
      </c>
      <c r="B16" s="191" t="n">
        <v>2</v>
      </c>
      <c r="C16" s="191" t="n">
        <v>0</v>
      </c>
      <c r="D16" s="192" t="inlineStr">
        <is>
          <t>Verify server returns Bad_TypeMismatch when invalid DataType written to MBB property</t>
        </is>
      </c>
      <c r="E16" s="193" t="n"/>
      <c r="F16" s="193" t="n"/>
      <c r="G16" s="193" t="n"/>
      <c r="H16" s="193" t="n"/>
      <c r="I16" s="193" t="inlineStr">
        <is>
          <t>n</t>
        </is>
      </c>
      <c r="J16" s="193" t="inlineStr">
        <is>
          <t>OPC 40450-1 Section 7.2 / OPC 10000-4 Section 5.10.4</t>
        </is>
      </c>
      <c r="K16" s="193" t="n"/>
    </row>
    <row r="17" s="132">
      <c r="A17" s="186" t="n"/>
      <c r="B17" s="186" t="n"/>
      <c r="C17" s="187" t="n">
        <v>1</v>
      </c>
      <c r="D17" s="186" t="inlineStr">
        <is>
          <t>Identify a MachineryBuildingBlocks property (e.g. MachineryItemState.CurrentState) that has NodeClass=Variable. Attempt to Write a Boolean value to it (expected DataType: String or enumeration).</t>
        </is>
      </c>
      <c r="E17" s="186" t="inlineStr">
        <is>
          <t>MachineryBuildingBlocks folder present with at least one typed Variable. OPC UA session established.</t>
        </is>
      </c>
      <c r="F17" s="186" t="inlineStr">
        <is>
          <t>Write Service returns Good at service level. OperationResults contains Bad_TypeMismatch for the attempted node. The Variable value is unchanged.</t>
        </is>
      </c>
      <c r="G17" s="188" t="inlineStr">
        <is>
          <t>Good</t>
        </is>
      </c>
      <c r="H17" s="195" t="inlineStr">
        <is>
          <t>Bad_TypeMismatch</t>
        </is>
      </c>
      <c r="I17" s="186" t="n"/>
      <c r="J17" s="186" t="inlineStr">
        <is>
          <t>OPC 10000-4 Section 5.10.4</t>
        </is>
      </c>
      <c r="K17" s="186" t="inlineStr">
        <is>
          <t>DataType enforcement is mandatory per OPC UA core spec.</t>
        </is>
      </c>
    </row>
    <row r="18" ht="20" customHeight="1" s="132">
      <c r="A18" s="191" t="inlineStr">
        <is>
          <t>n</t>
        </is>
      </c>
      <c r="B18" s="191" t="n">
        <v>3</v>
      </c>
      <c r="C18" s="191" t="n">
        <v>0</v>
      </c>
      <c r="D18" s="192" t="inlineStr">
        <is>
          <t>Verify client cannot add arbitrary child nodes to MachineryBuildingBlocks folder</t>
        </is>
      </c>
      <c r="E18" s="193" t="n"/>
      <c r="F18" s="193" t="n"/>
      <c r="G18" s="193" t="n"/>
      <c r="H18" s="193" t="n"/>
      <c r="I18" s="193" t="inlineStr">
        <is>
          <t>n</t>
        </is>
      </c>
      <c r="J18" s="193" t="inlineStr">
        <is>
          <t>OPC 10000-3 Section 3 / OPC 40450-1 Section 7.2</t>
        </is>
      </c>
      <c r="K18" s="193" t="n"/>
    </row>
    <row r="19" s="132">
      <c r="A19" s="183" t="n"/>
      <c r="B19" s="183" t="n"/>
      <c r="C19" s="184" t="n">
        <v>1</v>
      </c>
      <c r="D19" s="183" t="inlineStr">
        <is>
          <t>Call the AddNodes Service to add a new Variable named "TestNode" with BrowseName "0:TestNode" as a direct child of the MachineryBuildingBlocks FolderType node.</t>
        </is>
      </c>
      <c r="E19" s="183" t="inlineStr">
        <is>
          <t>OPC UA session with administrator privilege. MachineryBuildingBlocks folder identified.</t>
        </is>
      </c>
      <c r="F19" s="183" t="inlineStr">
        <is>
          <t>AddNodes returns Bad_NotSupported or Bad_UserAccessDenied. MachineryBuildingBlocks folder is not modified; the new node does not appear in subsequent Browse.</t>
        </is>
      </c>
      <c r="G19" s="185" t="inlineStr">
        <is>
          <t>Good</t>
        </is>
      </c>
      <c r="H19" s="194" t="inlineStr">
        <is>
          <t>Bad_NotSupported</t>
        </is>
      </c>
      <c r="I19" s="183" t="n"/>
      <c r="J19" s="183" t="inlineStr">
        <is>
          <t>OPC 10000-4 Section 5.7.2</t>
        </is>
      </c>
      <c r="K19" s="183" t="inlineStr">
        <is>
          <t>Type-system additions outside the defined model must be rejected.</t>
        </is>
      </c>
    </row>
    <row r="20" ht="20" customHeight="1" s="132">
      <c r="A20" s="191" t="inlineStr">
        <is>
          <t>n</t>
        </is>
      </c>
      <c r="B20" s="191" t="n">
        <v>4</v>
      </c>
      <c r="C20" s="191" t="n">
        <v>0</v>
      </c>
      <c r="D20" s="192" t="inlineStr">
        <is>
          <t>Verify MachineryBuildingBlocks folder does not expose methods directly</t>
        </is>
      </c>
      <c r="E20" s="193" t="n"/>
      <c r="F20" s="193" t="n"/>
      <c r="G20" s="193" t="n"/>
      <c r="H20" s="193" t="n"/>
      <c r="I20" s="193" t="inlineStr">
        <is>
          <t>n</t>
        </is>
      </c>
      <c r="J20" s="193" t="inlineStr">
        <is>
          <t>OPC 40450-1 Section 11.1 CU-03</t>
        </is>
      </c>
      <c r="K20" s="193" t="n"/>
    </row>
    <row r="21" s="132">
      <c r="A21" s="186" t="n"/>
      <c r="B21" s="186" t="n"/>
      <c r="C21" s="187" t="n">
        <v>1</v>
      </c>
      <c r="D21" s="186" t="inlineStr">
        <is>
          <t>Browse MachineryBuildingBlocks with ReferenceTypeId=HasComponent, NodeClassMask=Method.</t>
        </is>
      </c>
      <c r="E21" s="186" t="inlineStr">
        <is>
          <t>Server claims this Conformance Unit; no additional runtime setup is needed for this step.</t>
        </is>
      </c>
      <c r="F21" s="186" t="inlineStr">
        <is>
          <t>Zero Method-class references returned directly under MachineryBuildingBlocks.</t>
        </is>
      </c>
      <c r="G21" s="188" t="inlineStr">
        <is>
          <t>Good</t>
        </is>
      </c>
      <c r="H21" s="187" t="n"/>
      <c r="I21" s="186" t="n"/>
      <c r="J21" s="203" t="inlineStr">
        <is>
          <t>OPC 40450-1 Section 7.1</t>
        </is>
      </c>
      <c r="K21" s="186" t="inlineStr">
        <is>
          <t>Requirement source: OPC 40450-1 Section 7.2 - MBB is FolderType containing building-block nodes, not methods.</t>
        </is>
      </c>
    </row>
    <row r="22" ht="20" customHeight="1" s="132">
      <c r="A22" s="191" t="inlineStr">
        <is>
          <t>n</t>
        </is>
      </c>
      <c r="B22" s="191" t="n">
        <v>5</v>
      </c>
      <c r="C22" s="191" t="n">
        <v>0</v>
      </c>
      <c r="D22" s="192" t="inlineStr">
        <is>
          <t>Verify MachineryBuildingBlocks cannot have duplicate component names</t>
        </is>
      </c>
      <c r="E22" s="193" t="n"/>
      <c r="F22" s="193" t="n"/>
      <c r="G22" s="193" t="n"/>
      <c r="H22" s="193" t="n"/>
      <c r="I22" s="193" t="inlineStr">
        <is>
          <t>n</t>
        </is>
      </c>
      <c r="J22" s="193" t="inlineStr">
        <is>
          <t>OPC 40450-1 Section 11.1 CU-03</t>
        </is>
      </c>
      <c r="K22" s="193" t="n"/>
    </row>
    <row r="23" s="132">
      <c r="A23" s="183" t="n"/>
      <c r="B23" s="183" t="n"/>
      <c r="C23" s="184" t="n">
        <v>1</v>
      </c>
      <c r="D23" s="183" t="inlineStr">
        <is>
          <t>Browse all children of MachineryBuildingBlocks. Collect BrowseNames. Check for duplicates.</t>
        </is>
      </c>
      <c r="E23" s="183" t="inlineStr">
        <is>
          <t>Server claims this Conformance Unit; no additional runtime setup is needed for this step.</t>
        </is>
      </c>
      <c r="F23" s="183" t="inlineStr">
        <is>
          <t>No duplicate BrowseNames found.</t>
        </is>
      </c>
      <c r="G23" s="185" t="inlineStr">
        <is>
          <t>Good</t>
        </is>
      </c>
      <c r="H23" s="184" t="n"/>
      <c r="I23" s="183" t="n"/>
      <c r="J23" s="202" t="inlineStr">
        <is>
          <t>OPC 40450-1 Section 7.1</t>
        </is>
      </c>
      <c r="K23" s="183" t="inlineStr">
        <is>
          <t>Requirement source: OPC 10000-3 Section 4.7 - BrowseNames must be unique among children.</t>
        </is>
      </c>
    </row>
    <row r="24" ht="20" customHeight="1" s="132">
      <c r="A24" s="191" t="inlineStr">
        <is>
          <t>n</t>
        </is>
      </c>
      <c r="B24" s="191" t="n">
        <v>6</v>
      </c>
      <c r="C24" s="191" t="n">
        <v>0</v>
      </c>
      <c r="D24" s="192" t="inlineStr">
        <is>
          <t>Verify MBB is of FolderType</t>
        </is>
      </c>
      <c r="E24" s="193" t="n"/>
      <c r="F24" s="193" t="n"/>
      <c r="G24" s="193" t="n"/>
      <c r="H24" s="193" t="n"/>
      <c r="I24" s="193" t="inlineStr">
        <is>
          <t>n</t>
        </is>
      </c>
      <c r="J24" s="193" t="inlineStr">
        <is>
          <t>OPC 40450-1 Section 11.1 CU-03</t>
        </is>
      </c>
      <c r="K24" s="193" t="n"/>
    </row>
    <row r="25" s="132">
      <c r="A25" s="186" t="n"/>
      <c r="B25" s="186" t="n"/>
      <c r="C25" s="187" t="n">
        <v>1</v>
      </c>
      <c r="D25" s="186" t="inlineStr">
        <is>
          <t>Read TypeDefinitionId of MachineryBuildingBlocks node.</t>
        </is>
      </c>
      <c r="E25" s="186" t="inlineStr">
        <is>
          <t>Server claims this Conformance Unit; no additional runtime setup is needed for this step.</t>
        </is>
      </c>
      <c r="F25" s="186" t="inlineStr">
        <is>
          <t>TypeDefinitionId equals FolderType (i=61) or subtype.</t>
        </is>
      </c>
      <c r="G25" s="188" t="inlineStr">
        <is>
          <t>Good</t>
        </is>
      </c>
      <c r="H25" s="187" t="n"/>
      <c r="I25" s="186" t="n"/>
      <c r="J25" s="203" t="inlineStr">
        <is>
          <t>OPC 40450-1 Section 7.1</t>
        </is>
      </c>
      <c r="K25" s="186" t="inlineStr">
        <is>
          <t>Requirement source: OPC 40450-1 Section 7.2 - MachineryBuildingBlocks is FolderType (i=61).</t>
        </is>
      </c>
    </row>
  </sheetData>
  <mergeCells count="3">
    <mergeCell ref="C2:K2"/>
    <mergeCell ref="A1:K1"/>
    <mergeCell ref="A2:B2"/>
  </mergeCells>
  <pageMargins left="0.7" right="0.7" top="0.75" bottom="0.75" header="0.3" footer="0.3"/>
</worksheet>
</file>

<file path=xl/worksheets/sheet10.xml><?xml version="1.0" encoding="utf-8"?>
<worksheet xmlns="http://schemas.openxmlformats.org/spreadsheetml/2006/main">
  <sheetPr codeName="Sheet2">
    <tabColor rgb="002E75B6"/>
    <outlinePr summaryBelow="1" summaryRight="1"/>
    <pageSetUpPr/>
  </sheetPr>
  <dimension ref="A1:K38"/>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CU-04 IJT Asset Management – OPC 40450-1 Section 7.2</t>
        </is>
      </c>
      <c r="B1" s="197" t="n"/>
      <c r="C1" s="197" t="n"/>
      <c r="D1" s="197" t="n"/>
      <c r="E1" s="197" t="n"/>
      <c r="F1" s="197" t="n"/>
      <c r="G1" s="197" t="n"/>
      <c r="H1" s="197" t="n"/>
      <c r="I1" s="197" t="n"/>
      <c r="J1" s="197" t="n"/>
      <c r="K1" s="198" t="n"/>
    </row>
    <row r="2" ht="22" customHeight="1" s="132">
      <c r="A2" s="159">
        <f>HYPERLINK("#Home!A1","⌂ Home")</f>
        <v/>
      </c>
      <c r="B2" s="141" t="n"/>
      <c r="C2" s="179" t="inlineStr">
        <is>
          <t>CU-04 IJT Asset Management – OPC 40450-1 Section 7.2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AssetManagement component and its Assets folder structure in JoiningSystemType</t>
        </is>
      </c>
      <c r="E4" s="182" t="n"/>
      <c r="F4" s="182" t="n"/>
      <c r="G4" s="182" t="n"/>
      <c r="H4" s="182" t="n"/>
      <c r="I4" s="182" t="inlineStr">
        <is>
          <t>n</t>
        </is>
      </c>
      <c r="J4" s="182" t="inlineStr">
        <is>
          <t>OPC 40450-1 Section 11.1 CU-04</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HasComponent Reference with BrowseName "AssetManagement".</t>
        </is>
      </c>
      <c r="E5" s="183" t="inlineStr">
        <is>
          <t>JoiningSystemType found.</t>
        </is>
      </c>
      <c r="F5" s="183" t="inlineStr">
        <is>
          <t>AssetManagement is declared with ModellingRule = Optional, TypeDefinition = 2:FunctionalGroupType or a subtype.</t>
        </is>
      </c>
      <c r="G5" s="185" t="inlineStr">
        <is>
          <t>Good</t>
        </is>
      </c>
      <c r="H5" s="185" t="inlineStr">
        <is>
          <t>Good</t>
        </is>
      </c>
      <c r="I5" s="183" t="n"/>
      <c r="J5" s="183" t="inlineStr">
        <is>
          <t>OPC 40450-1 Section 7.2 Table 15 Table 17</t>
        </is>
      </c>
      <c r="K5" s="183" t="n"/>
    </row>
    <row r="6" s="132">
      <c r="A6" s="183" t="n"/>
      <c r="B6" s="183" t="n"/>
      <c r="C6" s="184" t="n">
        <v>2</v>
      </c>
      <c r="D6" s="183" t="inlineStr">
        <is>
          <t>From AssetManagement in the type definition, browse for a HasComponent Reference with BrowseName "Assets".</t>
        </is>
      </c>
      <c r="E6" s="183" t="inlineStr">
        <is>
          <t>AssetManagement declaration found.</t>
        </is>
      </c>
      <c r="F6" s="183" t="inlineStr">
        <is>
          <t>Assets is present with TypeDefinition = 0:FolderType.</t>
        </is>
      </c>
      <c r="G6" s="185" t="inlineStr">
        <is>
          <t>Good</t>
        </is>
      </c>
      <c r="H6" s="185" t="inlineStr">
        <is>
          <t>Good</t>
        </is>
      </c>
      <c r="I6" s="183" t="n"/>
      <c r="J6" s="183" t="inlineStr">
        <is>
          <t>OPC 40450-1 Section 7.2 Table 17</t>
        </is>
      </c>
      <c r="K6" s="183" t="n"/>
    </row>
    <row r="7" s="132">
      <c r="A7" s="183" t="n"/>
      <c r="B7" s="183" t="n"/>
      <c r="C7" s="184" t="n">
        <v>3</v>
      </c>
      <c r="D7" s="183" t="inlineStr">
        <is>
          <t>From Assets in the type definition, browse for a mandatory HasComponent Reference with BrowseName "Controllers".</t>
        </is>
      </c>
      <c r="E7" s="183" t="inlineStr">
        <is>
          <t>Assets declaration found.</t>
        </is>
      </c>
      <c r="F7" s="183" t="inlineStr">
        <is>
          <t>Controllers folder is declared with ModellingRule = Mandatory and TypeDefinition = 0:FolderType.</t>
        </is>
      </c>
      <c r="G7" s="185" t="inlineStr">
        <is>
          <t>Good</t>
        </is>
      </c>
      <c r="H7" s="185" t="inlineStr">
        <is>
          <t>Good</t>
        </is>
      </c>
      <c r="I7" s="183" t="n"/>
      <c r="J7" s="183" t="inlineStr">
        <is>
          <t>OPC 40450-1 Section 7.2 Table 17</t>
        </is>
      </c>
      <c r="K7" s="183" t="inlineStr">
        <is>
          <t>Controllers folder is the only mandatory sub-folder.</t>
        </is>
      </c>
    </row>
    <row r="8" ht="20" customHeight="1" s="132">
      <c r="A8" s="180" t="inlineStr">
        <is>
          <t>y</t>
        </is>
      </c>
      <c r="B8" s="180" t="n">
        <v>2</v>
      </c>
      <c r="C8" s="180" t="n">
        <v>0</v>
      </c>
      <c r="D8" s="181" t="inlineStr">
        <is>
          <t>Verify AssetManagement instance is present in JoiningSystem instances</t>
        </is>
      </c>
      <c r="E8" s="182" t="n"/>
      <c r="F8" s="182" t="n"/>
      <c r="G8" s="182" t="n"/>
      <c r="H8" s="182" t="n"/>
      <c r="I8" s="182" t="inlineStr">
        <is>
          <t>n</t>
        </is>
      </c>
      <c r="J8" s="182" t="inlineStr">
        <is>
          <t>OPC 40450-1 Section 11.1 CU-04</t>
        </is>
      </c>
      <c r="K8" s="182" t="n"/>
    </row>
    <row r="9" s="132">
      <c r="A9" s="186" t="n"/>
      <c r="B9" s="186" t="n"/>
      <c r="C9" s="187" t="n">
        <v>1</v>
      </c>
      <c r="D9" s="186" t="inlineStr">
        <is>
          <t>For each JoiningSystem instance, browse HasComponent References for a node with BrowseName "AssetManagement".</t>
        </is>
      </c>
      <c r="E9" s="186" t="inlineStr">
        <is>
          <t>JoiningSystem instance found.</t>
        </is>
      </c>
      <c r="F9" s="186" t="inlineStr">
        <is>
          <t>AssetManagement Object is present (if this CU is claimed). TypeDefinitionId = 2:FunctionalGroupType or a subtype.</t>
        </is>
      </c>
      <c r="G9" s="188" t="inlineStr">
        <is>
          <t>Good</t>
        </is>
      </c>
      <c r="H9" s="188" t="inlineStr">
        <is>
          <t>Good</t>
        </is>
      </c>
      <c r="I9" s="186" t="n"/>
      <c r="J9" s="186" t="inlineStr">
        <is>
          <t>OPC 40450-1 Section 7.2 Table 15</t>
        </is>
      </c>
      <c r="K9" s="186" t="n"/>
    </row>
    <row r="10" s="132">
      <c r="A10" s="186" t="n"/>
      <c r="B10" s="186" t="n"/>
      <c r="C10" s="187" t="n">
        <v>2</v>
      </c>
      <c r="D10" s="186" t="inlineStr">
        <is>
          <t>Browse to AssetManagement/Assets. Verify the Assets folder exists.</t>
        </is>
      </c>
      <c r="E10" s="186" t="inlineStr">
        <is>
          <t>AssetManagement present.</t>
        </is>
      </c>
      <c r="F10" s="186" t="inlineStr">
        <is>
          <t>Assets folder found. TypeDefinitionId = 0:FolderType.</t>
        </is>
      </c>
      <c r="G10" s="188" t="inlineStr">
        <is>
          <t>Good</t>
        </is>
      </c>
      <c r="H10" s="188" t="inlineStr">
        <is>
          <t>Good</t>
        </is>
      </c>
      <c r="I10" s="186" t="n"/>
      <c r="J10" s="186" t="inlineStr">
        <is>
          <t>OPC 40450-1 Section 7.2 Table 17</t>
        </is>
      </c>
      <c r="K10" s="186" t="n"/>
    </row>
    <row r="11" ht="20" customHeight="1" s="132">
      <c r="A11" s="180" t="inlineStr">
        <is>
          <t>y</t>
        </is>
      </c>
      <c r="B11" s="180" t="n">
        <v>3</v>
      </c>
      <c r="C11" s="180" t="n">
        <v>0</v>
      </c>
      <c r="D11" s="181" t="inlineStr">
        <is>
          <t>Verify mandatory Controllers sub-folder in AssetManagement/Assets</t>
        </is>
      </c>
      <c r="E11" s="182" t="n"/>
      <c r="F11" s="182" t="n"/>
      <c r="G11" s="182" t="n"/>
      <c r="H11" s="182" t="n"/>
      <c r="I11" s="182" t="inlineStr">
        <is>
          <t>n</t>
        </is>
      </c>
      <c r="J11" s="182" t="inlineStr">
        <is>
          <t>OPC 40450-1 Section 11.1 CU-04</t>
        </is>
      </c>
      <c r="K11" s="182" t="n"/>
    </row>
    <row r="12" s="132">
      <c r="A12" s="183" t="n"/>
      <c r="B12" s="183" t="n"/>
      <c r="C12" s="184" t="n">
        <v>1</v>
      </c>
      <c r="D12" s="183" t="inlineStr">
        <is>
          <t>Browse AssetManagement/Assets for HasComponent Reference with BrowseName "Controllers".</t>
        </is>
      </c>
      <c r="E12" s="183" t="inlineStr">
        <is>
          <t>AssetManagement/Assets accessible.</t>
        </is>
      </c>
      <c r="F12" s="183" t="inlineStr">
        <is>
          <t>Controllers folder is present, TypeDefinition = 0:FolderType.</t>
        </is>
      </c>
      <c r="G12" s="185" t="inlineStr">
        <is>
          <t>Good</t>
        </is>
      </c>
      <c r="H12" s="185" t="inlineStr">
        <is>
          <t>Good</t>
        </is>
      </c>
      <c r="I12" s="183" t="n"/>
      <c r="J12" s="183" t="inlineStr">
        <is>
          <t>OPC 40450-1 Section 7.2 Table 17</t>
        </is>
      </c>
      <c r="K12" s="183" t="inlineStr">
        <is>
          <t>Controllers is the only mandatory sub-folder.</t>
        </is>
      </c>
    </row>
    <row r="13" s="132">
      <c r="A13" s="183" t="n"/>
      <c r="B13" s="183" t="n"/>
      <c r="C13" s="184" t="n">
        <v>2</v>
      </c>
      <c r="D13" s="183" t="inlineStr">
        <is>
          <t>Browse the Controllers folder for Controller instances.</t>
        </is>
      </c>
      <c r="E13" s="183" t="inlineStr">
        <is>
          <t>Controllers folder accessible.</t>
        </is>
      </c>
      <c r="F13" s="183" t="inlineStr">
        <is>
          <t>Server returns appropriate status code per OPC UA specification.</t>
        </is>
      </c>
      <c r="G13" s="185" t="inlineStr">
        <is>
          <t>Good</t>
        </is>
      </c>
      <c r="H13" s="185" t="inlineStr">
        <is>
          <t>Good</t>
        </is>
      </c>
      <c r="I13" s="183" t="n"/>
      <c r="J13" s="183" t="inlineStr">
        <is>
          <t>OPC 40450-1 Section 7.2 Table 18 Table 19</t>
        </is>
      </c>
      <c r="K13" s="183" t="n"/>
    </row>
    <row r="14" ht="20" customHeight="1" s="132">
      <c r="A14" s="180" t="inlineStr">
        <is>
          <t>y</t>
        </is>
      </c>
      <c r="B14" s="180" t="n">
        <v>4</v>
      </c>
      <c r="C14" s="180" t="n">
        <v>0</v>
      </c>
      <c r="D14" s="181" t="inlineStr">
        <is>
          <t>Verify optional asset-type sub-folders exist and are correct when present</t>
        </is>
      </c>
      <c r="E14" s="182" t="n"/>
      <c r="F14" s="182" t="n"/>
      <c r="G14" s="182" t="n"/>
      <c r="H14" s="182" t="n"/>
      <c r="I14" s="182" t="inlineStr">
        <is>
          <t>n</t>
        </is>
      </c>
      <c r="J14" s="182" t="inlineStr">
        <is>
          <t>OPC 40450-1 Section 11.1 CU-04</t>
        </is>
      </c>
      <c r="K14" s="182" t="n"/>
    </row>
    <row r="15" s="132">
      <c r="A15" s="186" t="n"/>
      <c r="B15" s="186" t="n"/>
      <c r="C15" s="187" t="n">
        <v>1</v>
      </c>
      <c r="D15" s="186" t="inlineStr">
        <is>
          <t>Browse AssetManagement/Assets for any optional sub-folders: Tools, Servos, MemoryDevices, Sensors, Cables, Batteries, PowerSupplies, Feeders, Accessories, SubComponents, SoftwareComponents, VirtualStations.</t>
        </is>
      </c>
      <c r="E15" s="186" t="inlineStr">
        <is>
          <t>AssetManagement/Assets accessible.</t>
        </is>
      </c>
      <c r="F15" s="186" t="inlineStr">
        <is>
          <t>Each present optional folder has TypeDefinition = 0:FolderType.</t>
        </is>
      </c>
      <c r="G15" s="188" t="inlineStr">
        <is>
          <t>Good</t>
        </is>
      </c>
      <c r="H15" s="188" t="inlineStr">
        <is>
          <t>Good</t>
        </is>
      </c>
      <c r="I15" s="186" t="n"/>
      <c r="J15" s="186" t="inlineStr">
        <is>
          <t>OPC 40450-1 Section 7.2 Table 17</t>
        </is>
      </c>
      <c r="K15" s="186" t="inlineStr">
        <is>
          <t>Optional per spec. Only mandatory folder is Controllers.</t>
        </is>
      </c>
    </row>
    <row r="16" s="132">
      <c r="A16" s="186" t="n"/>
      <c r="B16" s="186" t="n"/>
      <c r="C16" s="187" t="n">
        <v>2</v>
      </c>
      <c r="D16" s="186" t="inlineStr">
        <is>
          <t>For each optional folder that is present, browse its contents and check that each asset instance carries the correct HasInterface reference (e.g. Tools folder -&gt; each asset HasInterface IToolType).</t>
        </is>
      </c>
      <c r="E16" s="186" t="inlineStr">
        <is>
          <t>Optional folders present.</t>
        </is>
      </c>
      <c r="F16" s="186" t="inlineStr">
        <is>
          <t>Each asset instance in the respective optional folder has a HasInterface Reference to the corresponding interface type (IToolType, IServoType, IMemoryDeviceType, etc.).</t>
        </is>
      </c>
      <c r="G16" s="188" t="inlineStr">
        <is>
          <t>Good</t>
        </is>
      </c>
      <c r="H16" s="188" t="inlineStr">
        <is>
          <t>Good</t>
        </is>
      </c>
      <c r="I16" s="186" t="n"/>
      <c r="J16" s="186" t="inlineStr">
        <is>
          <t>OPC 40450-1 Section 7.2 Table 19</t>
        </is>
      </c>
      <c r="K16" s="186" t="n"/>
    </row>
    <row r="17" ht="20" customHeight="1" s="132">
      <c r="A17" s="180" t="inlineStr">
        <is>
          <t>y</t>
        </is>
      </c>
      <c r="B17" s="180" t="n">
        <v>5</v>
      </c>
      <c r="C17" s="180" t="n">
        <v>0</v>
      </c>
      <c r="D17" s="181" t="inlineStr">
        <is>
          <t>Verify AssetManagement MethodSet AddIn when present</t>
        </is>
      </c>
      <c r="E17" s="182" t="n"/>
      <c r="F17" s="182" t="n"/>
      <c r="G17" s="182" t="n"/>
      <c r="H17" s="182" t="n"/>
      <c r="I17" s="182" t="inlineStr">
        <is>
          <t>n</t>
        </is>
      </c>
      <c r="J17" s="182" t="inlineStr">
        <is>
          <t>OPC 40450-1 Section 11.1 CU-04</t>
        </is>
      </c>
      <c r="K17" s="182" t="n"/>
    </row>
    <row r="18" s="132">
      <c r="A18" s="183" t="n"/>
      <c r="B18" s="183" t="n"/>
      <c r="C18" s="184" t="n">
        <v>1</v>
      </c>
      <c r="D18" s="183" t="inlineStr">
        <is>
          <t>Browse AssetManagement for HasAddIn Reference with BrowseName "2:MethodSet".</t>
        </is>
      </c>
      <c r="E18" s="183" t="inlineStr">
        <is>
          <t>AssetManagement accessible.</t>
        </is>
      </c>
      <c r="F18" s="183" t="inlineStr">
        <is>
          <t>If 2:MethodSet is present, TypeDefinition = JoiningSystemAssetMethodSetType or a subtype.</t>
        </is>
      </c>
      <c r="G18" s="185" t="inlineStr">
        <is>
          <t>Good</t>
        </is>
      </c>
      <c r="H18" s="185" t="inlineStr">
        <is>
          <t>Good</t>
        </is>
      </c>
      <c r="I18" s="183" t="n"/>
      <c r="J18" s="183" t="inlineStr">
        <is>
          <t>OPC 40450-1 Section 7.2 Table 16</t>
        </is>
      </c>
      <c r="K18" s="183" t="n"/>
    </row>
    <row r="19" s="132">
      <c r="A19" s="183" t="n"/>
      <c r="B19" s="183" t="n"/>
      <c r="C19" s="184" t="n">
        <v>2</v>
      </c>
      <c r="D19" s="183" t="inlineStr">
        <is>
          <t>Browse JoiningSystemAssetMethodSetType to enumerate all Method nodes.</t>
        </is>
      </c>
      <c r="E19" s="183" t="inlineStr">
        <is>
          <t>JoiningSystemAssetMethodSetType found in TypeSystem.</t>
        </is>
      </c>
      <c r="F19" s="183" t="inlineStr">
        <is>
          <t>All methods declared in JoiningSystemAssetMethodSetType (EnableAsset, DisconnectAsset, GetIdentifiers, RebootAsset, SetCalibration, GetErrorInformation, AcknowledgeErrors) are all present with NodeClass = Method and Executable = True in the type definition.</t>
        </is>
      </c>
      <c r="G19" s="185" t="inlineStr">
        <is>
          <t>Good</t>
        </is>
      </c>
      <c r="H19" s="185" t="inlineStr">
        <is>
          <t>Good</t>
        </is>
      </c>
      <c r="I19" s="183" t="n"/>
      <c r="J19" s="183" t="inlineStr">
        <is>
          <t>OPC 40450-1 Section 7.4 Table 22-27</t>
        </is>
      </c>
      <c r="K19" s="183" t="n"/>
    </row>
    <row r="20" ht="20" customHeight="1" s="132">
      <c r="A20" s="180" t="inlineStr">
        <is>
          <t>y</t>
        </is>
      </c>
      <c r="B20" s="180" t="n">
        <v>6</v>
      </c>
      <c r="C20" s="180" t="n">
        <v>0</v>
      </c>
      <c r="D20" s="181" t="inlineStr">
        <is>
          <t>Verify IControllerType interface on each Controller instance</t>
        </is>
      </c>
      <c r="E20" s="182" t="n"/>
      <c r="F20" s="182" t="n"/>
      <c r="G20" s="182" t="n"/>
      <c r="H20" s="182" t="n"/>
      <c r="I20" s="182" t="inlineStr">
        <is>
          <t>n</t>
        </is>
      </c>
      <c r="J20" s="182" t="inlineStr">
        <is>
          <t>OPC 40450-1 Section 11.1 CU-04</t>
        </is>
      </c>
      <c r="K20" s="182" t="n"/>
    </row>
    <row r="21" s="132">
      <c r="A21" s="186" t="n"/>
      <c r="B21" s="186" t="n"/>
      <c r="C21" s="187" t="n">
        <v>1</v>
      </c>
      <c r="D21" s="186" t="inlineStr">
        <is>
          <t>For each Controller instance in the Controllers folder, read its TypeDefinitionId and browse HasInterface References.</t>
        </is>
      </c>
      <c r="E21" s="186" t="inlineStr">
        <is>
          <t>At least one Controller instance exists.</t>
        </is>
      </c>
      <c r="F21" s="186" t="inlineStr">
        <is>
          <t>Each Controller instance has a HasInterface Reference to IControllerType. The TypeDefinition is 0:BaseObjectType or a vendor-specific subtype.</t>
        </is>
      </c>
      <c r="G21" s="188" t="inlineStr">
        <is>
          <t>Good</t>
        </is>
      </c>
      <c r="H21" s="188" t="inlineStr">
        <is>
          <t>Good</t>
        </is>
      </c>
      <c r="I21" s="186" t="n"/>
      <c r="J21" s="186" t="inlineStr">
        <is>
          <t>OPC 40450-1 Section 7.3.2 Table 19</t>
        </is>
      </c>
      <c r="K21" s="186" t="n"/>
    </row>
    <row r="22" s="132">
      <c r="A22" s="186" t="n"/>
      <c r="B22" s="186" t="n"/>
      <c r="C22" s="187" t="n">
        <v>2</v>
      </c>
      <c r="D22" s="186" t="inlineStr">
        <is>
          <t>Check mandatory InstanceDeclarations of IControllerType on the Controller instance (e.g. 2:Identification, Parameters folder with Type property).</t>
        </is>
      </c>
      <c r="E22" s="186" t="inlineStr">
        <is>
          <t>Controller instance accessible.</t>
        </is>
      </c>
      <c r="F22" s="186" t="inlineStr">
        <is>
          <t>All mandatory InstanceDeclarations from IControllerType are present. 2:Identification AddIn exists with TypeDefinition = 4:MachineIdentificationType or compatible subtype.</t>
        </is>
      </c>
      <c r="G22" s="188" t="inlineStr">
        <is>
          <t>Good</t>
        </is>
      </c>
      <c r="H22" s="188" t="inlineStr">
        <is>
          <t>Good</t>
        </is>
      </c>
      <c r="I22" s="186" t="n"/>
      <c r="J22" s="186" t="inlineStr">
        <is>
          <t>OPC 40450-1 Section 7.3.2</t>
        </is>
      </c>
      <c r="K22" s="186" t="n"/>
    </row>
    <row r="23" ht="20" customHeight="1" s="132">
      <c r="A23" s="180" t="inlineStr">
        <is>
          <t>y</t>
        </is>
      </c>
      <c r="B23" s="180" t="n">
        <v>7</v>
      </c>
      <c r="C23" s="180" t="n">
        <v>0</v>
      </c>
      <c r="D23" s="181" t="inlineStr">
        <is>
          <t>Verify each asset sub-folder enforces correct interface types</t>
        </is>
      </c>
      <c r="E23" s="182" t="n"/>
      <c r="F23" s="182" t="n"/>
      <c r="G23" s="182" t="n"/>
      <c r="H23" s="182" t="n"/>
      <c r="I23" s="182" t="inlineStr">
        <is>
          <t>n</t>
        </is>
      </c>
      <c r="J23" s="182" t="inlineStr">
        <is>
          <t>OPC 40450-1 Section 11.1 CU-04</t>
        </is>
      </c>
      <c r="K23" s="182" t="n"/>
    </row>
    <row r="24" s="132">
      <c r="A24" s="183" t="n"/>
      <c r="B24" s="183" t="n"/>
      <c r="C24" s="184" t="n">
        <v>1</v>
      </c>
      <c r="D24" s="183" t="inlineStr">
        <is>
          <t>For each asset folder (Tools, Servos, etc.), browse all asset instances and verify each carries a HasInterface Reference to its specified interface (IToolType, IServoType, IMemoryDeviceType, ISensorType, ICableType, IBatteryType, IPowerSupplyType, IFeederType, IAccessoryType, ISubComponentType, ISoftwareType, IVirtualStationType).</t>
        </is>
      </c>
      <c r="E24" s="183" t="inlineStr">
        <is>
          <t>Optional asset folders with contents accessible.</t>
        </is>
      </c>
      <c r="F24" s="183" t="inlineStr">
        <is>
          <t>Each asset instance in a given folder has the correct HasInterface Reference matching its folder type. No asset instance is missing its interface.</t>
        </is>
      </c>
      <c r="G24" s="185" t="inlineStr">
        <is>
          <t>Good</t>
        </is>
      </c>
      <c r="H24" s="185" t="inlineStr">
        <is>
          <t>Good</t>
        </is>
      </c>
      <c r="I24" s="183" t="n"/>
      <c r="J24" s="183" t="inlineStr">
        <is>
          <t>OPC 40450-1 Section 7.3 Table 19</t>
        </is>
      </c>
      <c r="K24" s="183" t="n"/>
    </row>
    <row r="25" ht="20" customHeight="1" s="132">
      <c r="A25" s="189" t="inlineStr">
        <is>
          <t>Error Test Cases</t>
        </is>
      </c>
      <c r="B25" s="190" t="n"/>
      <c r="C25" s="190" t="n"/>
      <c r="D25" s="190" t="n"/>
      <c r="E25" s="190" t="n"/>
      <c r="F25" s="190" t="n"/>
      <c r="G25" s="190" t="n"/>
      <c r="H25" s="190" t="n"/>
      <c r="I25" s="190" t="n"/>
      <c r="J25" s="190" t="n"/>
      <c r="K25" s="190" t="n"/>
    </row>
    <row r="26" ht="20" customHeight="1" s="132">
      <c r="A26" s="191" t="inlineStr">
        <is>
          <t>n</t>
        </is>
      </c>
      <c r="B26" s="191" t="n">
        <v>1</v>
      </c>
      <c r="C26" s="191" t="n">
        <v>0</v>
      </c>
      <c r="D26" s="192" t="inlineStr">
        <is>
          <t>Verify that asset sub-folder structure cannot be modified by a client</t>
        </is>
      </c>
      <c r="E26" s="193" t="n"/>
      <c r="F26" s="193" t="n"/>
      <c r="G26" s="193" t="n"/>
      <c r="H26" s="193" t="n"/>
      <c r="I26" s="193" t="inlineStr">
        <is>
          <t>n</t>
        </is>
      </c>
      <c r="J26" s="193" t="inlineStr">
        <is>
          <t>OPC 40450-1 Section 11.1 CU-04</t>
        </is>
      </c>
      <c r="K26" s="193" t="n"/>
    </row>
    <row r="27" s="132">
      <c r="A27" s="183" t="n"/>
      <c r="B27" s="183" t="n"/>
      <c r="C27" s="184" t="n">
        <v>1</v>
      </c>
      <c r="D27" s="183" t="inlineStr">
        <is>
          <t>Attempt to add a new Object to the Controllers folder using the AddNodes Service.</t>
        </is>
      </c>
      <c r="E27" s="183" t="inlineStr">
        <is>
          <t>Controllers folder accessible.</t>
        </is>
      </c>
      <c r="F27" s="183" t="inlineStr">
        <is>
          <t>Server returns Bad_NotSupported or Bad_UserAccessDenied. No new node is added.</t>
        </is>
      </c>
      <c r="G27" s="185" t="inlineStr">
        <is>
          <t>Good</t>
        </is>
      </c>
      <c r="H27" s="194" t="inlineStr">
        <is>
          <t>Bad_NotSupported</t>
        </is>
      </c>
      <c r="I27" s="183" t="n"/>
      <c r="J27" s="183" t="inlineStr">
        <is>
          <t>OPC 10000-4 Section 5.7.2</t>
        </is>
      </c>
      <c r="K27" s="183" t="inlineStr">
        <is>
          <t>Asset topology is server-managed; clients may not alter it.</t>
        </is>
      </c>
    </row>
    <row r="28" ht="20" customHeight="1" s="132">
      <c r="A28" s="191" t="inlineStr">
        <is>
          <t>n</t>
        </is>
      </c>
      <c r="B28" s="191" t="n">
        <v>2</v>
      </c>
      <c r="C28" s="191" t="n">
        <v>0</v>
      </c>
      <c r="D28" s="192" t="inlineStr">
        <is>
          <t>Verify server returns Bad_MethodInvalid when client invokes non-existent method on AssetManagement</t>
        </is>
      </c>
      <c r="E28" s="193" t="n"/>
      <c r="F28" s="193" t="n"/>
      <c r="G28" s="193" t="n"/>
      <c r="H28" s="193" t="n"/>
      <c r="I28" s="193" t="inlineStr">
        <is>
          <t>n</t>
        </is>
      </c>
      <c r="J28" s="193" t="inlineStr">
        <is>
          <t>OPC 10000-4 Section 5.11.2 / OPC 40450-1 Section 7.4</t>
        </is>
      </c>
      <c r="K28" s="193" t="n"/>
    </row>
    <row r="29" s="132">
      <c r="A29" s="186" t="n"/>
      <c r="B29" s="186" t="n"/>
      <c r="C29" s="187" t="n">
        <v>1</v>
      </c>
      <c r="D29" s="186" t="inlineStr">
        <is>
          <t>Browse the JoiningSystemAssetManagementType instance to locate its NodeId. Attempt to call the Call Service using the AssetManagement ObjectId and a fabricated MethodId (random numeric NodeId not corresponding to any declared method).</t>
        </is>
      </c>
      <c r="E29" s="186" t="inlineStr">
        <is>
          <t>JoiningSystemAssetManagementType instance present. OPC UA session established.</t>
        </is>
      </c>
      <c r="F29" s="186" t="inlineStr">
        <is>
          <t>Call Service returns Good at service level. CallMethodResult.StatusCode = Bad_MethodInvalid or Bad_NodeIdUnknown. No state change occurs on the device.</t>
        </is>
      </c>
      <c r="G29" s="188" t="inlineStr">
        <is>
          <t>Good</t>
        </is>
      </c>
      <c r="H29" s="195" t="inlineStr">
        <is>
          <t>Bad_MethodInvalid</t>
        </is>
      </c>
      <c r="I29" s="186" t="n"/>
      <c r="J29" s="186" t="inlineStr">
        <is>
          <t>OPC 10000-4 Section 5.11.2</t>
        </is>
      </c>
      <c r="K29" s="186" t="inlineStr">
        <is>
          <t>Calling a non-existent method must produce Bad_MethodInvalid.</t>
        </is>
      </c>
    </row>
    <row r="30" ht="20" customHeight="1" s="132">
      <c r="A30" s="191" t="inlineStr">
        <is>
          <t>n</t>
        </is>
      </c>
      <c r="B30" s="191" t="n">
        <v>3</v>
      </c>
      <c r="C30" s="191" t="n">
        <v>0</v>
      </c>
      <c r="D30" s="192" t="inlineStr">
        <is>
          <t>Verify RebootAsset method is non-executable when device is mid-operation</t>
        </is>
      </c>
      <c r="E30" s="193" t="n"/>
      <c r="F30" s="193" t="n"/>
      <c r="G30" s="193" t="n"/>
      <c r="H30" s="193" t="n"/>
      <c r="I30" s="193" t="inlineStr">
        <is>
          <t>n</t>
        </is>
      </c>
      <c r="J30" s="193" t="inlineStr">
        <is>
          <t>OPC 40450-1 Section 7.4</t>
        </is>
      </c>
      <c r="K30" s="193" t="n"/>
    </row>
    <row r="31" s="132">
      <c r="A31" s="183" t="n"/>
      <c r="B31" s="183" t="n"/>
      <c r="C31" s="184" t="n">
        <v>1</v>
      </c>
      <c r="D31" s="183" t="inlineStr">
        <is>
          <t>While a joining operation is in progress on the device, read the Executable attribute of the RebootAsset Method Node.</t>
        </is>
      </c>
      <c r="E31" s="183" t="inlineStr">
        <is>
          <t>Joining operation actively in progress on the device. Asset Management node browsable.</t>
        </is>
      </c>
      <c r="F31" s="183" t="inlineStr">
        <is>
          <t>Executable attribute = False (method cannot be invoked during active operation). Calling the method while Executable=False returns Bad_NotExecutable.</t>
        </is>
      </c>
      <c r="G31" s="185" t="inlineStr">
        <is>
          <t>Good</t>
        </is>
      </c>
      <c r="H31" s="185" t="inlineStr">
        <is>
          <t>Good</t>
        </is>
      </c>
      <c r="I31" s="183" t="n"/>
      <c r="J31" s="183" t="inlineStr">
        <is>
          <t>OPC 10000-4 Section 5.10.3 / OPC 40450-1 Section 7.4</t>
        </is>
      </c>
      <c r="K31" s="183" t="inlineStr">
        <is>
          <t>Executable=False is the standard mechanism to disable contextually unavailable methods.</t>
        </is>
      </c>
    </row>
    <row r="32" s="132">
      <c r="A32" s="183" t="n"/>
      <c r="B32" s="183" t="n"/>
      <c r="C32" s="184" t="n">
        <v>2</v>
      </c>
      <c r="D32" s="183" t="inlineStr">
        <is>
          <t>Attempt to call RebootAsset while Executable attribute = False.</t>
        </is>
      </c>
      <c r="E32" s="183" t="inlineStr">
        <is>
          <t>Executable=False confirmed in Step 1.</t>
        </is>
      </c>
      <c r="F32" s="183" t="inlineStr">
        <is>
          <t>Call Service returns Good at service level. CallMethodResult.StatusCode = Bad_NotExecutable. Device operation is not interrupted.</t>
        </is>
      </c>
      <c r="G32" s="185" t="inlineStr">
        <is>
          <t>Good</t>
        </is>
      </c>
      <c r="H32" s="194" t="inlineStr">
        <is>
          <t>Bad_NotExecutable</t>
        </is>
      </c>
      <c r="I32" s="183" t="n"/>
      <c r="J32" s="183" t="inlineStr">
        <is>
          <t>OPC 10000-4 Section 5.11.2</t>
        </is>
      </c>
      <c r="K32" s="183" t="n"/>
    </row>
    <row r="33" ht="20" customHeight="1" s="132">
      <c r="A33" s="191" t="inlineStr">
        <is>
          <t>n</t>
        </is>
      </c>
      <c r="B33" s="191" t="n">
        <v>4</v>
      </c>
      <c r="C33" s="191" t="n">
        <v>0</v>
      </c>
      <c r="D33" s="192" t="inlineStr">
        <is>
          <t>Verify Controllers folder is Mandatory and present</t>
        </is>
      </c>
      <c r="E33" s="193" t="n"/>
      <c r="F33" s="193" t="n"/>
      <c r="G33" s="193" t="n"/>
      <c r="H33" s="193" t="n"/>
      <c r="I33" s="193" t="inlineStr">
        <is>
          <t>n</t>
        </is>
      </c>
      <c r="J33" s="193" t="inlineStr">
        <is>
          <t>OPC 40450-1 Section 11.1 CU-04</t>
        </is>
      </c>
      <c r="K33" s="193" t="n"/>
    </row>
    <row r="34" s="132">
      <c r="A34" s="186" t="n"/>
      <c r="B34" s="186" t="n"/>
      <c r="C34" s="187" t="n">
        <v>1</v>
      </c>
      <c r="D34" s="186" t="inlineStr">
        <is>
          <t>Browse AssetManagement &gt; Assets &gt; Controllers. Verify exists with at least one child.</t>
        </is>
      </c>
      <c r="E34" s="186" t="inlineStr">
        <is>
          <t>Server claims this Conformance Unit; no additional runtime setup is needed for this step.</t>
        </is>
      </c>
      <c r="F34" s="186" t="inlineStr">
        <is>
          <t>Controllers folder present. At least one Controller child found.</t>
        </is>
      </c>
      <c r="G34" s="188" t="inlineStr">
        <is>
          <t>Good</t>
        </is>
      </c>
      <c r="H34" s="187" t="n"/>
      <c r="I34" s="186" t="n"/>
      <c r="J34" s="203" t="inlineStr">
        <is>
          <t>OPC 40450-1 Section 7.2</t>
        </is>
      </c>
      <c r="K34" s="186" t="inlineStr">
        <is>
          <t>Requirement source: OPC 40450-1 Section 7.4 - Assets/Controllers is Mandatory.</t>
        </is>
      </c>
    </row>
    <row r="35" ht="20" customHeight="1" s="132">
      <c r="A35" s="191" t="inlineStr">
        <is>
          <t>n</t>
        </is>
      </c>
      <c r="B35" s="191" t="n">
        <v>5</v>
      </c>
      <c r="C35" s="191" t="n">
        <v>0</v>
      </c>
      <c r="D35" s="192" t="inlineStr">
        <is>
          <t>Verify Assets folder structure - all folder types correct</t>
        </is>
      </c>
      <c r="E35" s="193" t="n"/>
      <c r="F35" s="193" t="n"/>
      <c r="G35" s="193" t="n"/>
      <c r="H35" s="193" t="n"/>
      <c r="I35" s="193" t="inlineStr">
        <is>
          <t>n</t>
        </is>
      </c>
      <c r="J35" s="193" t="inlineStr">
        <is>
          <t>OPC 40450-1 Section 11.1 CU-04</t>
        </is>
      </c>
      <c r="K35" s="193" t="n"/>
    </row>
    <row r="36" s="132">
      <c r="A36" s="183" t="n"/>
      <c r="B36" s="183" t="n"/>
      <c r="C36" s="184" t="n">
        <v>1</v>
      </c>
      <c r="D36" s="183" t="inlineStr">
        <is>
          <t>Browse Controllers/Tools/Servos/MemoryDevices/etc folders. Read each TypeDefinitionId.</t>
        </is>
      </c>
      <c r="E36" s="183" t="inlineStr">
        <is>
          <t>Server claims this Conformance Unit; no additional runtime setup is needed for this step.</t>
        </is>
      </c>
      <c r="F36" s="183" t="inlineStr">
        <is>
          <t>Each present folder has TypeDefinitionId=FolderType (i=61).</t>
        </is>
      </c>
      <c r="G36" s="185" t="inlineStr">
        <is>
          <t>Good</t>
        </is>
      </c>
      <c r="H36" s="184" t="n"/>
      <c r="I36" s="183" t="n"/>
      <c r="J36" s="202" t="inlineStr">
        <is>
          <t>OPC 40450-1 Section 7.2</t>
        </is>
      </c>
      <c r="K36" s="183" t="inlineStr">
        <is>
          <t>Requirement source: OPC 40450-1 Section 7.4 - All asset category folders are FolderType.</t>
        </is>
      </c>
    </row>
    <row r="37" ht="20" customHeight="1" s="132">
      <c r="A37" s="191" t="inlineStr">
        <is>
          <t>n</t>
        </is>
      </c>
      <c r="B37" s="191" t="n">
        <v>6</v>
      </c>
      <c r="C37" s="191" t="n">
        <v>0</v>
      </c>
      <c r="D37" s="192" t="inlineStr">
        <is>
          <t>Verify AssetManagement is of FunctionalGroupType</t>
        </is>
      </c>
      <c r="E37" s="193" t="n"/>
      <c r="F37" s="193" t="n"/>
      <c r="G37" s="193" t="n"/>
      <c r="H37" s="193" t="n"/>
      <c r="I37" s="193" t="inlineStr">
        <is>
          <t>n</t>
        </is>
      </c>
      <c r="J37" s="193" t="inlineStr">
        <is>
          <t>OPC 40450-1 Section 11.1 CU-04</t>
        </is>
      </c>
      <c r="K37" s="193" t="n"/>
    </row>
    <row r="38" s="132">
      <c r="A38" s="186" t="n"/>
      <c r="B38" s="186" t="n"/>
      <c r="C38" s="187" t="n">
        <v>1</v>
      </c>
      <c r="D38" s="186" t="inlineStr">
        <is>
          <t>Read TypeDefinitionId of AssetManagement node.</t>
        </is>
      </c>
      <c r="E38" s="203" t="inlineStr">
        <is>
          <t>Server claims this Conformance Unit; no additional runtime setup is needed for this step.</t>
        </is>
      </c>
      <c r="F38" s="203" t="inlineStr">
        <is>
          <t>TypeDefinitionId matches 2:FunctionalGroupType (OPC UA DI namespace). AssetManagement is NOT a custom subtype in this spec version.</t>
        </is>
      </c>
      <c r="G38" s="188" t="inlineStr">
        <is>
          <t>Good</t>
        </is>
      </c>
      <c r="H38" s="187" t="n"/>
      <c r="I38" s="186" t="n"/>
      <c r="J38" s="203" t="inlineStr">
        <is>
          <t>OPC 40450-1 Section 7.2</t>
        </is>
      </c>
      <c r="K38" s="186" t="inlineStr">
        <is>
          <t>Requirement source: OPC 40450-1 Section 7.2 Table 15 – AssetManagement TypeDefinition is 2:FunctionalGroupType (DI namespace). There is no JoiningSystemAssetManagementType in the spec.</t>
        </is>
      </c>
    </row>
  </sheetData>
  <mergeCells count="3">
    <mergeCell ref="C2:K2"/>
    <mergeCell ref="A1:K1"/>
    <mergeCell ref="A2:B2"/>
  </mergeCells>
  <pageMargins left="0.7" right="0.7" top="0.75" bottom="0.75" header="0.3" footer="0.3"/>
</worksheet>
</file>

<file path=xl/worksheets/sheet11.xml><?xml version="1.0" encoding="utf-8"?>
<worksheet xmlns="http://schemas.openxmlformats.org/spreadsheetml/2006/main">
  <sheetPr codeName="Sheet2">
    <tabColor rgb="002E75B6"/>
    <outlinePr summaryBelow="1" summaryRight="1"/>
    <pageSetUpPr/>
  </sheetPr>
  <dimension ref="A1:K30"/>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CU-05 IJT Result Management – OPC 40450-1 Section 7.5</t>
        </is>
      </c>
      <c r="B1" s="197" t="n"/>
      <c r="C1" s="197" t="n"/>
      <c r="D1" s="197" t="n"/>
      <c r="E1" s="197" t="n"/>
      <c r="F1" s="197" t="n"/>
      <c r="G1" s="197" t="n"/>
      <c r="H1" s="197" t="n"/>
      <c r="I1" s="197" t="n"/>
      <c r="J1" s="197" t="n"/>
      <c r="K1" s="198" t="n"/>
    </row>
    <row r="2" ht="22" customHeight="1" s="132">
      <c r="A2" s="159">
        <f>HYPERLINK("#Home!A1","⌂ Home")</f>
        <v/>
      </c>
      <c r="B2" s="141" t="n"/>
      <c r="C2" s="179" t="inlineStr">
        <is>
          <t>CU-05 IJT Result Management – OPC 40450-1 Section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JoiningSystemResultManagementType in the TypeSystem</t>
        </is>
      </c>
      <c r="E4" s="182" t="n"/>
      <c r="F4" s="182" t="n"/>
      <c r="G4" s="182" t="n"/>
      <c r="H4" s="182" t="n"/>
      <c r="I4" s="182" t="inlineStr">
        <is>
          <t>n</t>
        </is>
      </c>
      <c r="J4" s="182" t="inlineStr">
        <is>
          <t>OPC 40450-1 Section 11.1 CU-05</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JoiningSystemResultManagementType in the IJT namespace.</t>
        </is>
      </c>
      <c r="E5" s="183" t="inlineStr">
        <is>
          <t>Server accessible.</t>
        </is>
      </c>
      <c r="F5" s="183" t="inlineStr">
        <is>
          <t>JoiningSystemResultManagementType is found with NodeClass = ObjectType, IsAbstract = False.</t>
        </is>
      </c>
      <c r="G5" s="185" t="inlineStr">
        <is>
          <t>Good</t>
        </is>
      </c>
      <c r="H5" s="185" t="inlineStr">
        <is>
          <t>Good</t>
        </is>
      </c>
      <c r="I5" s="183" t="n"/>
      <c r="J5" s="183" t="inlineStr">
        <is>
          <t>OPC 40450-1 Section 7.5 / Table 15</t>
        </is>
      </c>
      <c r="K5" s="183" t="n"/>
    </row>
    <row r="6" s="132">
      <c r="A6" s="183" t="n"/>
      <c r="B6" s="183" t="n"/>
      <c r="C6" s="184" t="n">
        <v>2</v>
      </c>
      <c r="D6" s="183" t="inlineStr">
        <is>
          <t>Follow HasSubtype inverse Reference from JoiningSystemResultManagementType.</t>
        </is>
      </c>
      <c r="E6" s="183" t="inlineStr">
        <is>
          <t>JoiningSystemResultManagementType found.</t>
        </is>
      </c>
      <c r="F6" s="183" t="inlineStr">
        <is>
          <t>It is a subtype of 5:ResultManagementType (from OPC 40001-101 – Machinery Result Transfer).</t>
        </is>
      </c>
      <c r="G6" s="185" t="inlineStr">
        <is>
          <t>Good</t>
        </is>
      </c>
      <c r="H6" s="185" t="inlineStr">
        <is>
          <t>Good</t>
        </is>
      </c>
      <c r="I6" s="183" t="n"/>
      <c r="J6" s="183" t="inlineStr">
        <is>
          <t>OPC 40450-1 Section 7.5 / OPC 40001-101</t>
        </is>
      </c>
      <c r="K6" s="183" t="inlineStr">
        <is>
          <t>Machinery Result namespace: http://opcfoundation.org/UA/Machinery/Result/</t>
        </is>
      </c>
    </row>
    <row r="7" s="132">
      <c r="A7" s="183" t="n"/>
      <c r="B7" s="183" t="n"/>
      <c r="C7" s="184" t="n">
        <v>3</v>
      </c>
      <c r="D7" s="183" t="inlineStr">
        <is>
          <t>Browse JoiningSystemResultManagementType for a HasComponent Reference with BrowseName "Results".</t>
        </is>
      </c>
      <c r="E7" s="183" t="inlineStr">
        <is>
          <t>JoiningSystemResultManagementType found.</t>
        </is>
      </c>
      <c r="F7" s="183" t="inlineStr">
        <is>
          <t>Results folder is present, TypeDefinition = 0:FolderType with ModellingRule = Mandatory.</t>
        </is>
      </c>
      <c r="G7" s="185" t="inlineStr">
        <is>
          <t>Good</t>
        </is>
      </c>
      <c r="H7" s="185" t="inlineStr">
        <is>
          <t>Good</t>
        </is>
      </c>
      <c r="I7" s="183" t="n"/>
      <c r="J7" s="183" t="inlineStr">
        <is>
          <t>OPC 40450-1 Section 7.5</t>
        </is>
      </c>
      <c r="K7" s="183" t="n"/>
    </row>
    <row r="8" ht="20" customHeight="1" s="132">
      <c r="A8" s="180" t="inlineStr">
        <is>
          <t>y</t>
        </is>
      </c>
      <c r="B8" s="180" t="n">
        <v>2</v>
      </c>
      <c r="C8" s="180" t="n">
        <v>0</v>
      </c>
      <c r="D8" s="181" t="inlineStr">
        <is>
          <t>Verify 5:ResultManagement AddIn exists on each JoiningSystem instance</t>
        </is>
      </c>
      <c r="E8" s="182" t="n"/>
      <c r="F8" s="182" t="n"/>
      <c r="G8" s="182" t="n"/>
      <c r="H8" s="182" t="n"/>
      <c r="I8" s="182" t="inlineStr">
        <is>
          <t>n</t>
        </is>
      </c>
      <c r="J8" s="182" t="inlineStr">
        <is>
          <t>OPC 40450-1 Section 11.1 CU-05</t>
        </is>
      </c>
      <c r="K8" s="182" t="n"/>
    </row>
    <row r="9" s="132">
      <c r="A9" s="186" t="n"/>
      <c r="B9" s="186" t="n"/>
      <c r="C9" s="187" t="n">
        <v>1</v>
      </c>
      <c r="D9" s="186" t="inlineStr">
        <is>
          <t>For each JoiningSystem instance, browse HasAddIn References for BrowseName "5:ResultManagement".</t>
        </is>
      </c>
      <c r="E9" s="186" t="inlineStr">
        <is>
          <t>JoiningSystem instance accessible.</t>
        </is>
      </c>
      <c r="F9" s="186" t="inlineStr">
        <is>
          <t>5:ResultManagement AddIn is present. TypeDefinitionId = JoiningSystemResultManagementType or a subtype.</t>
        </is>
      </c>
      <c r="G9" s="188" t="inlineStr">
        <is>
          <t>Good</t>
        </is>
      </c>
      <c r="H9" s="188" t="inlineStr">
        <is>
          <t>Good</t>
        </is>
      </c>
      <c r="I9" s="186" t="n"/>
      <c r="J9" s="186" t="inlineStr">
        <is>
          <t>OPC 40450-1 Section 7.1 Table 15</t>
        </is>
      </c>
      <c r="K9" s="186" t="n"/>
    </row>
    <row r="10" s="132">
      <c r="A10" s="186" t="n"/>
      <c r="B10" s="186" t="n"/>
      <c r="C10" s="187" t="n">
        <v>2</v>
      </c>
      <c r="D10" s="186" t="inlineStr">
        <is>
          <t>Read the EventNotifier Attribute of the 5:ResultManagement node.</t>
        </is>
      </c>
      <c r="E10" s="186" t="inlineStr">
        <is>
          <t>5:ResultManagement AddIn accessible.</t>
        </is>
      </c>
      <c r="F10" s="186" t="inlineStr">
        <is>
          <t>EventNotifier has the SubscribeToEvents bit set, indicating clients can subscribe to result-related events via this node.</t>
        </is>
      </c>
      <c r="G10" s="188" t="inlineStr">
        <is>
          <t>Good</t>
        </is>
      </c>
      <c r="H10" s="188" t="inlineStr">
        <is>
          <t>Good</t>
        </is>
      </c>
      <c r="I10" s="186" t="n"/>
      <c r="J10" s="186" t="inlineStr">
        <is>
          <t>OPC 10000-3 Section 5.6.4</t>
        </is>
      </c>
      <c r="K10" s="186" t="inlineStr">
        <is>
          <t>Enables result event subscriptions.</t>
        </is>
      </c>
    </row>
    <row r="11" ht="20" customHeight="1" s="132">
      <c r="A11" s="180" t="inlineStr">
        <is>
          <t>y</t>
        </is>
      </c>
      <c r="B11" s="180" t="n">
        <v>3</v>
      </c>
      <c r="C11" s="180" t="n">
        <v>0</v>
      </c>
      <c r="D11" s="181" t="inlineStr">
        <is>
          <t>Verify Results folder inside ResultManagement</t>
        </is>
      </c>
      <c r="E11" s="182" t="n"/>
      <c r="F11" s="182" t="n"/>
      <c r="G11" s="182" t="n"/>
      <c r="H11" s="182" t="n"/>
      <c r="I11" s="182" t="inlineStr">
        <is>
          <t>n</t>
        </is>
      </c>
      <c r="J11" s="182" t="inlineStr">
        <is>
          <t>OPC 40450-1 Section 11.1 CU-05</t>
        </is>
      </c>
      <c r="K11" s="182" t="n"/>
    </row>
    <row r="12" s="132">
      <c r="A12" s="183" t="n"/>
      <c r="B12" s="183" t="n"/>
      <c r="C12" s="184" t="n">
        <v>1</v>
      </c>
      <c r="D12" s="183" t="inlineStr">
        <is>
          <t>From the 5:ResultManagement AddIn instance, browse HasComponent References for "Results".</t>
        </is>
      </c>
      <c r="E12" s="183" t="inlineStr">
        <is>
          <t>5:ResultManagement accessible.</t>
        </is>
      </c>
      <c r="F12" s="183" t="inlineStr">
        <is>
          <t>Results folder is present. TypeDefinition = 0:FolderType.</t>
        </is>
      </c>
      <c r="G12" s="185" t="inlineStr">
        <is>
          <t>Good</t>
        </is>
      </c>
      <c r="H12" s="185" t="inlineStr">
        <is>
          <t>Good</t>
        </is>
      </c>
      <c r="I12" s="183" t="n"/>
      <c r="J12" s="183" t="inlineStr">
        <is>
          <t>OPC 40450-1 Section 7.5</t>
        </is>
      </c>
      <c r="K12" s="183" t="n"/>
    </row>
    <row r="13" s="132">
      <c r="A13" s="183" t="n"/>
      <c r="B13" s="183" t="n"/>
      <c r="C13" s="184" t="n">
        <v>2</v>
      </c>
      <c r="D13" s="183" t="inlineStr">
        <is>
          <t>Browse the Results folder for any Variable instances of type JoiningSystemResultType.</t>
        </is>
      </c>
      <c r="E13" s="183" t="inlineStr">
        <is>
          <t>Results folder accessible.</t>
        </is>
      </c>
      <c r="F13" s="183" t="inlineStr">
        <is>
          <t>Zero or more JoiningSystemResultType Variable instances are present. Each represents a stored result. If present, they carry TypeDefinition = JoiningSystemResultType (or a subtype).</t>
        </is>
      </c>
      <c r="G13" s="185" t="inlineStr">
        <is>
          <t>Good</t>
        </is>
      </c>
      <c r="H13" s="185" t="inlineStr">
        <is>
          <t>Good</t>
        </is>
      </c>
      <c r="I13" s="183" t="n"/>
      <c r="J13" s="183" t="inlineStr">
        <is>
          <t>OPC 40450-1 Section 9.2</t>
        </is>
      </c>
      <c r="K13" s="183" t="n"/>
    </row>
    <row r="14" ht="20" customHeight="1" s="132">
      <c r="A14" s="180" t="inlineStr">
        <is>
          <t>y</t>
        </is>
      </c>
      <c r="B14" s="180" t="n">
        <v>4</v>
      </c>
      <c r="C14" s="180" t="n">
        <v>0</v>
      </c>
      <c r="D14" s="181" t="inlineStr">
        <is>
          <t>Verify result-access methods are declared in JoiningSystemResultManagementType</t>
        </is>
      </c>
      <c r="E14" s="182" t="n"/>
      <c r="F14" s="182" t="n"/>
      <c r="G14" s="182" t="n"/>
      <c r="H14" s="182" t="n"/>
      <c r="I14" s="182" t="inlineStr">
        <is>
          <t>n</t>
        </is>
      </c>
      <c r="J14" s="182" t="inlineStr">
        <is>
          <t>OPC 40450-1 Section 11.1 CU-05</t>
        </is>
      </c>
      <c r="K14" s="182" t="n"/>
    </row>
    <row r="15" s="132">
      <c r="A15" s="186" t="n"/>
      <c r="B15" s="186" t="n"/>
      <c r="C15" s="187" t="n">
        <v>1</v>
      </c>
      <c r="D15" s="186" t="inlineStr">
        <is>
          <t>Browse JoiningSystemResultManagementType for Method nodes: GetLatestResult, GetResultById, GetResultIdListFiltered, RequestResults, AcknowledgeResults, RequestUnacknowledgedResults.</t>
        </is>
      </c>
      <c r="E15" s="186" t="inlineStr">
        <is>
          <t>JoiningSystemResultManagementType found.</t>
        </is>
      </c>
      <c r="F15" s="186" t="inlineStr">
        <is>
          <t>Method nodes for GetLatestResult, GetResultById, GetResultIdListFiltered exist in the type definition (GetLatestResult is Mandatory for CU-13 conformance; GetResultById is Mandatory for CU-14; GetResultIdListFiltered is Mandatory for CU-15. All three methods must be present when claiming conformance to those CUs. If only CU-05 (Result Management) is claimed, presence of methods is Optional but the Methods folder must exist).</t>
        </is>
      </c>
      <c r="G15" s="188" t="inlineStr">
        <is>
          <t>Good</t>
        </is>
      </c>
      <c r="H15" s="188" t="inlineStr">
        <is>
          <t>Good</t>
        </is>
      </c>
      <c r="I15" s="186" t="n"/>
      <c r="J15" s="186" t="inlineStr">
        <is>
          <t>OPC 40450-1 Section 7.5</t>
        </is>
      </c>
      <c r="K15" s="186" t="n"/>
    </row>
    <row r="16" ht="20" customHeight="1" s="132">
      <c r="A16" s="180" t="inlineStr">
        <is>
          <t>y</t>
        </is>
      </c>
      <c r="B16" s="180" t="n">
        <v>5</v>
      </c>
      <c r="C16" s="180" t="n">
        <v>0</v>
      </c>
      <c r="D16" s="181" t="inlineStr">
        <is>
          <t>Verify Executable Attribute of result methods in the JoiningSystem instance</t>
        </is>
      </c>
      <c r="E16" s="182" t="n"/>
      <c r="F16" s="182" t="n"/>
      <c r="G16" s="182" t="n"/>
      <c r="H16" s="182" t="n"/>
      <c r="I16" s="182" t="inlineStr">
        <is>
          <t>n</t>
        </is>
      </c>
      <c r="J16" s="182" t="inlineStr">
        <is>
          <t>OPC 40450-1 Section 11.1 CU-05</t>
        </is>
      </c>
      <c r="K16" s="182" t="n"/>
    </row>
    <row r="17" s="132">
      <c r="A17" s="183" t="n"/>
      <c r="B17" s="183" t="n"/>
      <c r="C17" s="184" t="n">
        <v>1</v>
      </c>
      <c r="D17" s="183" t="inlineStr">
        <is>
          <t>For each result-access Method present on the 5:ResultManagement instance (e.g. GetLatestResult), read the Executable and UserExecutable Attributes.</t>
        </is>
      </c>
      <c r="E17" s="183" t="inlineStr">
        <is>
          <t>Method nodes exist on the 5:ResultManagement instance.</t>
        </is>
      </c>
      <c r="F17" s="183" t="inlineStr">
        <is>
          <t>Executable = True for all implemented result methods. UserExecutable reflects any user-role restrictions (True for at least the standard operator role).</t>
        </is>
      </c>
      <c r="G17" s="185" t="inlineStr">
        <is>
          <t>Good</t>
        </is>
      </c>
      <c r="H17" s="185" t="inlineStr">
        <is>
          <t>Good</t>
        </is>
      </c>
      <c r="I17" s="183" t="n"/>
      <c r="J17" s="183" t="inlineStr">
        <is>
          <t>OPC 10000-3 Section 5.6.5</t>
        </is>
      </c>
      <c r="K17" s="183" t="n"/>
    </row>
    <row r="18" ht="20" customHeight="1" s="132">
      <c r="A18" s="189" t="inlineStr">
        <is>
          <t>Error Test Cases</t>
        </is>
      </c>
      <c r="B18" s="190" t="n"/>
      <c r="C18" s="190" t="n"/>
      <c r="D18" s="190" t="n"/>
      <c r="E18" s="190" t="n"/>
      <c r="F18" s="190" t="n"/>
      <c r="G18" s="190" t="n"/>
      <c r="H18" s="190" t="n"/>
      <c r="I18" s="190" t="n"/>
      <c r="J18" s="190" t="n"/>
      <c r="K18" s="190" t="n"/>
    </row>
    <row r="19" ht="20" customHeight="1" s="132">
      <c r="A19" s="191" t="inlineStr">
        <is>
          <t>n</t>
        </is>
      </c>
      <c r="B19" s="191" t="n">
        <v>1</v>
      </c>
      <c r="C19" s="191" t="n">
        <v>0</v>
      </c>
      <c r="D19" s="192" t="inlineStr">
        <is>
          <t>Verify the Results folder is server-managed from the client perspective</t>
        </is>
      </c>
      <c r="E19" s="193" t="n"/>
      <c r="F19" s="193" t="n"/>
      <c r="G19" s="193" t="n"/>
      <c r="H19" s="193" t="n"/>
      <c r="I19" s="193" t="inlineStr">
        <is>
          <t>n</t>
        </is>
      </c>
      <c r="J19" s="193" t="inlineStr">
        <is>
          <t>OPC 40450-1 Section 11.1 CU-05</t>
        </is>
      </c>
      <c r="K19" s="193" t="n"/>
    </row>
    <row r="20" s="132">
      <c r="A20" s="183" t="n"/>
      <c r="B20" s="183" t="n"/>
      <c r="C20" s="184" t="n">
        <v>1</v>
      </c>
      <c r="D20" s="183" t="inlineStr">
        <is>
          <t>Attempt to delete a result Variable from the Results folder using the DeleteNodes Service.</t>
        </is>
      </c>
      <c r="E20" s="183" t="inlineStr">
        <is>
          <t>Results folder accessible with at least one result Variable.</t>
        </is>
      </c>
      <c r="F20" s="183" t="inlineStr">
        <is>
          <t>Server returns Bad_NotSupported or Bad_UserAccessDenied. No result Variable is deleted.</t>
        </is>
      </c>
      <c r="G20" s="185" t="inlineStr">
        <is>
          <t>Good</t>
        </is>
      </c>
      <c r="H20" s="194" t="inlineStr">
        <is>
          <t>Bad_NotSupported</t>
        </is>
      </c>
      <c r="I20" s="183" t="n"/>
      <c r="J20" s="183" t="inlineStr">
        <is>
          <t>OPC 10000-4 Section 5.7.4</t>
        </is>
      </c>
      <c r="K20" s="183" t="inlineStr">
        <is>
          <t>Result lifecycle is managed by the server, not clients.</t>
        </is>
      </c>
    </row>
    <row r="21" ht="20" customHeight="1" s="132">
      <c r="A21" s="191" t="inlineStr">
        <is>
          <t>n</t>
        </is>
      </c>
      <c r="B21" s="191" t="n">
        <v>2</v>
      </c>
      <c r="C21" s="191" t="n">
        <v>0</v>
      </c>
      <c r="D21" s="192" t="inlineStr">
        <is>
          <t>Verify server returns Bad_NoCommunication when device connection is interrupted mid-result-retrieval</t>
        </is>
      </c>
      <c r="E21" s="193" t="n"/>
      <c r="F21" s="193" t="n"/>
      <c r="G21" s="193" t="n"/>
      <c r="H21" s="193" t="n"/>
      <c r="I21" s="193" t="inlineStr">
        <is>
          <t>n</t>
        </is>
      </c>
      <c r="J21" s="193" t="inlineStr">
        <is>
          <t>OPC 40450-1 Section 7.5</t>
        </is>
      </c>
      <c r="K21" s="193" t="n"/>
    </row>
    <row r="22" s="132">
      <c r="A22" s="186" t="n"/>
      <c r="B22" s="186" t="n"/>
      <c r="C22" s="187" t="n">
        <v>1</v>
      </c>
      <c r="D22" s="186" t="inlineStr">
        <is>
          <t>While a Read of the ResultManagement structure is in progress, simulate or trigger a device communication interruption (disconnect the field bus or equivalent).</t>
        </is>
      </c>
      <c r="E22" s="186" t="inlineStr">
        <is>
          <t>ResultManagement object accessible. Test environment allows communication interruption simulation.</t>
        </is>
      </c>
      <c r="F22" s="186" t="inlineStr">
        <is>
          <t>Server returns Bad_NoCommunication or Bad_Timeout for the pending Read/Browse operation. Session remains valid; a subsequent Read after reconnection returns Good.</t>
        </is>
      </c>
      <c r="G22" s="188" t="inlineStr">
        <is>
          <t>Good</t>
        </is>
      </c>
      <c r="H22" s="195" t="inlineStr">
        <is>
          <t>Bad_NoCommunication</t>
        </is>
      </c>
      <c r="I22" s="186" t="n"/>
      <c r="J22" s="186" t="inlineStr">
        <is>
          <t>OPC 10000-4 Section 5.10 / OPC 40450-1 Section 7.5</t>
        </is>
      </c>
      <c r="K22" s="186" t="inlineStr">
        <is>
          <t>Communication failure during result retrieval is a standard error path.</t>
        </is>
      </c>
    </row>
    <row r="23" ht="20" customHeight="1" s="132">
      <c r="A23" s="191" t="inlineStr">
        <is>
          <t>n</t>
        </is>
      </c>
      <c r="B23" s="191" t="n">
        <v>3</v>
      </c>
      <c r="C23" s="191" t="n">
        <v>0</v>
      </c>
      <c r="D23" s="192" t="inlineStr">
        <is>
          <t>Verify ResultManagement node is inaccessible without authenticated session</t>
        </is>
      </c>
      <c r="E23" s="193" t="n"/>
      <c r="F23" s="193" t="n"/>
      <c r="G23" s="193" t="n"/>
      <c r="H23" s="193" t="n"/>
      <c r="I23" s="193" t="inlineStr">
        <is>
          <t>n</t>
        </is>
      </c>
      <c r="J23" s="193" t="inlineStr">
        <is>
          <t>OPC 10000-4 Section 4.8 / OPC 40450-1 Section 7.5</t>
        </is>
      </c>
      <c r="K23" s="193" t="n"/>
    </row>
    <row r="24" s="132">
      <c r="A24" s="183" t="n"/>
      <c r="B24" s="183" t="n"/>
      <c r="C24" s="184" t="n">
        <v>1</v>
      </c>
      <c r="D24" s="183" t="inlineStr">
        <is>
          <t>Attempt to Browse the ResultManagement node (using its known NodeId) from an anonymous OPC UA session, if the server security policy requires authentication.</t>
        </is>
      </c>
      <c r="E24" s="183" t="inlineStr">
        <is>
          <t>Server configured with UserTokenPolicy requiring username/password or X.509 certificate. Anonymous session establishment attempted.</t>
        </is>
      </c>
      <c r="F24" s="183" t="inlineStr">
        <is>
          <t>Browse Service returns Bad_UserAccessDenied or the ResultManagement node is not visible in the anonymous session address space. The secure session can browse it normally.</t>
        </is>
      </c>
      <c r="G24" s="185" t="inlineStr">
        <is>
          <t>Good</t>
        </is>
      </c>
      <c r="H24" s="194" t="inlineStr">
        <is>
          <t>Bad_UserAccessDenied</t>
        </is>
      </c>
      <c r="I24" s="183" t="n"/>
      <c r="J24" s="183" t="inlineStr">
        <is>
          <t>OPC 10000-4 Section 4.8</t>
        </is>
      </c>
      <c r="K24" s="183" t="inlineStr">
        <is>
          <t>Requires a server configuration where anonymous access is not authorized for ResultManagement. CTT=n: security policy configuration is lab-specific.</t>
        </is>
      </c>
    </row>
    <row r="25" ht="20" customHeight="1" s="132">
      <c r="A25" s="191" t="inlineStr">
        <is>
          <t>n</t>
        </is>
      </c>
      <c r="B25" s="191" t="n">
        <v>4</v>
      </c>
      <c r="C25" s="191" t="n">
        <v>0</v>
      </c>
      <c r="D25" s="192" t="inlineStr">
        <is>
          <t>Verify Results folder is present inside ResultManagement</t>
        </is>
      </c>
      <c r="E25" s="193" t="n"/>
      <c r="F25" s="193" t="n"/>
      <c r="G25" s="193" t="n"/>
      <c r="H25" s="193" t="n"/>
      <c r="I25" s="193" t="inlineStr">
        <is>
          <t>n</t>
        </is>
      </c>
      <c r="J25" s="193" t="inlineStr">
        <is>
          <t>OPC 40450-1 Section 11.1 CU-05</t>
        </is>
      </c>
      <c r="K25" s="193" t="n"/>
    </row>
    <row r="26" s="132">
      <c r="A26" s="186" t="n"/>
      <c r="B26" s="186" t="n"/>
      <c r="C26" s="187" t="n">
        <v>1</v>
      </c>
      <c r="D26" s="186" t="inlineStr">
        <is>
          <t>Browse ResultManagement for child named 'Results'.</t>
        </is>
      </c>
      <c r="E26" s="186" t="inlineStr">
        <is>
          <t>Server claims this Conformance Unit; no additional runtime setup is needed for this step.</t>
        </is>
      </c>
      <c r="F26" s="186" t="inlineStr">
        <is>
          <t>Results folder found. NodeClass=Object, TypeDefinitionId=FolderType.</t>
        </is>
      </c>
      <c r="G26" s="188" t="inlineStr">
        <is>
          <t>Good</t>
        </is>
      </c>
      <c r="H26" s="187" t="n"/>
      <c r="I26" s="186" t="n"/>
      <c r="J26" s="203" t="inlineStr">
        <is>
          <t>OPC 40450-1 Section 7.5</t>
        </is>
      </c>
      <c r="K26" s="186" t="inlineStr">
        <is>
          <t>Requirement source: OPC 40450-1 Section 7.5 - Results folder is Mandatory.</t>
        </is>
      </c>
    </row>
    <row r="27" ht="20" customHeight="1" s="132">
      <c r="A27" s="191" t="inlineStr">
        <is>
          <t>n</t>
        </is>
      </c>
      <c r="B27" s="191" t="n">
        <v>5</v>
      </c>
      <c r="C27" s="191" t="n">
        <v>0</v>
      </c>
      <c r="D27" s="192" t="inlineStr">
        <is>
          <t>Verify ResultManagement is of JoiningSystemResultManagementType</t>
        </is>
      </c>
      <c r="E27" s="193" t="n"/>
      <c r="F27" s="193" t="n"/>
      <c r="G27" s="193" t="n"/>
      <c r="H27" s="193" t="n"/>
      <c r="I27" s="193" t="inlineStr">
        <is>
          <t>n</t>
        </is>
      </c>
      <c r="J27" s="193" t="inlineStr">
        <is>
          <t>OPC 40450-1 Section 11.1 CU-05</t>
        </is>
      </c>
      <c r="K27" s="193" t="n"/>
    </row>
    <row r="28" s="132">
      <c r="A28" s="183" t="n"/>
      <c r="B28" s="183" t="n"/>
      <c r="C28" s="184" t="n">
        <v>1</v>
      </c>
      <c r="D28" s="183" t="inlineStr">
        <is>
          <t>Read TypeDefinitionId of ResultManagement node.</t>
        </is>
      </c>
      <c r="E28" s="183" t="inlineStr">
        <is>
          <t>Server claims this Conformance Unit; no additional runtime setup is needed for this step.</t>
        </is>
      </c>
      <c r="F28" s="183" t="inlineStr">
        <is>
          <t>TypeDefinitionId matches JoiningSystemResultManagementType in IJT namespace.</t>
        </is>
      </c>
      <c r="G28" s="185" t="inlineStr">
        <is>
          <t>Good</t>
        </is>
      </c>
      <c r="H28" s="184" t="n"/>
      <c r="I28" s="183" t="n"/>
      <c r="J28" s="202" t="inlineStr">
        <is>
          <t>OPC 40450-1 Section 7.5</t>
        </is>
      </c>
      <c r="K28" s="183" t="inlineStr">
        <is>
          <t>Requirement source: OPC 40450-1 Section 7.5 - ResultManagement TypeDefinition.</t>
        </is>
      </c>
    </row>
    <row r="29" ht="20" customHeight="1" s="132">
      <c r="A29" s="191" t="inlineStr">
        <is>
          <t>n</t>
        </is>
      </c>
      <c r="B29" s="191" t="n">
        <v>6</v>
      </c>
      <c r="C29" s="191" t="n">
        <v>0</v>
      </c>
      <c r="D29" s="192" t="inlineStr">
        <is>
          <t>Verify Results folder contains only ResultVariable nodes</t>
        </is>
      </c>
      <c r="E29" s="193" t="n"/>
      <c r="F29" s="193" t="n"/>
      <c r="G29" s="193" t="n"/>
      <c r="H29" s="193" t="n"/>
      <c r="I29" s="193" t="inlineStr">
        <is>
          <t>n</t>
        </is>
      </c>
      <c r="J29" s="193" t="inlineStr">
        <is>
          <t>OPC 40450-1 Section 11.1 CU-05</t>
        </is>
      </c>
      <c r="K29" s="193" t="n"/>
    </row>
    <row r="30" s="132">
      <c r="A30" s="186" t="n"/>
      <c r="B30" s="186" t="n"/>
      <c r="C30" s="187" t="n">
        <v>1</v>
      </c>
      <c r="D30" s="186" t="inlineStr">
        <is>
          <t>Browse all children of Results folder. Read each TypeDefinitionId.</t>
        </is>
      </c>
      <c r="E30" s="186" t="inlineStr">
        <is>
          <t>Server claims this Conformance Unit; no additional runtime setup is needed for this step.</t>
        </is>
      </c>
      <c r="F30" s="186" t="inlineStr">
        <is>
          <t>All children inherit from JoiningSystemResultType. No unexpected types.</t>
        </is>
      </c>
      <c r="G30" s="188" t="inlineStr">
        <is>
          <t>Good</t>
        </is>
      </c>
      <c r="H30" s="187" t="n"/>
      <c r="I30" s="186" t="n"/>
      <c r="J30" s="203" t="inlineStr">
        <is>
          <t>OPC 40450-1 Section 7.5</t>
        </is>
      </c>
      <c r="K30" s="186" t="inlineStr">
        <is>
          <t>Requirement source: OPC 40450-1 Section 7.5 - Children must be JoiningSystemResultType.</t>
        </is>
      </c>
    </row>
  </sheetData>
  <mergeCells count="3">
    <mergeCell ref="C2:K2"/>
    <mergeCell ref="A1:K1"/>
    <mergeCell ref="A2:B2"/>
  </mergeCells>
  <pageMargins left="0.7" right="0.7" top="0.75" bottom="0.75" header="0.3" footer="0.3"/>
</worksheet>
</file>

<file path=xl/worksheets/sheet12.xml><?xml version="1.0" encoding="utf-8"?>
<worksheet xmlns="http://schemas.openxmlformats.org/spreadsheetml/2006/main">
  <sheetPr codeName="Sheet6">
    <tabColor rgb="002E75B6"/>
    <outlinePr summaryBelow="1" summaryRight="1"/>
    <pageSetUpPr/>
  </sheetPr>
  <dimension ref="A1:K35"/>
  <sheetViews>
    <sheetView tabSelected="1" workbookViewId="0">
      <pane ySplit="2" topLeftCell="A3" activePane="bottomLeft" state="frozen"/>
      <selection pane="bottomLeft" activeCell="D11" sqref="D1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CU-06 IJT Single Result – OPC 40450-1 Section 10.1 (Classification=1)</t>
        </is>
      </c>
      <c r="B1" s="197" t="n"/>
      <c r="C1" s="197" t="n"/>
      <c r="D1" s="197" t="n"/>
      <c r="E1" s="197" t="n"/>
      <c r="F1" s="197" t="n"/>
      <c r="G1" s="197" t="n"/>
      <c r="H1" s="197" t="n"/>
      <c r="I1" s="197" t="n"/>
      <c r="J1" s="197" t="n"/>
      <c r="K1" s="198" t="n"/>
    </row>
    <row r="2" ht="22" customHeight="1" s="132">
      <c r="A2" s="159">
        <f>HYPERLINK("#Home!A1","⌂ Home")</f>
        <v/>
      </c>
      <c r="B2" s="141" t="n"/>
      <c r="C2" s="179" t="inlineStr">
        <is>
          <t>CU-06 IJT Single Result – OPC 40450-1 Section 10.1 (Classification=1)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Classification field is declared in JoiningResultMetaDataType</t>
        </is>
      </c>
      <c r="E4" s="182" t="n"/>
      <c r="F4" s="182" t="n"/>
      <c r="G4" s="182" t="n"/>
      <c r="H4" s="182" t="n"/>
      <c r="I4" s="182" t="inlineStr">
        <is>
          <t>n</t>
        </is>
      </c>
      <c r="J4" s="182" t="inlineStr">
        <is>
          <t>OPC 40450-1 Section 11.1 CU-06</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 Follow HasStructuredComponent or HasProperty references to find the Classification field.</t>
        </is>
      </c>
      <c r="E5" s="183" t="inlineStr">
        <is>
          <t>JoiningResultMetaDataType found in TypeSystem.</t>
        </is>
      </c>
      <c r="F5" s="183" t="inlineStr">
        <is>
          <t>Classification field is present with DataType = Byte (Classification is a Byte-encoded enumeration; value 1 = SINGLE_RESULT per OPC 40450-1 Table 208). ModellingRule = Optional per JoiningResultMetaDataType (inherited from 5:ResultMetaDataType).</t>
        </is>
      </c>
      <c r="G5" s="185" t="inlineStr">
        <is>
          <t>Good</t>
        </is>
      </c>
      <c r="H5" s="185" t="inlineStr">
        <is>
          <t>Good</t>
        </is>
      </c>
      <c r="I5" s="183" t="n"/>
      <c r="J5" s="183" t="inlineStr">
        <is>
          <t>OPC 40450-1 Section 10.1 Table 208</t>
        </is>
      </c>
      <c r="K5" s="183" t="n"/>
    </row>
    <row r="6" ht="20" customHeight="1" s="132">
      <c r="A6" s="180" t="inlineStr">
        <is>
          <t>y</t>
        </is>
      </c>
      <c r="B6" s="180" t="n">
        <v>2</v>
      </c>
      <c r="C6" s="180" t="n">
        <v>0</v>
      </c>
      <c r="D6" s="181" t="inlineStr">
        <is>
          <t>Verify the server generates at least one result with Classification = SINGLE_RESULT (value 1)</t>
        </is>
      </c>
      <c r="E6" s="182" t="n"/>
      <c r="F6" s="182" t="n"/>
      <c r="G6" s="182" t="n"/>
      <c r="H6" s="182" t="n"/>
      <c r="I6" s="182" t="inlineStr">
        <is>
          <t>n</t>
        </is>
      </c>
      <c r="J6" s="182" t="inlineStr">
        <is>
          <t>OPC 40450-1 Section 11.1 CU-06</t>
        </is>
      </c>
      <c r="K6" s="182" t="n"/>
    </row>
    <row r="7" s="132">
      <c r="A7" s="186" t="n"/>
      <c r="B7" s="186" t="n"/>
      <c r="C7" s="187" t="n">
        <v>1</v>
      </c>
      <c r="D7" s="186" t="inlineStr">
        <is>
          <t>Create an OPC UA Subscription on the JoiningSystem instance. Add a MonitoredItem for events of type JoiningSystemResultReadyEventType. Set the filter to select the Result/ResultMetaData/Classification field.</t>
        </is>
      </c>
      <c r="E7" s="186" t="inlineStr">
        <is>
          <t>OPC UA subscription created; device ready to perform a joining operation.</t>
        </is>
      </c>
      <c r="F7" s="186" t="inlineStr">
        <is>
          <t>MonitoredItem created successfully. Subscription is active.</t>
        </is>
      </c>
      <c r="G7" s="188" t="inlineStr">
        <is>
          <t>Good</t>
        </is>
      </c>
      <c r="H7" s="188" t="inlineStr">
        <is>
          <t>Good</t>
        </is>
      </c>
      <c r="I7" s="186" t="n"/>
      <c r="J7" s="186" t="inlineStr">
        <is>
          <t>OPC 10000-4 Section 5.12</t>
        </is>
      </c>
      <c r="K7" s="186" t="n"/>
    </row>
    <row r="8" s="132">
      <c r="A8" s="186" t="n"/>
      <c r="B8" s="186" t="n"/>
      <c r="C8" s="187" t="n">
        <v>2</v>
      </c>
      <c r="D8" s="186" t="inlineStr">
        <is>
          <t>Trigger a single joining operation on the device (one bolt, one joining program step).</t>
        </is>
      </c>
      <c r="E8" s="186" t="inlineStr">
        <is>
          <t>Device is configured and ready for remote or local start.</t>
        </is>
      </c>
      <c r="F8" s="186" t="inlineStr">
        <is>
          <t>Within the configured timeout, a JoiningSystemResultReadyEventType event is received with Result.ResultMetaData.Classification = 1 (SINGLE_RESULT).</t>
        </is>
      </c>
      <c r="G8" s="188" t="inlineStr">
        <is>
          <t>Good</t>
        </is>
      </c>
      <c r="H8" s="188" t="inlineStr">
        <is>
          <t>Good</t>
        </is>
      </c>
      <c r="I8" s="186" t="n"/>
      <c r="J8" s="186" t="inlineStr">
        <is>
          <t>OPC 40450-1 Section 10.1 Table 208 / Annex F</t>
        </is>
      </c>
      <c r="K8" s="186" t="inlineStr">
        <is>
          <t>Classification 1 = SINGLE_RESULT per spec.</t>
        </is>
      </c>
    </row>
    <row r="9" s="132">
      <c r="A9" s="186" t="n"/>
      <c r="B9" s="186" t="n"/>
      <c r="C9" s="187" t="n">
        <v>3</v>
      </c>
      <c r="D9" s="186" t="inlineStr">
        <is>
          <t>From the result observed via JoiningSystemResultReadyEventType or ResultManagement/Results/Result, read Result.ResultMetaData.Classification.</t>
        </is>
      </c>
      <c r="E9" s="186" t="inlineStr">
        <is>
          <t>OPC UA session established; result available via event or result variable.</t>
        </is>
      </c>
      <c r="F9" s="186" t="inlineStr">
        <is>
          <t>Result.ResultMetaData.Classification = 1 (SINGLE_RESULT).</t>
        </is>
      </c>
      <c r="G9" s="188" t="inlineStr">
        <is>
          <t>Good</t>
        </is>
      </c>
      <c r="H9" s="188" t="inlineStr">
        <is>
          <t>Good</t>
        </is>
      </c>
      <c r="I9" s="186" t="n"/>
      <c r="J9" s="186" t="inlineStr">
        <is>
          <t>OPC 40450-1 Section 7.5</t>
        </is>
      </c>
      <c r="K9" s="186" t="n"/>
    </row>
    <row r="10" ht="20" customHeight="1" s="132">
      <c r="A10" s="180" t="inlineStr">
        <is>
          <t>y</t>
        </is>
      </c>
      <c r="B10" s="180" t="n">
        <v>3</v>
      </c>
      <c r="C10" s="180" t="n">
        <v>0</v>
      </c>
      <c r="D10" s="181" t="inlineStr">
        <is>
          <t>Verify ResultContent for SINGLE_RESULT is an instance of JoiningResultDataType</t>
        </is>
      </c>
      <c r="E10" s="182" t="n"/>
      <c r="F10" s="182" t="n"/>
      <c r="G10" s="182" t="n"/>
      <c r="H10" s="182" t="n"/>
      <c r="I10" s="182" t="inlineStr">
        <is>
          <t>n</t>
        </is>
      </c>
      <c r="J10" s="182" t="inlineStr">
        <is>
          <t>OPC 40450-1 Section 11.1 CU-06</t>
        </is>
      </c>
      <c r="K10" s="182" t="n"/>
    </row>
    <row r="11" s="132">
      <c r="A11" s="183" t="n"/>
      <c r="B11" s="183" t="n"/>
      <c r="C11" s="184" t="n">
        <v>1</v>
      </c>
      <c r="D11" s="183" t="inlineStr">
        <is>
          <t>From the result observed via JoiningSystemResultReadyEventType or ResultManagement/Results/Result (Classification = SINGLE_RESULT), inspect Result.ResultContent.</t>
        </is>
      </c>
      <c r="E11" s="183" t="inlineStr">
        <is>
          <t>Single result available with Classification = 1.</t>
        </is>
      </c>
      <c r="F11" s="183" t="inlineStr">
        <is>
          <t>Result.ResultContent is a non-null, non-empty array containing exactly one element that is an instance of JoiningResultDataType (encoded as an ExtensionObject with TypeId = JoiningResultDataType).</t>
        </is>
      </c>
      <c r="G11" s="185" t="inlineStr">
        <is>
          <t>Good</t>
        </is>
      </c>
      <c r="H11" s="185" t="inlineStr">
        <is>
          <t>Good</t>
        </is>
      </c>
      <c r="I11" s="183" t="n"/>
      <c r="J11" s="183" t="inlineStr">
        <is>
          <t>OPC 40450-1 Section 10.1 Table 208 / Annex F</t>
        </is>
      </c>
      <c r="K11" s="183" t="inlineStr">
        <is>
          <t>For SINGLE_RESULT: ResultContent = one JoiningResultDataType instance.</t>
        </is>
      </c>
    </row>
    <row r="12" s="132">
      <c r="A12" s="183" t="n"/>
      <c r="B12" s="183" t="n"/>
      <c r="C12" s="184" t="n">
        <v>2</v>
      </c>
      <c r="D12" s="183" t="inlineStr">
        <is>
          <t>Decode the JoiningResultDataType from ResultContent. Verify mandatory field OverallResultValues[] is present (it may be empty if no values available).</t>
        </is>
      </c>
      <c r="E12" s="183" t="inlineStr">
        <is>
          <t>ResultContent decoded.</t>
        </is>
      </c>
      <c r="F12" s="183" t="inlineStr">
        <is>
          <t>OverallResultValues[] field is present (array may be empty if no values are available for this result (valid boundary case per spec), but field must exist in the structure).</t>
        </is>
      </c>
      <c r="G12" s="185" t="inlineStr">
        <is>
          <t>Good</t>
        </is>
      </c>
      <c r="H12" s="185" t="inlineStr">
        <is>
          <t>Good</t>
        </is>
      </c>
      <c r="I12" s="183" t="n"/>
      <c r="J12" s="183" t="inlineStr">
        <is>
          <t>OPC 40450-1 Section 10.2 Table 210</t>
        </is>
      </c>
      <c r="K12" s="183" t="n"/>
    </row>
    <row r="13" ht="20" customHeight="1" s="132">
      <c r="A13" s="180" t="inlineStr">
        <is>
          <t>y</t>
        </is>
      </c>
      <c r="B13" s="180" t="n">
        <v>4</v>
      </c>
      <c r="C13" s="180" t="n">
        <v>0</v>
      </c>
      <c r="D13" s="181" t="inlineStr">
        <is>
          <t>Verify ResultEvaluation in a SINGLE_RESULT is a valid enum value</t>
        </is>
      </c>
      <c r="E13" s="182" t="n"/>
      <c r="F13" s="182" t="n"/>
      <c r="G13" s="182" t="n"/>
      <c r="H13" s="182" t="n"/>
      <c r="I13" s="182" t="inlineStr">
        <is>
          <t>n</t>
        </is>
      </c>
      <c r="J13" s="182" t="inlineStr">
        <is>
          <t>OPC 40450-1 Section 11.1 CU-06</t>
        </is>
      </c>
      <c r="K13" s="182" t="n"/>
    </row>
    <row r="14" s="132">
      <c r="A14" s="186" t="n"/>
      <c r="B14" s="186" t="n"/>
      <c r="C14" s="187" t="n">
        <v>1</v>
      </c>
      <c r="D14" s="186" t="inlineStr">
        <is>
          <t>From the Single Result, read Result.ResultMetaData.ResultEvaluation.</t>
        </is>
      </c>
      <c r="E14" s="186" t="inlineStr">
        <is>
          <t>Single result available.</t>
        </is>
      </c>
      <c r="F14" s="186" t="inlineStr">
        <is>
          <t>ResultEvaluation is present. DataType = 5:ResultEvaluationEnum. Value is one of: Undefined(0), OK(1), NotOK(2), NotDecidable(3). No value outside 0-3 is valid.</t>
        </is>
      </c>
      <c r="G14" s="188" t="inlineStr">
        <is>
          <t>Good</t>
        </is>
      </c>
      <c r="H14" s="188" t="inlineStr">
        <is>
          <t>Good</t>
        </is>
      </c>
      <c r="I14" s="186" t="n"/>
      <c r="J14" s="186" t="inlineStr">
        <is>
          <t>OPC 40450-1 Section 10.1 / OPC 40001-101</t>
        </is>
      </c>
      <c r="K14" s="186" t="n"/>
    </row>
    <row r="15" ht="20" customHeight="1" s="132">
      <c r="A15" s="180" t="inlineStr">
        <is>
          <t>y</t>
        </is>
      </c>
      <c r="B15" s="180" t="n">
        <v>5</v>
      </c>
      <c r="C15" s="180" t="n">
        <v>0</v>
      </c>
      <c r="D15" s="181" t="inlineStr">
        <is>
          <t>Verify IsPartial = False for a complete Single Result</t>
        </is>
      </c>
      <c r="E15" s="182" t="n"/>
      <c r="F15" s="182" t="n"/>
      <c r="G15" s="182" t="n"/>
      <c r="H15" s="182" t="n"/>
      <c r="I15" s="182" t="inlineStr">
        <is>
          <t>n</t>
        </is>
      </c>
      <c r="J15" s="182" t="inlineStr">
        <is>
          <t>OPC 40450-1 Section 11.1 CU-06</t>
        </is>
      </c>
      <c r="K15" s="182" t="n"/>
    </row>
    <row r="16" s="132">
      <c r="A16" s="183" t="n"/>
      <c r="B16" s="183" t="n"/>
      <c r="C16" s="184" t="n">
        <v>1</v>
      </c>
      <c r="D16" s="183" t="inlineStr">
        <is>
          <t>From a completed single joining operation result, read Result.ResultMetaData.IsPartial.</t>
        </is>
      </c>
      <c r="E16" s="183" t="inlineStr">
        <is>
          <t>Complete single joining operation result available.</t>
        </is>
      </c>
      <c r="F16" s="183" t="inlineStr">
        <is>
          <t>IsPartial = False (Boolean). A Single Result is not a partial result when the joining operation is complete.</t>
        </is>
      </c>
      <c r="G16" s="185" t="inlineStr">
        <is>
          <t>Good</t>
        </is>
      </c>
      <c r="H16" s="185" t="inlineStr">
        <is>
          <t>Good</t>
        </is>
      </c>
      <c r="I16" s="183" t="n"/>
      <c r="J16" s="183" t="inlineStr">
        <is>
          <t>OPC 40450-1 Section 10.1 Table 208 / Annex F</t>
        </is>
      </c>
      <c r="K16" s="183" t="n"/>
    </row>
    <row r="17" ht="20" customHeight="1" s="132">
      <c r="A17" s="180" t="inlineStr">
        <is>
          <t>y</t>
        </is>
      </c>
      <c r="B17" s="180" t="n">
        <v>6</v>
      </c>
      <c r="C17" s="180" t="n">
        <v>0</v>
      </c>
      <c r="D17" s="181" t="inlineStr">
        <is>
          <t>Verify ResultState = COMPLETED for a final Single Result</t>
        </is>
      </c>
      <c r="E17" s="182" t="n"/>
      <c r="F17" s="182" t="n"/>
      <c r="G17" s="182" t="n"/>
      <c r="H17" s="182" t="n"/>
      <c r="I17" s="182" t="inlineStr">
        <is>
          <t>n</t>
        </is>
      </c>
      <c r="J17" s="182" t="inlineStr">
        <is>
          <t>OPC 40450-1 Section 11.1 CU-06</t>
        </is>
      </c>
      <c r="K17" s="182" t="n"/>
    </row>
    <row r="18" s="132">
      <c r="A18" s="186" t="n"/>
      <c r="B18" s="186" t="n"/>
      <c r="C18" s="187" t="n">
        <v>1</v>
      </c>
      <c r="D18" s="186" t="inlineStr">
        <is>
          <t>Read Result.ResultMetaData.ResultState from a completed Single Result.</t>
        </is>
      </c>
      <c r="E18" s="186" t="inlineStr">
        <is>
          <t>Single Result with Classification = SINGLE_RESULT.</t>
        </is>
      </c>
      <c r="F18" s="186" t="inlineStr">
        <is>
          <t>ResultState = COMPLETED (value from 5:ResultMetaDataType ResultState enum). A final single result must not have ResultState = Processing.</t>
        </is>
      </c>
      <c r="G18" s="188" t="inlineStr">
        <is>
          <t>Good</t>
        </is>
      </c>
      <c r="H18" s="188" t="inlineStr">
        <is>
          <t>Good</t>
        </is>
      </c>
      <c r="I18" s="186" t="n"/>
      <c r="J18" s="186" t="inlineStr">
        <is>
          <t>OPC 40450-1 / OPC 40001-101</t>
        </is>
      </c>
      <c r="K18" s="186" t="inlineStr">
        <is>
          <t>ResultState enum from OPC 40001-101.</t>
        </is>
      </c>
    </row>
    <row r="19" ht="20" customHeight="1" s="132">
      <c r="A19" s="180" t="inlineStr">
        <is>
          <t>y</t>
        </is>
      </c>
      <c r="B19" s="180" t="n">
        <v>7</v>
      </c>
      <c r="C19" s="180" t="n">
        <v>0</v>
      </c>
      <c r="D19" s="181" t="inlineStr">
        <is>
          <t>Verify unique ResultId per Single Result</t>
        </is>
      </c>
      <c r="E19" s="182" t="n"/>
      <c r="F19" s="182" t="n"/>
      <c r="G19" s="182" t="n"/>
      <c r="H19" s="182" t="n"/>
      <c r="I19" s="182" t="inlineStr">
        <is>
          <t>n</t>
        </is>
      </c>
      <c r="J19" s="182" t="inlineStr">
        <is>
          <t>OPC 40450-1 Section 11.1 CU-06</t>
        </is>
      </c>
      <c r="K19" s="182" t="n"/>
    </row>
    <row r="20" s="132">
      <c r="A20" s="183" t="n"/>
      <c r="B20" s="183" t="n"/>
      <c r="C20" s="184" t="n">
        <v>1</v>
      </c>
      <c r="D20" s="183" t="inlineStr">
        <is>
          <t>Trigger two consecutive single joining operations. Observe both ResultDataType values from result variables or result-ready events.</t>
        </is>
      </c>
      <c r="E20" s="183" t="inlineStr">
        <is>
          <t>Two single joining operations performed.</t>
        </is>
      </c>
      <c r="F20" s="183" t="inlineStr">
        <is>
          <t>The ResultId of the first result differs from the ResultId of the second result. Both are non-null, non-empty TrimmedStrings.</t>
        </is>
      </c>
      <c r="G20" s="185" t="inlineStr">
        <is>
          <t>Good</t>
        </is>
      </c>
      <c r="H20" s="185" t="inlineStr">
        <is>
          <t>Good</t>
        </is>
      </c>
      <c r="I20" s="183" t="n"/>
      <c r="J20" s="183" t="inlineStr">
        <is>
          <t>OPC 40450-1 Section 10.1</t>
        </is>
      </c>
      <c r="K20" s="183" t="inlineStr">
        <is>
          <t>ResultId must uniquely identify each result.</t>
        </is>
      </c>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Classification field in a received result cannot be modified</t>
        </is>
      </c>
      <c r="E22" s="193" t="n"/>
      <c r="F22" s="193" t="n"/>
      <c r="G22" s="193" t="n"/>
      <c r="H22" s="193" t="n"/>
      <c r="I22" s="193" t="inlineStr">
        <is>
          <t>n</t>
        </is>
      </c>
      <c r="J22" s="193" t="inlineStr">
        <is>
          <t>OPC 40450-1 Section 11.1 CU-06</t>
        </is>
      </c>
      <c r="K22" s="193" t="n"/>
    </row>
    <row r="23" s="132">
      <c r="A23" s="183" t="n"/>
      <c r="B23" s="183" t="n"/>
      <c r="C23" s="184" t="n">
        <v>1</v>
      </c>
      <c r="D23" s="183" t="inlineStr">
        <is>
          <t>Locate the JoiningSystemResultType Variable in the Results folder (or from an event). Attempt to write a new value to the Classification sub-variable.</t>
        </is>
      </c>
      <c r="E23" s="183" t="inlineStr">
        <is>
          <t>A result Variable is accessible in the Results folder.</t>
        </is>
      </c>
      <c r="F23" s="183" t="inlineStr">
        <is>
          <t>Write operation returns Bad_NotWritable or Bad_UserAccessDenied. The Classification value is not changed on a subsequent Read.</t>
        </is>
      </c>
      <c r="G23" s="185" t="inlineStr">
        <is>
          <t>Good</t>
        </is>
      </c>
      <c r="H23" s="194" t="inlineStr">
        <is>
          <t>Bad_NotWritable</t>
        </is>
      </c>
      <c r="I23" s="183" t="n"/>
      <c r="J23" s="183" t="inlineStr">
        <is>
          <t>OPC 10000-4 Section 5.10.4</t>
        </is>
      </c>
      <c r="K23" s="183" t="n"/>
    </row>
    <row r="24" ht="20" customHeight="1" s="132">
      <c r="A24" s="191" t="inlineStr">
        <is>
          <t>n</t>
        </is>
      </c>
      <c r="B24" s="191" t="n">
        <v>2</v>
      </c>
      <c r="C24" s="191" t="n">
        <v>0</v>
      </c>
      <c r="D24" s="192" t="inlineStr">
        <is>
          <t>Verify Read of JoiningResultDataType returns Bad_OutOfRange for invalid SequenceNumber lookup</t>
        </is>
      </c>
      <c r="E24" s="193" t="n"/>
      <c r="F24" s="193" t="n"/>
      <c r="G24" s="193" t="n"/>
      <c r="H24" s="193" t="n"/>
      <c r="I24" s="193" t="inlineStr">
        <is>
          <t>n</t>
        </is>
      </c>
      <c r="J24" s="193" t="inlineStr">
        <is>
          <t>OPC 40450-1 Section 10.1 / OPC 10000-4 Section 5.10</t>
        </is>
      </c>
      <c r="K24" s="193" t="n"/>
    </row>
    <row r="25" s="132">
      <c r="A25" s="186" t="n"/>
      <c r="B25" s="186" t="n"/>
      <c r="C25" s="187" t="n">
        <v>1</v>
      </c>
      <c r="D25" s="186" t="inlineStr">
        <is>
          <t>[Optional helper — method error test] Attempt to call GetResultById passing a ResultId value of "00000000-0000-0000-0000-000000000000" (all-zeros GUID) that is syntactically valid but does not correspond to any stored result.</t>
        </is>
      </c>
      <c r="E25" s="186" t="inlineStr">
        <is>
          <t>Optional helper precondition: GetResultById method available. OPC UA session established.</t>
        </is>
      </c>
      <c r="F25" s="186" t="inlineStr">
        <is>
          <t>Optional helper expected result: Method call returns Good at service level. CallMethodResult.StatusCode = Bad_InvalidArgument or Bad_NoDataAvailable. No JoiningResultDataType object is returned.</t>
        </is>
      </c>
      <c r="G25" s="188" t="inlineStr">
        <is>
          <t>Good</t>
        </is>
      </c>
      <c r="H25" s="195" t="inlineStr">
        <is>
          <t>Bad_InvalidArgument</t>
        </is>
      </c>
      <c r="I25" s="186" t="n"/>
      <c r="J25" s="186" t="inlineStr">
        <is>
          <t>OPC 40450-1 Section 7.5</t>
        </is>
      </c>
      <c r="K25" s="186" t="n"/>
    </row>
    <row r="26" ht="20" customHeight="1" s="132">
      <c r="A26" s="191" t="inlineStr">
        <is>
          <t>n</t>
        </is>
      </c>
      <c r="B26" s="191" t="n">
        <v>3</v>
      </c>
      <c r="C26" s="191" t="n">
        <v>0</v>
      </c>
      <c r="D26" s="192" t="inlineStr">
        <is>
          <t>Verify Classification field rejects write of value outside defined enumeration range</t>
        </is>
      </c>
      <c r="E26" s="193" t="n"/>
      <c r="F26" s="193" t="n"/>
      <c r="G26" s="193" t="n"/>
      <c r="H26" s="193" t="n"/>
      <c r="I26" s="193" t="inlineStr">
        <is>
          <t>n</t>
        </is>
      </c>
      <c r="J26" s="193" t="inlineStr">
        <is>
          <t>OPC 40450-1 Table 208 / OPC 10000-4 Section 5.10.4</t>
        </is>
      </c>
      <c r="K26" s="193" t="n"/>
    </row>
    <row r="27" s="132">
      <c r="A27" s="183" t="n"/>
      <c r="B27" s="183" t="n"/>
      <c r="C27" s="184" t="n">
        <v>1</v>
      </c>
      <c r="D27" s="183" t="inlineStr">
        <is>
          <t>Identify the Classification Variable of a stored JoiningResultDataType. Attempt to Write the Byte value 255 (not a valid Classification enum value per OPC 40450-1 Table 208).</t>
        </is>
      </c>
      <c r="E27" s="183" t="inlineStr">
        <is>
          <t>JoiningResultDataType Variable accessible via NodeId. Valid enum range: 0–7.</t>
        </is>
      </c>
      <c r="F27" s="183" t="inlineStr">
        <is>
          <t>Write Service returns Good at service level. OperationResults contains Bad_OutOfRange or Bad_TypeMismatch. Classification value is unchanged.</t>
        </is>
      </c>
      <c r="G27" s="185" t="inlineStr">
        <is>
          <t>Good</t>
        </is>
      </c>
      <c r="H27" s="194" t="inlineStr">
        <is>
          <t>Bad_OutOfRange</t>
        </is>
      </c>
      <c r="I27" s="183" t="n"/>
      <c r="J27" s="183" t="inlineStr">
        <is>
          <t>OPC 40450-1 Table 208 / OPC 10000-4 Section 5.10.4</t>
        </is>
      </c>
      <c r="K27" s="183" t="inlineStr">
        <is>
          <t>OPC UA range constraints must be enforced for enum-typed variables.</t>
        </is>
      </c>
    </row>
    <row r="28" ht="20" customHeight="1" s="132">
      <c r="A28" s="191" t="inlineStr">
        <is>
          <t>n</t>
        </is>
      </c>
      <c r="B28" s="191" t="n">
        <v>4</v>
      </c>
      <c r="C28" s="191" t="n">
        <v>0</v>
      </c>
      <c r="D28" s="192" t="inlineStr">
        <is>
          <t>Verify Classification=UNDEFINED(0) not used in practice</t>
        </is>
      </c>
      <c r="E28" s="193" t="n"/>
      <c r="F28" s="193" t="n"/>
      <c r="G28" s="193" t="n"/>
      <c r="H28" s="193" t="n"/>
      <c r="I28" s="193" t="inlineStr">
        <is>
          <t>n</t>
        </is>
      </c>
      <c r="J28" s="193" t="inlineStr">
        <is>
          <t>OPC 40450-1 Section 11.1 CU-06</t>
        </is>
      </c>
      <c r="K28" s="193" t="n"/>
    </row>
    <row r="29" s="132">
      <c r="A29" s="186" t="n"/>
      <c r="B29" s="186" t="n"/>
      <c r="C29" s="187" t="n">
        <v>1</v>
      </c>
      <c r="D29" s="186" t="inlineStr">
        <is>
          <t>Read Classification from any available result on the server.</t>
        </is>
      </c>
      <c r="E29" s="186" t="inlineStr">
        <is>
          <t>Server claims this Conformance Unit; no additional runtime setup is needed for this step.</t>
        </is>
      </c>
      <c r="F29" s="186" t="inlineStr">
        <is>
          <t>Classification is not 0 for any completed result. Values in 1..7.</t>
        </is>
      </c>
      <c r="G29" s="188" t="inlineStr">
        <is>
          <t>Good</t>
        </is>
      </c>
      <c r="H29" s="187" t="n"/>
      <c r="I29" s="186" t="n"/>
      <c r="J29" s="203" t="inlineStr">
        <is>
          <t>OPC 40450-1 Section 10.1</t>
        </is>
      </c>
      <c r="K29" s="186" t="inlineStr">
        <is>
          <t>Requirement source: OPC 40450-1 Table 208 - Classification 0=UNDEFINED not for production.</t>
        </is>
      </c>
    </row>
    <row r="30" ht="20" customHeight="1" s="132">
      <c r="A30" s="191" t="inlineStr">
        <is>
          <t>n</t>
        </is>
      </c>
      <c r="B30" s="191" t="n">
        <v>5</v>
      </c>
      <c r="C30" s="191" t="n">
        <v>0</v>
      </c>
      <c r="D30" s="192" t="inlineStr">
        <is>
          <t>Verify Classification is Byte type not String or Int32</t>
        </is>
      </c>
      <c r="E30" s="193" t="n"/>
      <c r="F30" s="193" t="n"/>
      <c r="G30" s="193" t="n"/>
      <c r="H30" s="193" t="n"/>
      <c r="I30" s="193" t="inlineStr">
        <is>
          <t>n</t>
        </is>
      </c>
      <c r="J30" s="193" t="inlineStr">
        <is>
          <t>OPC 40450-1 Section 11.1 CU-06</t>
        </is>
      </c>
      <c r="K30" s="193" t="n"/>
    </row>
    <row r="31" s="132">
      <c r="A31" s="183" t="n"/>
      <c r="B31" s="183" t="n"/>
      <c r="C31" s="184" t="n">
        <v>1</v>
      </c>
      <c r="D31" s="183" t="inlineStr">
        <is>
          <t>Read DataType attribute of Classification node.</t>
        </is>
      </c>
      <c r="E31" s="183" t="inlineStr">
        <is>
          <t>Server claims this Conformance Unit; no additional runtime setup is needed for this step.</t>
        </is>
      </c>
      <c r="F31" s="183" t="inlineStr">
        <is>
          <t>DataType is Byte (i=3). Not String, not Int32.</t>
        </is>
      </c>
      <c r="G31" s="185" t="inlineStr">
        <is>
          <t>Good</t>
        </is>
      </c>
      <c r="H31" s="184" t="n"/>
      <c r="I31" s="183" t="n"/>
      <c r="J31" s="202" t="inlineStr">
        <is>
          <t>OPC 40450-1 Section 10.1</t>
        </is>
      </c>
      <c r="K31" s="183" t="inlineStr">
        <is>
          <t>Requirement source: OPC 40450-1 Table 208 - Classification is Byte.</t>
        </is>
      </c>
    </row>
    <row r="32" ht="20" customHeight="1" s="132">
      <c r="A32" s="191" t="inlineStr">
        <is>
          <t>n</t>
        </is>
      </c>
      <c r="B32" s="191" t="n">
        <v>6</v>
      </c>
      <c r="C32" s="191" t="n">
        <v>0</v>
      </c>
      <c r="D32" s="192" t="inlineStr">
        <is>
          <t>Verify SINGLE_RESULT(1) ResultContent[0] is JoiningResultDataType</t>
        </is>
      </c>
      <c r="E32" s="193" t="n"/>
      <c r="F32" s="193" t="n"/>
      <c r="G32" s="193" t="n"/>
      <c r="H32" s="193" t="n"/>
      <c r="I32" s="193" t="inlineStr">
        <is>
          <t>n</t>
        </is>
      </c>
      <c r="J32" s="193" t="inlineStr">
        <is>
          <t>OPC 40450-1 Section 11.1 CU-06</t>
        </is>
      </c>
      <c r="K32" s="193" t="n"/>
    </row>
    <row r="33" s="132">
      <c r="A33" s="186" t="n"/>
      <c r="B33" s="186" t="n"/>
      <c r="C33" s="187" t="n">
        <v>1</v>
      </c>
      <c r="D33" s="186" t="inlineStr">
        <is>
          <t>Read result with Classification=1. Inspect ResultContent encoding.</t>
        </is>
      </c>
      <c r="E33" s="186" t="inlineStr">
        <is>
          <t>Server claims this Conformance Unit; no additional runtime setup is needed for this step.</t>
        </is>
      </c>
      <c r="F33" s="186" t="inlineStr">
        <is>
          <t>ResultContent contains exactly one payload entry decoded as JoiningResultDataType. It is not a nested ResultDataType child result.</t>
        </is>
      </c>
      <c r="G33" s="188" t="inlineStr">
        <is>
          <t>Good</t>
        </is>
      </c>
      <c r="H33" s="187" t="n"/>
      <c r="I33" s="186" t="n"/>
      <c r="J33" s="203" t="inlineStr">
        <is>
          <t>OPC 40450-1 Section 10.1</t>
        </is>
      </c>
      <c r="K33" s="186" t="inlineStr">
        <is>
          <t>Requirement source: OPC 40450-1 Section 10.1 - SINGLE_RESULT is one JoiningResultDataType.</t>
        </is>
      </c>
    </row>
    <row r="34" ht="20" customHeight="1" s="132">
      <c r="A34" s="191" t="inlineStr">
        <is>
          <t>n</t>
        </is>
      </c>
      <c r="B34" s="191" t="n">
        <v>7</v>
      </c>
      <c r="C34" s="191" t="n">
        <v>0</v>
      </c>
      <c r="D34" s="192" t="inlineStr">
        <is>
          <t>Verify Classification value 255 is not accepted</t>
        </is>
      </c>
      <c r="E34" s="193" t="n"/>
      <c r="F34" s="193" t="n"/>
      <c r="G34" s="193" t="n"/>
      <c r="H34" s="193" t="n"/>
      <c r="I34" s="193" t="inlineStr">
        <is>
          <t>n</t>
        </is>
      </c>
      <c r="J34" s="193" t="inlineStr">
        <is>
          <t>OPC 40450-1 Section 11.1 CU-06</t>
        </is>
      </c>
      <c r="K34" s="193" t="n"/>
    </row>
    <row r="35" s="132">
      <c r="A35" s="183" t="n"/>
      <c r="B35" s="183" t="n"/>
      <c r="C35" s="184" t="n">
        <v>1</v>
      </c>
      <c r="D35" s="183" t="inlineStr">
        <is>
          <t>Attempt to write Classification=255 to a result variable.</t>
        </is>
      </c>
      <c r="E35" s="183" t="inlineStr">
        <is>
          <t>Server claims this Conformance Unit; no additional runtime setup is needed for this step.</t>
        </is>
      </c>
      <c r="F35" s="183" t="inlineStr">
        <is>
          <t>Write Service returns Good at service level. OperationResults contains Bad_OutOfRange. Classification unchanged.</t>
        </is>
      </c>
      <c r="G35" s="194" t="inlineStr">
        <is>
          <t>Good</t>
        </is>
      </c>
      <c r="H35" s="184" t="inlineStr">
        <is>
          <t>Bad_OutOfRange</t>
        </is>
      </c>
      <c r="I35" s="183" t="n"/>
      <c r="J35" s="202" t="inlineStr">
        <is>
          <t>OPC 40450-1 Section 10.1</t>
        </is>
      </c>
      <c r="K35" s="183" t="inlineStr">
        <is>
          <t>Requirement source: OPC 40450-1 Table 208 - Valid range 0-7.</t>
        </is>
      </c>
    </row>
  </sheetData>
  <mergeCells count="3">
    <mergeCell ref="C2:K2"/>
    <mergeCell ref="A1:K1"/>
    <mergeCell ref="A2:B2"/>
  </mergeCells>
  <pageMargins left="0.7" right="0.7" top="0.75" bottom="0.75" header="0.3" footer="0.3"/>
</worksheet>
</file>

<file path=xl/worksheets/sheet13.xml><?xml version="1.0" encoding="utf-8"?>
<worksheet xmlns="http://schemas.openxmlformats.org/spreadsheetml/2006/main">
  <sheetPr codeName="Sheet7">
    <tabColor rgb="002E75B6"/>
    <outlinePr summaryBelow="1" summaryRight="1"/>
    <pageSetUpPr/>
  </sheetPr>
  <dimension ref="A1:K4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CU-07 IJT Basic Result – OPC 40450-1 Section 10.1 (mandatory MetaData fields)</t>
        </is>
      </c>
      <c r="B1" s="197" t="n"/>
      <c r="C1" s="197" t="n"/>
      <c r="D1" s="197" t="n"/>
      <c r="E1" s="197" t="n"/>
      <c r="F1" s="197" t="n"/>
      <c r="G1" s="197" t="n"/>
      <c r="H1" s="197" t="n"/>
      <c r="I1" s="197" t="n"/>
      <c r="J1" s="197" t="n"/>
      <c r="K1" s="198" t="n"/>
    </row>
    <row r="2" ht="22" customHeight="1" s="132">
      <c r="A2" s="159">
        <f>HYPERLINK("#Home!A1","⌂ Home")</f>
        <v/>
      </c>
      <c r="B2" s="141" t="n"/>
      <c r="C2" s="179" t="inlineStr">
        <is>
          <t>CU-07 IJT Basic Result – OPC 40450-1 Section 10.1 (mandatory MetaData fields)</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JoiningResultMetaDataType structure in the TypeSystem</t>
        </is>
      </c>
      <c r="E4" s="182" t="n"/>
      <c r="F4" s="182" t="n"/>
      <c r="G4" s="182" t="n"/>
      <c r="H4" s="182" t="n"/>
      <c r="I4" s="182" t="inlineStr">
        <is>
          <t>n</t>
        </is>
      </c>
      <c r="J4" s="182" t="inlineStr">
        <is>
          <t>OPC 40450-1 Section 11.1 CU-07</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t>
        </is>
      </c>
      <c r="E5" s="183" t="inlineStr">
        <is>
          <t>Server accessible.</t>
        </is>
      </c>
      <c r="F5" s="183" t="inlineStr">
        <is>
          <t>JoiningResultMetaDataType is found with NodeClass = DataType.</t>
        </is>
      </c>
      <c r="G5" s="185" t="inlineStr">
        <is>
          <t>Good</t>
        </is>
      </c>
      <c r="H5" s="185" t="inlineStr">
        <is>
          <t>Good</t>
        </is>
      </c>
      <c r="I5" s="183" t="n"/>
      <c r="J5" s="183" t="inlineStr">
        <is>
          <t>OPC 40450-1 Section 10.1 Table 209</t>
        </is>
      </c>
      <c r="K5" s="183" t="n"/>
    </row>
    <row r="6" s="132">
      <c r="A6" s="183" t="n"/>
      <c r="B6" s="183" t="n"/>
      <c r="C6" s="184" t="n">
        <v>2</v>
      </c>
      <c r="D6" s="183" t="inlineStr">
        <is>
          <t>Follow HasSubtype inverse Reference to verify the supertype.</t>
        </is>
      </c>
      <c r="E6" s="183" t="inlineStr">
        <is>
          <t>JoiningResultMetaDataType found.</t>
        </is>
      </c>
      <c r="F6" s="183" t="inlineStr">
        <is>
          <t>JoiningResultMetaDataType is a subtype of 5:ResultMetaDataType (OPC 40001-101).</t>
        </is>
      </c>
      <c r="G6" s="185" t="inlineStr">
        <is>
          <t>Good</t>
        </is>
      </c>
      <c r="H6" s="185" t="inlineStr">
        <is>
          <t>Good</t>
        </is>
      </c>
      <c r="I6" s="183" t="n"/>
      <c r="J6" s="183" t="inlineStr">
        <is>
          <t>OPC 40450-1 Section 10.1 Table 209</t>
        </is>
      </c>
      <c r="K6" s="183" t="n"/>
    </row>
    <row r="7" ht="20" customHeight="1" s="132">
      <c r="A7" s="180" t="inlineStr">
        <is>
          <t>y</t>
        </is>
      </c>
      <c r="B7" s="180" t="n">
        <v>2</v>
      </c>
      <c r="C7" s="180" t="n">
        <v>0</v>
      </c>
      <c r="D7" s="181" t="inlineStr">
        <is>
          <t>Verify mandatory field ResultId in a received Result</t>
        </is>
      </c>
      <c r="E7" s="182" t="n"/>
      <c r="F7" s="182" t="n"/>
      <c r="G7" s="182" t="n"/>
      <c r="H7" s="182" t="n"/>
      <c r="I7" s="182" t="inlineStr">
        <is>
          <t>n</t>
        </is>
      </c>
      <c r="J7" s="182" t="inlineStr">
        <is>
          <t>OPC 40450-1 Section 11.1 CU-07</t>
        </is>
      </c>
      <c r="K7" s="182" t="n"/>
    </row>
    <row r="8" s="132">
      <c r="A8" s="186" t="n"/>
      <c r="B8" s="186" t="n"/>
      <c r="C8" s="187" t="n">
        <v>1</v>
      </c>
      <c r="D8" s="186" t="inlineStr">
        <is>
          <t>Receive a result via JoiningSystemResultReadyEventType event. Read Result.ResultMetaData.ResultId.</t>
        </is>
      </c>
      <c r="E8" s="186" t="inlineStr">
        <is>
          <t>OPC UA subscription with MonitoredItem for JoiningSystemResultReadyEventType created. Joining operation triggered.</t>
        </is>
      </c>
      <c r="F8" s="186" t="inlineStr">
        <is>
          <t>ResultId is present (non-null). DataType = TrimmedString (String with no leading/trailing whitespace). Value is non-empty.</t>
        </is>
      </c>
      <c r="G8" s="188" t="inlineStr">
        <is>
          <t>Good</t>
        </is>
      </c>
      <c r="H8" s="188" t="inlineStr">
        <is>
          <t>Good</t>
        </is>
      </c>
      <c r="I8" s="186" t="n"/>
      <c r="J8" s="186" t="inlineStr">
        <is>
          <t>OPC 40450-1 Section 10.1 / OPC 40001-101</t>
        </is>
      </c>
      <c r="K8" s="186" t="inlineStr">
        <is>
          <t>ResultId is defined in 5:ResultMetaDataType.</t>
        </is>
      </c>
    </row>
    <row r="9" s="132">
      <c r="A9" s="186" t="n"/>
      <c r="B9" s="186" t="n"/>
      <c r="C9" s="187" t="n">
        <v>2</v>
      </c>
      <c r="D9" s="186" t="inlineStr">
        <is>
          <t>From the result received in step 1, verify Result.ResultMetaData.ResultId is a non-empty TrimmedString that is unique across all observed ResultDataType values.</t>
        </is>
      </c>
      <c r="E9" s="186" t="inlineStr">
        <is>
          <t>ResultId obtained from event.</t>
        </is>
      </c>
      <c r="F9" s="186" t="inlineStr">
        <is>
          <t>ResultId is non-empty, is a valid TrimmedString, and is unique across all observed ResultDataType values.</t>
        </is>
      </c>
      <c r="G9" s="188" t="inlineStr">
        <is>
          <t>Good</t>
        </is>
      </c>
      <c r="H9" s="188" t="inlineStr">
        <is>
          <t>Good</t>
        </is>
      </c>
      <c r="I9" s="186" t="n"/>
      <c r="J9" s="186" t="inlineStr">
        <is>
          <t>OPC 40450-1 Section 7.5</t>
        </is>
      </c>
      <c r="K9" s="186" t="n"/>
    </row>
    <row r="10" ht="20" customHeight="1" s="132">
      <c r="A10" s="180" t="inlineStr">
        <is>
          <t>y</t>
        </is>
      </c>
      <c r="B10" s="180" t="n">
        <v>3</v>
      </c>
      <c r="C10" s="180" t="n">
        <v>0</v>
      </c>
      <c r="D10" s="181" t="inlineStr">
        <is>
          <t>Verify mandatory field Classification in a received Result</t>
        </is>
      </c>
      <c r="E10" s="182" t="n"/>
      <c r="F10" s="182" t="n"/>
      <c r="G10" s="182" t="n"/>
      <c r="H10" s="182" t="n"/>
      <c r="I10" s="182" t="inlineStr">
        <is>
          <t>n</t>
        </is>
      </c>
      <c r="J10" s="182" t="inlineStr">
        <is>
          <t>OPC 40450-1 Section 11.1 CU-07</t>
        </is>
      </c>
      <c r="K10" s="182" t="n"/>
    </row>
    <row r="11" s="132">
      <c r="A11" s="183" t="n"/>
      <c r="B11" s="183" t="n"/>
      <c r="C11" s="184" t="n">
        <v>1</v>
      </c>
      <c r="D11" s="183" t="inlineStr">
        <is>
          <t>From a received result, read Result.ResultMetaData.Classification.</t>
        </is>
      </c>
      <c r="E11" s="183" t="inlineStr">
        <is>
          <t>Result received.</t>
        </is>
      </c>
      <c r="F11" s="183" t="inlineStr">
        <is>
          <t>Classification is present. Value is a valid Byte in range 1-7 (SINGLE_RESULT through TEXT_RESULT). For a basic single result, Classification = 1.</t>
        </is>
      </c>
      <c r="G11" s="185" t="inlineStr">
        <is>
          <t>Good</t>
        </is>
      </c>
      <c r="H11" s="185" t="inlineStr">
        <is>
          <t>Good</t>
        </is>
      </c>
      <c r="I11" s="183" t="n"/>
      <c r="J11" s="183" t="inlineStr">
        <is>
          <t>OPC 40450-1 Section 10.1 Table 208</t>
        </is>
      </c>
      <c r="K11" s="183" t="n"/>
    </row>
    <row r="12" ht="20" customHeight="1" s="132">
      <c r="A12" s="180" t="inlineStr">
        <is>
          <t>y</t>
        </is>
      </c>
      <c r="B12" s="180" t="n">
        <v>4</v>
      </c>
      <c r="C12" s="180" t="n">
        <v>0</v>
      </c>
      <c r="D12" s="181" t="inlineStr">
        <is>
          <t>Verify mandatory field IsSimulated in a received Result</t>
        </is>
      </c>
      <c r="E12" s="182" t="n"/>
      <c r="F12" s="182" t="n"/>
      <c r="G12" s="182" t="n"/>
      <c r="H12" s="182" t="n"/>
      <c r="I12" s="182" t="inlineStr">
        <is>
          <t>n</t>
        </is>
      </c>
      <c r="J12" s="182" t="inlineStr">
        <is>
          <t>OPC 40450-1 Section 11.1 CU-07</t>
        </is>
      </c>
      <c r="K12" s="182" t="n"/>
    </row>
    <row r="13" s="132">
      <c r="A13" s="186" t="n"/>
      <c r="B13" s="186" t="n"/>
      <c r="C13" s="187" t="n">
        <v>1</v>
      </c>
      <c r="D13" s="186" t="inlineStr">
        <is>
          <t>From a received result, read Result.ResultMetaData.IsSimulated.</t>
        </is>
      </c>
      <c r="E13" s="186" t="inlineStr">
        <is>
          <t>Result received.</t>
        </is>
      </c>
      <c r="F13" s="186" t="inlineStr">
        <is>
          <t>IsSimulated is present. DataType = Boolean. Value is either True (simulated/test run) or False (real production run).</t>
        </is>
      </c>
      <c r="G13" s="188" t="inlineStr">
        <is>
          <t>Good</t>
        </is>
      </c>
      <c r="H13" s="188" t="inlineStr">
        <is>
          <t>Good</t>
        </is>
      </c>
      <c r="I13" s="186" t="n"/>
      <c r="J13" s="186" t="inlineStr">
        <is>
          <t>OPC 40450-1 Section 10.1 / OPC 40001-101</t>
        </is>
      </c>
      <c r="K13" s="186" t="inlineStr">
        <is>
          <t>Defined in 5:ResultMetaDataType.</t>
        </is>
      </c>
    </row>
    <row r="14" ht="20" customHeight="1" s="132">
      <c r="A14" s="180" t="inlineStr">
        <is>
          <t>y</t>
        </is>
      </c>
      <c r="B14" s="180" t="n">
        <v>5</v>
      </c>
      <c r="C14" s="180" t="n">
        <v>0</v>
      </c>
      <c r="D14" s="181" t="inlineStr">
        <is>
          <t>Verify mandatory field IsPartial in a received Result</t>
        </is>
      </c>
      <c r="E14" s="182" t="n"/>
      <c r="F14" s="182" t="n"/>
      <c r="G14" s="182" t="n"/>
      <c r="H14" s="182" t="n"/>
      <c r="I14" s="182" t="inlineStr">
        <is>
          <t>n</t>
        </is>
      </c>
      <c r="J14" s="182" t="inlineStr">
        <is>
          <t>OPC 40450-1 Section 11.1 CU-07</t>
        </is>
      </c>
      <c r="K14" s="182" t="n"/>
    </row>
    <row r="15" s="132">
      <c r="A15" s="183" t="n"/>
      <c r="B15" s="183" t="n"/>
      <c r="C15" s="184" t="n">
        <v>1</v>
      </c>
      <c r="D15" s="183" t="inlineStr">
        <is>
          <t>From a received result, read Result.ResultMetaData.IsPartial.</t>
        </is>
      </c>
      <c r="E15" s="183" t="inlineStr">
        <is>
          <t>Result received.</t>
        </is>
      </c>
      <c r="F15" s="183" t="inlineStr">
        <is>
          <t>IsPartial is present. DataType = Boolean. For a completed final result, IsPartial = False.</t>
        </is>
      </c>
      <c r="G15" s="185" t="inlineStr">
        <is>
          <t>Good</t>
        </is>
      </c>
      <c r="H15" s="185" t="inlineStr">
        <is>
          <t>Good</t>
        </is>
      </c>
      <c r="I15" s="183" t="n"/>
      <c r="J15" s="183" t="inlineStr">
        <is>
          <t>OPC 40450-1 Section 10.1 / OPC 40001-101</t>
        </is>
      </c>
      <c r="K15" s="183" t="n"/>
    </row>
    <row r="16" ht="20" customHeight="1" s="132">
      <c r="A16" s="180" t="inlineStr">
        <is>
          <t>y</t>
        </is>
      </c>
      <c r="B16" s="180" t="n">
        <v>6</v>
      </c>
      <c r="C16" s="180" t="n">
        <v>0</v>
      </c>
      <c r="D16" s="181" t="inlineStr">
        <is>
          <t>Verify mandatory field ResultEvaluation in a received Result</t>
        </is>
      </c>
      <c r="E16" s="182" t="n"/>
      <c r="F16" s="182" t="n"/>
      <c r="G16" s="182" t="n"/>
      <c r="H16" s="182" t="n"/>
      <c r="I16" s="182" t="inlineStr">
        <is>
          <t>n</t>
        </is>
      </c>
      <c r="J16" s="182" t="inlineStr">
        <is>
          <t>OPC 40450-1 Section 11.1 CU-07</t>
        </is>
      </c>
      <c r="K16" s="182" t="n"/>
    </row>
    <row r="17" s="132">
      <c r="A17" s="186" t="n"/>
      <c r="B17" s="186" t="n"/>
      <c r="C17" s="187" t="n">
        <v>1</v>
      </c>
      <c r="D17" s="186" t="inlineStr">
        <is>
          <t>From a received result, read Result.ResultMetaData.ResultEvaluation.</t>
        </is>
      </c>
      <c r="E17" s="186" t="inlineStr">
        <is>
          <t>Result received.</t>
        </is>
      </c>
      <c r="F17" s="186" t="inlineStr">
        <is>
          <t>ResultEvaluation is present. DataType = 5:ResultEvaluationEnum. Value is one of: Undefined(0), OK(1), NotOK(2), NotDecidable(3). No value outside 0-3 is valid.</t>
        </is>
      </c>
      <c r="G17" s="188" t="inlineStr">
        <is>
          <t>Good</t>
        </is>
      </c>
      <c r="H17" s="188" t="inlineStr">
        <is>
          <t>Good</t>
        </is>
      </c>
      <c r="I17" s="186" t="n"/>
      <c r="J17" s="186" t="inlineStr">
        <is>
          <t>OPC 40450-1 Section 10.1 / OPC 40001-101</t>
        </is>
      </c>
      <c r="K17" s="186" t="n"/>
    </row>
    <row r="18" s="132">
      <c r="A18" s="186" t="n"/>
      <c r="B18" s="186" t="n"/>
      <c r="C18" s="187" t="n">
        <v>2</v>
      </c>
      <c r="D18" s="186" t="inlineStr">
        <is>
          <t>Verify ResultEvaluation = OK for a nominally successful tightening and = NotOK for a result that violated program limits (if both are available from the device).</t>
        </is>
      </c>
      <c r="E18" s="186" t="inlineStr">
        <is>
          <t>Device configured with test programs; one OK, one NotOK result available.</t>
        </is>
      </c>
      <c r="F18" s="186" t="inlineStr">
        <is>
          <t>OK result has ResultEvaluation = 1. NotOK result has ResultEvaluation = 2.</t>
        </is>
      </c>
      <c r="G18" s="188" t="inlineStr">
        <is>
          <t>Good</t>
        </is>
      </c>
      <c r="H18" s="188" t="inlineStr">
        <is>
          <t>Good</t>
        </is>
      </c>
      <c r="I18" s="186" t="n"/>
      <c r="J18" s="186" t="inlineStr">
        <is>
          <t>OPC 40450-1 Section 10.1 / Annex C</t>
        </is>
      </c>
      <c r="K18" s="186" t="n"/>
    </row>
    <row r="19" ht="20" customHeight="1" s="132">
      <c r="A19" s="180" t="inlineStr">
        <is>
          <t>y</t>
        </is>
      </c>
      <c r="B19" s="180" t="n">
        <v>7</v>
      </c>
      <c r="C19" s="180" t="n">
        <v>0</v>
      </c>
      <c r="D19" s="181" t="inlineStr">
        <is>
          <t>Verify mandatory field JoiningTechnology in a received Result (IJT-specific)</t>
        </is>
      </c>
      <c r="E19" s="182" t="n"/>
      <c r="F19" s="182" t="n"/>
      <c r="G19" s="182" t="n"/>
      <c r="H19" s="182" t="n"/>
      <c r="I19" s="182" t="inlineStr">
        <is>
          <t>n</t>
        </is>
      </c>
      <c r="J19" s="182" t="inlineStr">
        <is>
          <t>OPC 40450-1 Section 11.1 CU-07</t>
        </is>
      </c>
      <c r="K19" s="182" t="n"/>
    </row>
    <row r="20" s="132">
      <c r="A20" s="183" t="n"/>
      <c r="B20" s="183" t="n"/>
      <c r="C20" s="184" t="n">
        <v>1</v>
      </c>
      <c r="D20" s="183" t="inlineStr">
        <is>
          <t>From a received result, read Result.ResultMetaData.JoiningTechnology.</t>
        </is>
      </c>
      <c r="E20" s="183" t="inlineStr">
        <is>
          <t>Result received.</t>
        </is>
      </c>
      <c r="F20" s="183" t="inlineStr">
        <is>
          <t>JoiningTechnology is present. DataType = LocalizedText. Value may be empty LocalizedText or a human-readable text identifying the technology (e.g. "Tightening", "Gluing", "Riveting").</t>
        </is>
      </c>
      <c r="G20" s="185" t="inlineStr">
        <is>
          <t>Good</t>
        </is>
      </c>
      <c r="H20" s="185" t="inlineStr">
        <is>
          <t>Good</t>
        </is>
      </c>
      <c r="I20" s="183" t="n"/>
      <c r="J20" s="183" t="inlineStr">
        <is>
          <t>OPC 40450-1 Section 10.1 Table 208</t>
        </is>
      </c>
      <c r="K20" s="183" t="n"/>
    </row>
    <row r="21" ht="20" customHeight="1" s="132">
      <c r="A21" s="180" t="inlineStr">
        <is>
          <t>y</t>
        </is>
      </c>
      <c r="B21" s="180" t="n">
        <v>8</v>
      </c>
      <c r="C21" s="180" t="n">
        <v>0</v>
      </c>
      <c r="D21" s="181" t="inlineStr">
        <is>
          <t>Verify mandatory field ResultState in a received Result</t>
        </is>
      </c>
      <c r="E21" s="182" t="n"/>
      <c r="F21" s="182" t="n"/>
      <c r="G21" s="182" t="n"/>
      <c r="H21" s="182" t="n"/>
      <c r="I21" s="182" t="inlineStr">
        <is>
          <t>n</t>
        </is>
      </c>
      <c r="J21" s="182" t="inlineStr">
        <is>
          <t>OPC 40450-1 Section 11.1 CU-07</t>
        </is>
      </c>
      <c r="K21" s="182" t="n"/>
    </row>
    <row r="22" s="132">
      <c r="A22" s="186" t="n"/>
      <c r="B22" s="186" t="n"/>
      <c r="C22" s="187" t="n">
        <v>1</v>
      </c>
      <c r="D22" s="186" t="inlineStr">
        <is>
          <t>From a received result, read Result.ResultMetaData.ResultState.</t>
        </is>
      </c>
      <c r="E22" s="186" t="inlineStr">
        <is>
          <t>Result received.</t>
        </is>
      </c>
      <c r="F22" s="186" t="inlineStr">
        <is>
          <t>ResultState is present. Value is a valid state from the ResultState enumeration (e.g. COMPLETED = final result, Processing = partial/in-progress result).</t>
        </is>
      </c>
      <c r="G22" s="188" t="inlineStr">
        <is>
          <t>Good</t>
        </is>
      </c>
      <c r="H22" s="188" t="inlineStr">
        <is>
          <t>Good</t>
        </is>
      </c>
      <c r="I22" s="186" t="n"/>
      <c r="J22" s="186" t="inlineStr">
        <is>
          <t>OPC 40450-1 / OPC 40001-101</t>
        </is>
      </c>
      <c r="K22" s="186" t="n"/>
    </row>
    <row r="23" ht="20" customHeight="1" s="132">
      <c r="A23" s="204" t="inlineStr">
        <is>
          <t>y</t>
        </is>
      </c>
      <c r="B23" s="204" t="n">
        <v>9</v>
      </c>
      <c r="C23" s="204" t="n">
        <v>0</v>
      </c>
      <c r="D23" s="205" t="inlineStr">
        <is>
          <t>Verify mandatory field SequenceNumber in a received Result (IJT-specific)</t>
        </is>
      </c>
      <c r="E23" s="206" t="n"/>
      <c r="F23" s="206" t="n"/>
      <c r="G23" s="206" t="n"/>
      <c r="H23" s="206" t="n"/>
      <c r="I23" s="206" t="inlineStr">
        <is>
          <t>n</t>
        </is>
      </c>
      <c r="J23" s="206" t="inlineStr">
        <is>
          <t>OPC 40450-1 Section 11.1 CU-07</t>
        </is>
      </c>
      <c r="K23" s="206" t="n"/>
    </row>
    <row r="24" s="132">
      <c r="A24" s="183" t="n"/>
      <c r="B24" s="183" t="n"/>
      <c r="C24" s="184" t="n">
        <v>1</v>
      </c>
      <c r="D24" s="183" t="inlineStr">
        <is>
          <t>Trigger three consecutive joining operations. For each, observe the ResultDataType via JoiningSystemResultReadyEventType or ResultManagement/Results/Result and record SequenceNumber.</t>
        </is>
      </c>
      <c r="E24" s="183" t="inlineStr">
        <is>
          <t>Three consecutive joining operations performed.</t>
        </is>
      </c>
      <c r="F24" s="183" t="inlineStr">
        <is>
          <t>SequenceNumber is present in each result. DataType = UInt64. The SequenceNumber increases for each new joining operation (cyclic counter; the server implementation defines the wrap-around).</t>
        </is>
      </c>
      <c r="G24" s="185" t="inlineStr">
        <is>
          <t>Good</t>
        </is>
      </c>
      <c r="H24" s="185" t="inlineStr">
        <is>
          <t>Good</t>
        </is>
      </c>
      <c r="I24" s="183" t="n"/>
      <c r="J24" s="183" t="inlineStr">
        <is>
          <t>OPC 40450-1 Section 10.1 Table 208</t>
        </is>
      </c>
      <c r="K24" s="183" t="inlineStr">
        <is>
          <t>SequenceNumber is cyclic per spec.</t>
        </is>
      </c>
    </row>
    <row r="25" s="132">
      <c r="A25" s="183" t="n"/>
      <c r="B25" s="183" t="n"/>
      <c r="C25" s="184" t="n">
        <v>2</v>
      </c>
      <c r="D25" s="183" t="inlineStr">
        <is>
          <t>Verify SequenceNumber of result N+1 &gt; SequenceNumber of result N (unless wrap-around).</t>
        </is>
      </c>
      <c r="E25" s="183" t="inlineStr">
        <is>
          <t>Three consecutive results available.</t>
        </is>
      </c>
      <c r="F25" s="183" t="inlineStr">
        <is>
          <t>SequenceNumber is monotonically increasing per joining operation within a session (or monotonically increasing globally across restarts up to wrap-around).</t>
        </is>
      </c>
      <c r="G25" s="185" t="inlineStr">
        <is>
          <t>Good</t>
        </is>
      </c>
      <c r="H25" s="185" t="inlineStr">
        <is>
          <t>Good</t>
        </is>
      </c>
      <c r="I25" s="183" t="n"/>
      <c r="J25" s="183" t="inlineStr">
        <is>
          <t>OPC 40450-1 Section 10.1 Table 208</t>
        </is>
      </c>
      <c r="K25" s="183" t="n"/>
    </row>
    <row r="26" ht="20" customHeight="1" s="132">
      <c r="A26" s="180" t="inlineStr">
        <is>
          <t>y</t>
        </is>
      </c>
      <c r="B26" s="180" t="n">
        <v>10</v>
      </c>
      <c r="C26" s="180" t="n">
        <v>0</v>
      </c>
      <c r="D26" s="181" t="inlineStr">
        <is>
          <t>Verify mandatory field CreationTime in a received Result</t>
        </is>
      </c>
      <c r="E26" s="182" t="n"/>
      <c r="F26" s="182" t="n"/>
      <c r="G26" s="182" t="n"/>
      <c r="H26" s="182" t="n"/>
      <c r="I26" s="182" t="inlineStr">
        <is>
          <t>n</t>
        </is>
      </c>
      <c r="J26" s="182" t="inlineStr">
        <is>
          <t>OPC 40450-1 Section 11.1 CU-07</t>
        </is>
      </c>
      <c r="K26" s="182" t="n"/>
    </row>
    <row r="27" s="132">
      <c r="A27" s="186" t="n"/>
      <c r="B27" s="186" t="n"/>
      <c r="C27" s="187" t="n">
        <v>1</v>
      </c>
      <c r="D27" s="186" t="inlineStr">
        <is>
          <t>From a received result, read Result.ResultMetaData.CreationTime.</t>
        </is>
      </c>
      <c r="E27" s="186" t="inlineStr">
        <is>
          <t>Result received.</t>
        </is>
      </c>
      <c r="F27" s="186" t="inlineStr">
        <is>
          <t>CreationTime is present. DataType = UtcTime. The value is within a reasonable time window (e.g. within the last 5 minutes of the current UTC clock). Format is ISO 8601 / OPC UA DateTime.</t>
        </is>
      </c>
      <c r="G27" s="188" t="inlineStr">
        <is>
          <t>Good</t>
        </is>
      </c>
      <c r="H27" s="188" t="inlineStr">
        <is>
          <t>Good</t>
        </is>
      </c>
      <c r="I27" s="186" t="n"/>
      <c r="J27" s="186" t="inlineStr">
        <is>
          <t>OPC 40450-1 / OPC 40001-101</t>
        </is>
      </c>
      <c r="K27" s="186" t="n"/>
    </row>
    <row r="28" s="132">
      <c r="A28" s="186" t="n"/>
      <c r="B28" s="186" t="n"/>
      <c r="C28" s="187" t="n">
        <v>2</v>
      </c>
      <c r="D28" s="186" t="inlineStr">
        <is>
          <t>Verify CreationTime is &gt;= the ProcessingTimes.EndTime of the same result.</t>
        </is>
      </c>
      <c r="E28" s="186" t="inlineStr">
        <is>
          <t>Result with CreationTime and ProcessingTimes.EndTime available.</t>
        </is>
      </c>
      <c r="F28" s="186" t="inlineStr">
        <is>
          <t>CreationTime &gt;= ProcessingTimes.EndTime. CreationTime represents when the result was created/published, not when processing started.</t>
        </is>
      </c>
      <c r="G28" s="188" t="inlineStr">
        <is>
          <t>Good</t>
        </is>
      </c>
      <c r="H28" s="188" t="inlineStr">
        <is>
          <t>Good</t>
        </is>
      </c>
      <c r="I28" s="186" t="n"/>
      <c r="J28" s="186" t="inlineStr">
        <is>
          <t>OPC 40450-1 Section 10.1</t>
        </is>
      </c>
      <c r="K28" s="186" t="n"/>
    </row>
    <row r="29" ht="20" customHeight="1" s="132">
      <c r="A29" s="180" t="inlineStr">
        <is>
          <t>n</t>
        </is>
      </c>
      <c r="B29" s="180" t="n">
        <v>11</v>
      </c>
      <c r="C29" s="180" t="n">
        <v>0</v>
      </c>
      <c r="D29" s="181" t="inlineStr">
        <is>
          <t>[Optional helper — cross-path consistency, not content conformance] Verify all 9 mandatory fields are present and consistent across event and GetLatestResult</t>
        </is>
      </c>
      <c r="E29" s="182" t="n"/>
      <c r="F29" s="182" t="n"/>
      <c r="G29" s="182" t="n"/>
      <c r="H29" s="182" t="n"/>
      <c r="I29" s="182" t="inlineStr">
        <is>
          <t>n</t>
        </is>
      </c>
      <c r="J29" s="182" t="inlineStr">
        <is>
          <t>OPC 40450-1 Section 11.1 CU-07</t>
        </is>
      </c>
      <c r="K29" s="182" t="n"/>
    </row>
    <row r="30" s="132">
      <c r="A30" s="183" t="n"/>
      <c r="B30" s="183" t="n"/>
      <c r="C30" s="184" t="n">
        <v>1</v>
      </c>
      <c r="D30" s="183" t="inlineStr">
        <is>
          <t>[Optional helper — cross-path consistency] Subscribe to JoiningSystemResultReadyEventType. After receiving an event for a result, call GetLatestResult to retrieve the same result.</t>
        </is>
      </c>
      <c r="E30" s="183" t="inlineStr">
        <is>
          <t>Optional helper precondition: Both event subscription and GetLatestResult available.</t>
        </is>
      </c>
      <c r="F30" s="183" t="inlineStr">
        <is>
          <t>Optional helper expected result: The event Result.ResultMetaData contains all 9 mandatory fields. GetLatestResult returns the same result with matching ResultId, Classification, IsSimulated, IsPartial, ResultEvaluation, JoiningTechnology, ResultState, SequenceNumber, CreationTime.</t>
        </is>
      </c>
      <c r="G30" s="185" t="inlineStr">
        <is>
          <t>Good</t>
        </is>
      </c>
      <c r="H30" s="185" t="inlineStr">
        <is>
          <t>Good</t>
        </is>
      </c>
      <c r="I30" s="183" t="n"/>
      <c r="J30" s="183" t="inlineStr">
        <is>
          <t>OPC 40450-1 Section 7.5 / Section 10.1</t>
        </is>
      </c>
      <c r="K30" s="183" t="inlineStr">
        <is>
          <t>Fields must be consistent between event payload and stored result.</t>
        </is>
      </c>
    </row>
    <row r="31" ht="20" customHeight="1" s="132">
      <c r="A31" s="189" t="inlineStr">
        <is>
          <t>Error Test Cases</t>
        </is>
      </c>
      <c r="B31" s="190" t="n"/>
      <c r="C31" s="190" t="n"/>
      <c r="D31" s="190" t="n"/>
      <c r="E31" s="190" t="n"/>
      <c r="F31" s="190" t="n"/>
      <c r="G31" s="190" t="n"/>
      <c r="H31" s="190" t="n"/>
      <c r="I31" s="190" t="n"/>
      <c r="J31" s="190" t="n"/>
      <c r="K31" s="190" t="n"/>
    </row>
    <row r="32" ht="20" customHeight="1" s="132">
      <c r="A32" s="191" t="inlineStr">
        <is>
          <t>n</t>
        </is>
      </c>
      <c r="B32" s="191" t="n">
        <v>1</v>
      </c>
      <c r="C32" s="191" t="n">
        <v>0</v>
      </c>
      <c r="D32" s="192" t="inlineStr">
        <is>
          <t>Verify ResultMetaData fields are server-managed via the Result Variable</t>
        </is>
      </c>
      <c r="E32" s="193" t="n"/>
      <c r="F32" s="193" t="n"/>
      <c r="G32" s="193" t="n"/>
      <c r="H32" s="193" t="n"/>
      <c r="I32" s="193" t="inlineStr">
        <is>
          <t>n</t>
        </is>
      </c>
      <c r="J32" s="193" t="inlineStr">
        <is>
          <t>OPC 40450-1 Section 11.1 CU-07</t>
        </is>
      </c>
      <c r="K32" s="193" t="n"/>
    </row>
    <row r="33" s="132">
      <c r="A33" s="183" t="n"/>
      <c r="B33" s="183" t="n"/>
      <c r="C33" s="184" t="n">
        <v>1</v>
      </c>
      <c r="D33" s="183" t="inlineStr">
        <is>
          <t>Locate a JoiningSystemResultType Variable in the Results folder. Attempt to Write a new value to ResultMetaData.ResultId sub-variable.</t>
        </is>
      </c>
      <c r="E33" s="183" t="inlineStr">
        <is>
          <t>JoiningSystemResultType Variable accessible.</t>
        </is>
      </c>
      <c r="F33" s="183" t="inlineStr">
        <is>
          <t>Write Service returns Bad_NotWritable. ResultId is not changed on subsequent Read.</t>
        </is>
      </c>
      <c r="G33" s="185" t="inlineStr">
        <is>
          <t>Good</t>
        </is>
      </c>
      <c r="H33" s="194" t="inlineStr">
        <is>
          <t>Bad_NotWritable</t>
        </is>
      </c>
      <c r="I33" s="183" t="n"/>
      <c r="J33" s="183" t="inlineStr">
        <is>
          <t>OPC 10000-4 Section 5.10.4</t>
        </is>
      </c>
      <c r="K33" s="183" t="n"/>
    </row>
    <row r="34" ht="20" customHeight="1" s="132">
      <c r="A34" s="191" t="inlineStr">
        <is>
          <t>n</t>
        </is>
      </c>
      <c r="B34" s="191" t="n">
        <v>2</v>
      </c>
      <c r="C34" s="191" t="n">
        <v>0</v>
      </c>
      <c r="D34" s="192" t="inlineStr">
        <is>
          <t>Verify server returns Bad_TypeMismatch when client writes a String value to the SequenceNumber field</t>
        </is>
      </c>
      <c r="E34" s="193" t="n"/>
      <c r="F34" s="193" t="n"/>
      <c r="G34" s="193" t="n"/>
      <c r="H34" s="193" t="n"/>
      <c r="I34" s="193" t="inlineStr">
        <is>
          <t>n</t>
        </is>
      </c>
      <c r="J34" s="193" t="inlineStr">
        <is>
          <t>OPC 40450-1 Section 11.1 CU-07</t>
        </is>
      </c>
      <c r="K34" s="193" t="n"/>
    </row>
    <row r="35" s="132">
      <c r="A35" s="186" t="n"/>
      <c r="B35" s="186" t="n"/>
      <c r="C35" s="187" t="n">
        <v>1</v>
      </c>
      <c r="D35" s="186" t="inlineStr">
        <is>
          <t>Attempt to Write a String value to the SequenceNumber field.</t>
        </is>
      </c>
      <c r="E35" s="186" t="inlineStr">
        <is>
          <t>At least 5 results available.</t>
        </is>
      </c>
      <c r="F35" s="186" t="inlineStr">
        <is>
          <t>Write Service returns Good at service level. OperationResults contains Bad_TypeMismatch or Bad_NotWritable, depending on effective access. SequenceNumber value is unchanged.</t>
        </is>
      </c>
      <c r="G35" s="188" t="inlineStr">
        <is>
          <t>Good</t>
        </is>
      </c>
      <c r="H35" s="188" t="inlineStr">
        <is>
          <t>Bad_TypeMismatch or Bad_NotWritable</t>
        </is>
      </c>
      <c r="I35" s="186" t="n"/>
      <c r="J35" s="186" t="inlineStr">
        <is>
          <t>OPC 40450-1 Section 10.1 Table 208</t>
        </is>
      </c>
      <c r="K35" s="186" t="inlineStr">
        <is>
          <t>SequenceNumber wraps only after reaching UInt64 max.</t>
        </is>
      </c>
    </row>
    <row r="36" ht="20" customHeight="1" s="132">
      <c r="A36" s="191" t="inlineStr">
        <is>
          <t>n</t>
        </is>
      </c>
      <c r="B36" s="191" t="n">
        <v>3</v>
      </c>
      <c r="C36" s="191" t="n">
        <v>0</v>
      </c>
      <c r="D36" s="192" t="inlineStr">
        <is>
          <t>Verify ResultId is non-null and non-empty for all results</t>
        </is>
      </c>
      <c r="E36" s="193" t="n"/>
      <c r="F36" s="193" t="n"/>
      <c r="G36" s="193" t="n"/>
      <c r="H36" s="193" t="n"/>
      <c r="I36" s="193" t="inlineStr">
        <is>
          <t>n</t>
        </is>
      </c>
      <c r="J36" s="193" t="inlineStr">
        <is>
          <t>OPC 40450-1 Section 11.1 CU-07</t>
        </is>
      </c>
      <c r="K36" s="193" t="n"/>
    </row>
    <row r="37" s="132">
      <c r="A37" s="183" t="n"/>
      <c r="B37" s="183" t="n"/>
      <c r="C37" s="184" t="n">
        <v>1</v>
      </c>
      <c r="D37" s="183" t="inlineStr">
        <is>
          <t>Read ResultId from every available result on the server.</t>
        </is>
      </c>
      <c r="E37" s="183" t="inlineStr">
        <is>
          <t>Server claims this Conformance Unit; no additional runtime setup is needed for this step.</t>
        </is>
      </c>
      <c r="F37" s="183" t="inlineStr">
        <is>
          <t>All ResultId values are non-null, non-empty.</t>
        </is>
      </c>
      <c r="G37" s="185" t="inlineStr">
        <is>
          <t>Good</t>
        </is>
      </c>
      <c r="H37" s="184" t="n"/>
      <c r="I37" s="183" t="n"/>
      <c r="J37" s="202" t="inlineStr">
        <is>
          <t>OPC 40450-1 Section 10.1</t>
        </is>
      </c>
      <c r="K37" s="183" t="inlineStr">
        <is>
          <t>Requirement source: OPC 40450-1 Section 10.1 - ResultId is Mandatory TrimmedString.</t>
        </is>
      </c>
    </row>
    <row r="38" ht="20" customHeight="1" s="132">
      <c r="A38" s="191" t="inlineStr">
        <is>
          <t>n</t>
        </is>
      </c>
      <c r="B38" s="191" t="n">
        <v>4</v>
      </c>
      <c r="C38" s="191" t="n">
        <v>0</v>
      </c>
      <c r="D38" s="192" t="inlineStr">
        <is>
          <t>Verify SequenceNumber is monotonically increasing</t>
        </is>
      </c>
      <c r="E38" s="193" t="n"/>
      <c r="F38" s="193" t="n"/>
      <c r="G38" s="193" t="n"/>
      <c r="H38" s="193" t="n"/>
      <c r="I38" s="193" t="inlineStr">
        <is>
          <t>n</t>
        </is>
      </c>
      <c r="J38" s="193" t="inlineStr">
        <is>
          <t>OPC 40450-1 Section 11.1 CU-07</t>
        </is>
      </c>
      <c r="K38" s="193" t="n"/>
    </row>
    <row r="39" s="132">
      <c r="A39" s="186" t="n"/>
      <c r="B39" s="186" t="n"/>
      <c r="C39" s="187" t="n">
        <v>1</v>
      </c>
      <c r="D39" s="186" t="inlineStr">
        <is>
          <t>Record SequenceNumber from multiple consecutive results. Compare ordering.</t>
        </is>
      </c>
      <c r="E39" s="186" t="inlineStr">
        <is>
          <t>Server claims this Conformance Unit; no additional runtime setup is needed for this step.</t>
        </is>
      </c>
      <c r="F39" s="186" t="inlineStr">
        <is>
          <t>Each subsequent result has greater SequenceNumber.</t>
        </is>
      </c>
      <c r="G39" s="188" t="inlineStr">
        <is>
          <t>Good</t>
        </is>
      </c>
      <c r="H39" s="187" t="n"/>
      <c r="I39" s="186" t="n"/>
      <c r="J39" s="203" t="inlineStr">
        <is>
          <t>OPC 40450-1 Section 10.1</t>
        </is>
      </c>
      <c r="K39" s="186" t="inlineStr">
        <is>
          <t>Requirement source: OPC 40450-1 Section 10.1 - SequenceNumber must increase monotonically.</t>
        </is>
      </c>
    </row>
    <row r="40" ht="20" customHeight="1" s="132">
      <c r="A40" s="191" t="inlineStr">
        <is>
          <t>n</t>
        </is>
      </c>
      <c r="B40" s="191" t="n">
        <v>5</v>
      </c>
      <c r="C40" s="191" t="n">
        <v>0</v>
      </c>
      <c r="D40" s="192" t="inlineStr">
        <is>
          <t>Verify IsSimulated field defaults to False when not explicitly set</t>
        </is>
      </c>
      <c r="E40" s="193" t="n"/>
      <c r="F40" s="193" t="n"/>
      <c r="G40" s="193" t="n"/>
      <c r="H40" s="193" t="n"/>
      <c r="I40" s="193" t="inlineStr">
        <is>
          <t>n</t>
        </is>
      </c>
      <c r="J40" s="193" t="inlineStr">
        <is>
          <t>OPC 40450-1 Section 11.1 CU-07</t>
        </is>
      </c>
      <c r="K40" s="193" t="n"/>
    </row>
    <row r="41" s="132">
      <c r="A41" s="183" t="n"/>
      <c r="B41" s="183" t="n"/>
      <c r="C41" s="184" t="n">
        <v>1</v>
      </c>
      <c r="D41" s="183" t="inlineStr">
        <is>
          <t>Read IsSimulated from a standard (non-simulated) result.</t>
        </is>
      </c>
      <c r="E41" s="183" t="inlineStr">
        <is>
          <t>Server claims this Conformance Unit; no additional runtime setup is needed for this step.</t>
        </is>
      </c>
      <c r="F41" s="183" t="inlineStr">
        <is>
          <t>IsSimulated is Boolean with value False.</t>
        </is>
      </c>
      <c r="G41" s="185" t="inlineStr">
        <is>
          <t>Good</t>
        </is>
      </c>
      <c r="H41" s="184" t="n"/>
      <c r="I41" s="183" t="n"/>
      <c r="J41" s="202" t="inlineStr">
        <is>
          <t>OPC 40450-1 Section 10.1</t>
        </is>
      </c>
      <c r="K41" s="183" t="inlineStr">
        <is>
          <t>Requirement source: OPC 40450-1 Section 10.1 - IsSimulated is Boolean, default False.</t>
        </is>
      </c>
    </row>
    <row r="42" ht="20" customHeight="1" s="132">
      <c r="A42" s="191" t="inlineStr">
        <is>
          <t>n</t>
        </is>
      </c>
      <c r="B42" s="191" t="n">
        <v>6</v>
      </c>
      <c r="C42" s="191" t="n">
        <v>0</v>
      </c>
      <c r="D42" s="192" t="inlineStr">
        <is>
          <t>Verify ResultEvaluation matches sub-field evaluations</t>
        </is>
      </c>
      <c r="E42" s="193" t="n"/>
      <c r="F42" s="193" t="n"/>
      <c r="G42" s="193" t="n"/>
      <c r="H42" s="193" t="n"/>
      <c r="I42" s="193" t="inlineStr">
        <is>
          <t>n</t>
        </is>
      </c>
      <c r="J42" s="193" t="inlineStr">
        <is>
          <t>OPC 40450-1 Section 11.1 CU-07</t>
        </is>
      </c>
      <c r="K42" s="193" t="n"/>
    </row>
    <row r="43" s="132">
      <c r="A43" s="186" t="n"/>
      <c r="B43" s="186" t="n"/>
      <c r="C43" s="187" t="n">
        <v>1</v>
      </c>
      <c r="D43" s="186" t="inlineStr">
        <is>
          <t>Read result with StepResults. If any StepResult NotOK, check parent ResultEvaluation.</t>
        </is>
      </c>
      <c r="E43" s="186" t="inlineStr">
        <is>
          <t>Server claims this Conformance Unit; no additional runtime setup is needed for this step.</t>
        </is>
      </c>
      <c r="F43" s="186" t="inlineStr">
        <is>
          <t>If any StepResult is NotOK, parent ResultEvaluation is NotOK or Undefined.</t>
        </is>
      </c>
      <c r="G43" s="188" t="inlineStr">
        <is>
          <t>Good</t>
        </is>
      </c>
      <c r="H43" s="187" t="n"/>
      <c r="I43" s="186" t="n"/>
      <c r="J43" s="203" t="inlineStr">
        <is>
          <t>OPC 40450-1 Section 10.1</t>
        </is>
      </c>
      <c r="K43" s="186" t="inlineStr">
        <is>
          <t>Requirement source: OPC 40450-1 Section 10.1 - ResultEvaluation reflects worst-case sub-evaluation.</t>
        </is>
      </c>
    </row>
  </sheetData>
  <mergeCells count="3">
    <mergeCell ref="C2:K2"/>
    <mergeCell ref="A1:K1"/>
    <mergeCell ref="A2:B2"/>
  </mergeCells>
  <pageMargins left="0.7" right="0.7" top="0.75" bottom="0.75" header="0.3" footer="0.3"/>
</worksheet>
</file>

<file path=xl/worksheets/sheet14.xml><?xml version="1.0" encoding="utf-8"?>
<worksheet xmlns="http://schemas.openxmlformats.org/spreadsheetml/2006/main">
  <sheetPr codeName="Sheet8">
    <tabColor rgb="002E75B6"/>
    <outlinePr summaryBelow="1" summaryRight="1"/>
    <pageSetUpPr/>
  </sheetPr>
  <dimension ref="A1:K35"/>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CU-08 IJT Result Additional Data – OPC 40450-1 Section 10.1</t>
        </is>
      </c>
      <c r="B1" s="197" t="n"/>
      <c r="C1" s="197" t="n"/>
      <c r="D1" s="197" t="n"/>
      <c r="E1" s="197" t="n"/>
      <c r="F1" s="197" t="n"/>
      <c r="G1" s="197" t="n"/>
      <c r="H1" s="197" t="n"/>
      <c r="I1" s="197" t="n"/>
      <c r="J1" s="197" t="n"/>
      <c r="K1" s="198" t="n"/>
    </row>
    <row r="2" ht="22" customHeight="1" s="132">
      <c r="A2" s="159">
        <f>HYPERLINK("#Home!A1","⌂ Home")</f>
        <v/>
      </c>
      <c r="B2" s="141" t="n"/>
      <c r="C2" s="179" t="inlineStr">
        <is>
          <t>CU-08 IJT Result Additional Data – OPC 40450-1 Section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optional field Name when present in Result.ResultMetaData</t>
        </is>
      </c>
      <c r="E4" s="182" t="n"/>
      <c r="F4" s="182" t="n"/>
      <c r="G4" s="182" t="n"/>
      <c r="H4" s="182" t="n"/>
      <c r="I4" s="182" t="inlineStr">
        <is>
          <t>n</t>
        </is>
      </c>
      <c r="J4" s="182" t="inlineStr">
        <is>
          <t>OPC 40450-1 Section 11.1 CU-08</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From a received result where Name is populated, read Result.ResultMetaData.Name.</t>
        </is>
      </c>
      <c r="E5" s="183" t="inlineStr">
        <is>
          <t>Result with non-null Name field available (device configured to populate this field).</t>
        </is>
      </c>
      <c r="F5" s="183" t="inlineStr">
        <is>
          <t>Name is present. DataType = String. Value is non-null, non-empty and describes the result (e.g. "Job Result", "Batch Result", program name).</t>
        </is>
      </c>
      <c r="G5" s="185" t="inlineStr">
        <is>
          <t>Good</t>
        </is>
      </c>
      <c r="H5" s="185" t="inlineStr">
        <is>
          <t>Good</t>
        </is>
      </c>
      <c r="I5" s="183" t="n"/>
      <c r="J5" s="183" t="inlineStr">
        <is>
          <t>OPC 40450-1 Section 10.1 Table 208</t>
        </is>
      </c>
      <c r="K5" s="183" t="n"/>
    </row>
    <row r="6" ht="20" customHeight="1" s="132">
      <c r="A6" s="180" t="inlineStr">
        <is>
          <t>y</t>
        </is>
      </c>
      <c r="B6" s="180" t="n">
        <v>2</v>
      </c>
      <c r="C6" s="180" t="n">
        <v>0</v>
      </c>
      <c r="D6" s="181" t="inlineStr">
        <is>
          <t>Verify optional field Description when present in Result.ResultMetaData</t>
        </is>
      </c>
      <c r="E6" s="182" t="n"/>
      <c r="F6" s="182" t="n"/>
      <c r="G6" s="182" t="n"/>
      <c r="H6" s="182" t="n"/>
      <c r="I6" s="182" t="inlineStr">
        <is>
          <t>n</t>
        </is>
      </c>
      <c r="J6" s="182" t="inlineStr">
        <is>
          <t>OPC 40450-1 Section 11.1 CU-08</t>
        </is>
      </c>
      <c r="K6" s="182" t="n"/>
    </row>
    <row r="7" s="132">
      <c r="A7" s="186" t="n"/>
      <c r="B7" s="186" t="n"/>
      <c r="C7" s="187" t="n">
        <v>1</v>
      </c>
      <c r="D7" s="186" t="inlineStr">
        <is>
          <t>From a received result where Description is populated, read Result.ResultMetaData.Description.</t>
        </is>
      </c>
      <c r="E7" s="186" t="inlineStr">
        <is>
          <t>Result with non-null Description available.</t>
        </is>
      </c>
      <c r="F7" s="186" t="inlineStr">
        <is>
          <t>Description is present. DataType = LocalizedText. Value contains additional human-readable information about the result context.</t>
        </is>
      </c>
      <c r="G7" s="188" t="inlineStr">
        <is>
          <t>Good</t>
        </is>
      </c>
      <c r="H7" s="188" t="inlineStr">
        <is>
          <t>Good</t>
        </is>
      </c>
      <c r="I7" s="186" t="n"/>
      <c r="J7" s="186" t="inlineStr">
        <is>
          <t>OPC 40450-1 Section 10.1 Table 208</t>
        </is>
      </c>
      <c r="K7" s="186" t="n"/>
    </row>
    <row r="8" ht="20" customHeight="1" s="132">
      <c r="A8" s="180" t="inlineStr">
        <is>
          <t>y</t>
        </is>
      </c>
      <c r="B8" s="180" t="n">
        <v>3</v>
      </c>
      <c r="C8" s="180" t="n">
        <v>0</v>
      </c>
      <c r="D8" s="181" t="inlineStr">
        <is>
          <t>Verify optional field ResultEvaluationCode when present</t>
        </is>
      </c>
      <c r="E8" s="182" t="n"/>
      <c r="F8" s="182" t="n"/>
      <c r="G8" s="182" t="n"/>
      <c r="H8" s="182" t="n"/>
      <c r="I8" s="182" t="inlineStr">
        <is>
          <t>n</t>
        </is>
      </c>
      <c r="J8" s="182" t="inlineStr">
        <is>
          <t>OPC 40450-1 Section 11.1 CU-08</t>
        </is>
      </c>
      <c r="K8" s="182" t="n"/>
    </row>
    <row r="9" s="132">
      <c r="A9" s="183" t="n"/>
      <c r="B9" s="183" t="n"/>
      <c r="C9" s="184" t="n">
        <v>1</v>
      </c>
      <c r="D9" s="183" t="inlineStr">
        <is>
          <t>From a received NotOK result where ResultEvaluationCode is populated, read Result.ResultMetaData.ResultEvaluationCode.</t>
        </is>
      </c>
      <c r="E9" s="183" t="inlineStr">
        <is>
          <t>NotOK result with non-null ResultEvaluationCode available (device configured to send evaluation codes).</t>
        </is>
      </c>
      <c r="F9" s="183" t="inlineStr">
        <is>
          <t>ResultEvaluationCode is present. DataType = Int64. Value is a vendor-specific code providing more detail on ResultEvaluation. No OPC-defined fixed enum or fixed range is asserted.</t>
        </is>
      </c>
      <c r="G9" s="185" t="inlineStr">
        <is>
          <t>Good</t>
        </is>
      </c>
      <c r="H9" s="185" t="inlineStr">
        <is>
          <t>Good</t>
        </is>
      </c>
      <c r="I9" s="183" t="n"/>
      <c r="J9" s="183" t="inlineStr">
        <is>
          <t>OPC 40450-1 Section 10.1 / OPC 40001-101</t>
        </is>
      </c>
      <c r="K9" s="183" t="inlineStr">
        <is>
          <t>Defined in 5:ResultMetaDataType.</t>
        </is>
      </c>
    </row>
    <row r="10" ht="20" customHeight="1" s="132">
      <c r="A10" s="180" t="inlineStr">
        <is>
          <t>y</t>
        </is>
      </c>
      <c r="B10" s="180" t="n">
        <v>4</v>
      </c>
      <c r="C10" s="180" t="n">
        <v>0</v>
      </c>
      <c r="D10" s="181" t="inlineStr">
        <is>
          <t>Verify optional field ResultEvaluationDetails when present</t>
        </is>
      </c>
      <c r="E10" s="182" t="n"/>
      <c r="F10" s="182" t="n"/>
      <c r="G10" s="182" t="n"/>
      <c r="H10" s="182" t="n"/>
      <c r="I10" s="182" t="inlineStr">
        <is>
          <t>n</t>
        </is>
      </c>
      <c r="J10" s="182" t="inlineStr">
        <is>
          <t>OPC 40450-1 Section 11.1 CU-08</t>
        </is>
      </c>
      <c r="K10" s="182" t="n"/>
    </row>
    <row r="11" s="132">
      <c r="A11" s="186" t="n"/>
      <c r="B11" s="186" t="n"/>
      <c r="C11" s="187" t="n">
        <v>1</v>
      </c>
      <c r="D11" s="186" t="inlineStr">
        <is>
          <t>From a received NotOK result where ResultEvaluationDetails is populated, read Result.ResultMetaData.ResultEvaluationDetails.</t>
        </is>
      </c>
      <c r="E11" s="186" t="inlineStr">
        <is>
          <t>Result with non-null ResultEvaluationDetails available.</t>
        </is>
      </c>
      <c r="F11" s="186" t="inlineStr">
        <is>
          <t>ResultEvaluationDetails is present. DataType = LocalizedText. Value is a human-readable description of why the result was evaluated as NotOK.</t>
        </is>
      </c>
      <c r="G11" s="188" t="inlineStr">
        <is>
          <t>Good</t>
        </is>
      </c>
      <c r="H11" s="188" t="inlineStr">
        <is>
          <t>Good</t>
        </is>
      </c>
      <c r="I11" s="186" t="n"/>
      <c r="J11" s="186" t="inlineStr">
        <is>
          <t>OPC 40450-1 Section 10.1 / OPC 40001-101</t>
        </is>
      </c>
      <c r="K11" s="186" t="n"/>
    </row>
    <row r="12" ht="20" customHeight="1" s="132">
      <c r="A12" s="180" t="inlineStr">
        <is>
          <t>y</t>
        </is>
      </c>
      <c r="B12" s="180" t="n">
        <v>5</v>
      </c>
      <c r="C12" s="180" t="n">
        <v>0</v>
      </c>
      <c r="D12" s="181" t="inlineStr">
        <is>
          <t>Verify optional field AssemblyType and its valid enum values</t>
        </is>
      </c>
      <c r="E12" s="182" t="n"/>
      <c r="F12" s="182" t="n"/>
      <c r="G12" s="182" t="n"/>
      <c r="H12" s="182" t="n"/>
      <c r="I12" s="182" t="inlineStr">
        <is>
          <t>n</t>
        </is>
      </c>
      <c r="J12" s="182" t="inlineStr">
        <is>
          <t>OPC 40450-1 Section 11.1 CU-08</t>
        </is>
      </c>
      <c r="K12" s="182" t="n"/>
    </row>
    <row r="13" s="132">
      <c r="A13" s="183" t="n"/>
      <c r="B13" s="183" t="n"/>
      <c r="C13" s="184" t="n">
        <v>1</v>
      </c>
      <c r="D13" s="183" t="inlineStr">
        <is>
          <t>From a received result where AssemblyType is populated, read Result.ResultMetaData.AssemblyType.</t>
        </is>
      </c>
      <c r="E13" s="183" t="inlineStr">
        <is>
          <t>Result with non-null AssemblyType available.</t>
        </is>
      </c>
      <c r="F13" s="183" t="inlineStr">
        <is>
          <t>AssemblyType is present. DataType = Byte. Value is one of: 0 = UNDEFINED, 1 = ASSEMBLED, 2 = DISASSEMBLED. No value outside 0-2 is returned.</t>
        </is>
      </c>
      <c r="G13" s="185" t="inlineStr">
        <is>
          <t>Good</t>
        </is>
      </c>
      <c r="H13" s="185" t="inlineStr">
        <is>
          <t>Good</t>
        </is>
      </c>
      <c r="I13" s="183" t="n"/>
      <c r="J13" s="183" t="inlineStr">
        <is>
          <t>OPC 40450-1 Section 10.1 Table 208</t>
        </is>
      </c>
      <c r="K13" s="183" t="n"/>
    </row>
    <row r="14" s="132">
      <c r="A14" s="183" t="n"/>
      <c r="B14" s="183" t="n"/>
      <c r="C14" s="184" t="n">
        <v>2</v>
      </c>
      <c r="D14" s="183" t="inlineStr">
        <is>
          <t>Trigger an assembly operation and verify AssemblyType = 1 (ASSEMBLED). If supported, trigger a disassembly and verify AssemblyType = 2 (DISASSEMBLED).</t>
        </is>
      </c>
      <c r="E14" s="183" t="inlineStr">
        <is>
          <t>Device supports assembly and disassembly modes.</t>
        </is>
      </c>
      <c r="F14" s="183" t="inlineStr">
        <is>
          <t>AssemblyType reflects the actual operation type: ASSEMBLED for tightening, DISASSEMBLED for loosening/removal.</t>
        </is>
      </c>
      <c r="G14" s="185" t="inlineStr">
        <is>
          <t>Good</t>
        </is>
      </c>
      <c r="H14" s="185" t="inlineStr">
        <is>
          <t>Good</t>
        </is>
      </c>
      <c r="I14" s="183" t="n"/>
      <c r="J14" s="183" t="inlineStr">
        <is>
          <t>OPC 40450-1 Section 10.1 Table 208</t>
        </is>
      </c>
      <c r="K14" s="183" t="n"/>
    </row>
    <row r="15" ht="20" customHeight="1" s="132">
      <c r="A15" s="180" t="inlineStr">
        <is>
          <t>y</t>
        </is>
      </c>
      <c r="B15" s="180" t="n">
        <v>6</v>
      </c>
      <c r="C15" s="180" t="n">
        <v>0</v>
      </c>
      <c r="D15" s="181" t="inlineStr">
        <is>
          <t>Verify optional field OperationMode and its valid enum values</t>
        </is>
      </c>
      <c r="E15" s="182" t="n"/>
      <c r="F15" s="182" t="n"/>
      <c r="G15" s="182" t="n"/>
      <c r="H15" s="182" t="n"/>
      <c r="I15" s="182" t="inlineStr">
        <is>
          <t>n</t>
        </is>
      </c>
      <c r="J15" s="182" t="inlineStr">
        <is>
          <t>OPC 40450-1 Section 11.1 CU-08</t>
        </is>
      </c>
      <c r="K15" s="182" t="n"/>
    </row>
    <row r="16" s="132">
      <c r="A16" s="186" t="n"/>
      <c r="B16" s="186" t="n"/>
      <c r="C16" s="187" t="n">
        <v>1</v>
      </c>
      <c r="D16" s="186" t="inlineStr">
        <is>
          <t>From a received result where OperationMode is populated, read Result.ResultMetaData.OperationMode.</t>
        </is>
      </c>
      <c r="E16" s="186" t="inlineStr">
        <is>
          <t>Result with non-null OperationMode available.</t>
        </is>
      </c>
      <c r="F16" s="186" t="inlineStr">
        <is>
          <t>OperationMode is present. DataType = Byte. Value is one of: 0 = UNDEFINED, 1 = AUTOMATIC, 2 = MANUAL. No value outside 0-2 is returned.</t>
        </is>
      </c>
      <c r="G16" s="188" t="inlineStr">
        <is>
          <t>Good</t>
        </is>
      </c>
      <c r="H16" s="188" t="inlineStr">
        <is>
          <t>Good</t>
        </is>
      </c>
      <c r="I16" s="186" t="n"/>
      <c r="J16" s="186" t="inlineStr">
        <is>
          <t>OPC 40450-1 Section 10.1 Table 208</t>
        </is>
      </c>
      <c r="K16" s="186" t="n"/>
    </row>
    <row r="17" s="132">
      <c r="A17" s="186" t="n"/>
      <c r="B17" s="186" t="n"/>
      <c r="C17" s="187" t="n">
        <v>2</v>
      </c>
      <c r="D17" s="186" t="inlineStr">
        <is>
          <t>Trigger a joining operation in AUTOMATIC mode and verify OperationMode = 1. If device supports manual mode, trigger in MANUAL mode and verify OperationMode = 2.</t>
        </is>
      </c>
      <c r="E17" s="186" t="inlineStr">
        <is>
          <t>Device supports AUTOMATIC (and optionally MANUAL) operation modes.</t>
        </is>
      </c>
      <c r="F17" s="186" t="inlineStr">
        <is>
          <t>OperationMode accurately reflects how the joining operation was performed.</t>
        </is>
      </c>
      <c r="G17" s="188" t="inlineStr">
        <is>
          <t>Good</t>
        </is>
      </c>
      <c r="H17" s="188" t="inlineStr">
        <is>
          <t>Good</t>
        </is>
      </c>
      <c r="I17" s="186" t="n"/>
      <c r="J17" s="186" t="inlineStr">
        <is>
          <t>OPC 40450-1 Section 10.1 Table 208</t>
        </is>
      </c>
      <c r="K17" s="186" t="inlineStr">
        <is>
          <t>AUTOMATIC = robot/fixture triggered; MANUAL = operator triggered.</t>
        </is>
      </c>
    </row>
    <row r="18" ht="20" customHeight="1" s="132">
      <c r="A18" s="180" t="inlineStr">
        <is>
          <t>n</t>
        </is>
      </c>
      <c r="B18" s="180" t="n">
        <v>7</v>
      </c>
      <c r="C18" s="180" t="n">
        <v>0</v>
      </c>
      <c r="D18" s="181" t="inlineStr">
        <is>
          <t>[Optional helper — cross-path consistency, not content conformance] Verify additional data fields are consistent between event payload and GetResultById</t>
        </is>
      </c>
      <c r="E18" s="182" t="n"/>
      <c r="F18" s="182" t="n"/>
      <c r="G18" s="182" t="n"/>
      <c r="H18" s="182" t="n"/>
      <c r="I18" s="182" t="inlineStr">
        <is>
          <t>n</t>
        </is>
      </c>
      <c r="J18" s="182" t="inlineStr">
        <is>
          <t>OPC 40450-1 Section 11.1 CU-08</t>
        </is>
      </c>
      <c r="K18" s="182" t="n"/>
    </row>
    <row r="19" s="132">
      <c r="A19" s="183" t="n"/>
      <c r="B19" s="183" t="n"/>
      <c r="C19" s="184" t="n">
        <v>1</v>
      </c>
      <c r="D19" s="183" t="inlineStr">
        <is>
          <t>[Optional helper — cross-path consistency] Subscribe to JoiningSystemResultReadyEventType. After receiving an event, call GetResultById with the event ResultId. Compare Name, Description, AssemblyType, OperationMode between event and stored result.</t>
        </is>
      </c>
      <c r="E19" s="183" t="inlineStr">
        <is>
          <t>Optional helper precondition: Event subscription active; GetResultById method available.</t>
        </is>
      </c>
      <c r="F19" s="183" t="inlineStr">
        <is>
          <t>Optional helper expected result: The values of Name, Description, AssemblyType and OperationMode match exactly between the event payload and the GetResultById response. No field diverges.</t>
        </is>
      </c>
      <c r="G19" s="185" t="inlineStr">
        <is>
          <t>Good</t>
        </is>
      </c>
      <c r="H19" s="185" t="inlineStr">
        <is>
          <t>Good</t>
        </is>
      </c>
      <c r="I19" s="183" t="n"/>
      <c r="J19" s="183" t="inlineStr">
        <is>
          <t>OPC 40450-1 Section 7.5 / Section 10.1</t>
        </is>
      </c>
      <c r="K19" s="183" t="n"/>
    </row>
    <row r="20" ht="20" customHeight="1" s="132">
      <c r="A20" s="180" t="inlineStr">
        <is>
          <t>y</t>
        </is>
      </c>
      <c r="B20" s="180" t="n">
        <v>8</v>
      </c>
      <c r="C20" s="180" t="n">
        <v>0</v>
      </c>
      <c r="D20" s="181" t="inlineStr">
        <is>
          <t>Verify result is still valid when optional additional data fields are absent</t>
        </is>
      </c>
      <c r="E20" s="182" t="n"/>
      <c r="F20" s="182" t="n"/>
      <c r="G20" s="182" t="n"/>
      <c r="H20" s="182" t="n"/>
      <c r="I20" s="182" t="inlineStr">
        <is>
          <t>n</t>
        </is>
      </c>
      <c r="J20" s="182" t="inlineStr">
        <is>
          <t>OPC 40450-1 Section 11.1 CU-08</t>
        </is>
      </c>
      <c r="K20" s="182" t="n"/>
    </row>
    <row r="21" s="132">
      <c r="A21" s="186" t="n"/>
      <c r="B21" s="186" t="n"/>
      <c r="C21" s="187" t="n">
        <v>1</v>
      </c>
      <c r="D21" s="186" t="inlineStr">
        <is>
          <t>Receive a result from a minimal device that does not populate Name, Description, AssemblyType, OperationMode (fields are absent or null).</t>
        </is>
      </c>
      <c r="E21" s="186" t="inlineStr">
        <is>
          <t>Minimal device available; result received.</t>
        </is>
      </c>
      <c r="F21" s="186" t="inlineStr">
        <is>
          <t>Result is accepted and the 9 mandatory Basic Result fields are still present. Absence of optional fields does not cause a parsing or validation error on the Client side.</t>
        </is>
      </c>
      <c r="G21" s="188" t="inlineStr">
        <is>
          <t>Good</t>
        </is>
      </c>
      <c r="H21" s="188" t="inlineStr">
        <is>
          <t>Good</t>
        </is>
      </c>
      <c r="I21" s="186" t="n"/>
      <c r="J21" s="186" t="inlineStr">
        <is>
          <t>OPC 40450-1 Section 10.1</t>
        </is>
      </c>
      <c r="K21" s="186" t="inlineStr">
        <is>
          <t>Optional fields: absence is valid.</t>
        </is>
      </c>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Verify additional data fields are protected from invalid client writes</t>
        </is>
      </c>
      <c r="E23" s="193" t="n"/>
      <c r="F23" s="193" t="n"/>
      <c r="G23" s="193" t="n"/>
      <c r="H23" s="193" t="n"/>
      <c r="I23" s="193" t="inlineStr">
        <is>
          <t>n</t>
        </is>
      </c>
      <c r="J23" s="193" t="inlineStr">
        <is>
          <t>OPC 40450-1 Section 11.1 CU-08</t>
        </is>
      </c>
      <c r="K23" s="193" t="n"/>
    </row>
    <row r="24" s="132">
      <c r="A24" s="183" t="n"/>
      <c r="B24" s="183" t="n"/>
      <c r="C24" s="184" t="n">
        <v>1</v>
      </c>
      <c r="D24" s="183" t="inlineStr">
        <is>
          <t>Locate a JoiningSystemResultType Variable with a Name sub-variable. Attempt to write a new String to ResultMetaData.Name.</t>
        </is>
      </c>
      <c r="E24" s="183" t="inlineStr">
        <is>
          <t>JoiningSystemResultType Variable with Name sub-variable accessible.</t>
        </is>
      </c>
      <c r="F24" s="183" t="inlineStr">
        <is>
          <t>Write operation returns Bad_NotWritable. Name value unchanged on subsequent Read.</t>
        </is>
      </c>
      <c r="G24" s="185" t="inlineStr">
        <is>
          <t>Good</t>
        </is>
      </c>
      <c r="H24" s="194" t="inlineStr">
        <is>
          <t>Bad_NotWritable</t>
        </is>
      </c>
      <c r="I24" s="183" t="n"/>
      <c r="J24" s="183" t="inlineStr">
        <is>
          <t>OPC 10000-4 Section 5.10.4</t>
        </is>
      </c>
      <c r="K24" s="183" t="n"/>
    </row>
    <row r="25" ht="20" customHeight="1" s="132">
      <c r="A25" s="191" t="inlineStr">
        <is>
          <t>n</t>
        </is>
      </c>
      <c r="B25" s="191" t="n">
        <v>2</v>
      </c>
      <c r="C25" s="191" t="n">
        <v>0</v>
      </c>
      <c r="D25" s="192" t="inlineStr">
        <is>
          <t>Verify server rejects write of invalid DataType to AdditionalResultData field</t>
        </is>
      </c>
      <c r="E25" s="193" t="n"/>
      <c r="F25" s="193" t="n"/>
      <c r="G25" s="193" t="n"/>
      <c r="H25" s="193" t="n"/>
      <c r="I25" s="193" t="inlineStr">
        <is>
          <t>n</t>
        </is>
      </c>
      <c r="J25" s="193" t="inlineStr">
        <is>
          <t>OPC 10000-4 Section 5.10.4 / OPC 40450-1 Section 10.1</t>
        </is>
      </c>
      <c r="K25" s="193" t="n"/>
    </row>
    <row r="26" s="132">
      <c r="A26" s="186" t="n"/>
      <c r="B26" s="186" t="n"/>
      <c r="C26" s="187" t="n">
        <v>1</v>
      </c>
      <c r="D26" s="186" t="inlineStr">
        <is>
          <t>Locate an AdditionalResultData field Variable (e.g. Name of type String). Attempt to Write a Double (Float64) value to it.</t>
        </is>
      </c>
      <c r="E26" s="186" t="inlineStr">
        <is>
          <t>AdditionalResultData Variable accessible. OPC UA session with write access.</t>
        </is>
      </c>
      <c r="F26" s="186" t="inlineStr">
        <is>
          <t>Write Service returns Good at service level. OperationResults contains Bad_TypeMismatch. The AdditionalResultData field value is unchanged.</t>
        </is>
      </c>
      <c r="G26" s="188" t="inlineStr">
        <is>
          <t>Good</t>
        </is>
      </c>
      <c r="H26" s="195" t="inlineStr">
        <is>
          <t>Bad_TypeMismatch</t>
        </is>
      </c>
      <c r="I26" s="186" t="n"/>
      <c r="J26" s="186" t="inlineStr">
        <is>
          <t>OPC 10000-4 Section 5.10.4</t>
        </is>
      </c>
      <c r="K26" s="186" t="inlineStr">
        <is>
          <t>DataType mismatch enforcement is a core OPC UA requirement.</t>
        </is>
      </c>
    </row>
    <row r="27" ht="20" customHeight="1" s="132">
      <c r="A27" s="191" t="inlineStr">
        <is>
          <t>n</t>
        </is>
      </c>
      <c r="B27" s="191" t="n">
        <v>3</v>
      </c>
      <c r="C27" s="191" t="n">
        <v>0</v>
      </c>
      <c r="D27" s="192" t="inlineStr">
        <is>
          <t>Verify ResultEvaluationCode is a valid Int64 vendor-specific value when present</t>
        </is>
      </c>
      <c r="E27" s="193" t="n"/>
      <c r="F27" s="193" t="n"/>
      <c r="G27" s="193" t="n"/>
      <c r="H27" s="193" t="n"/>
      <c r="I27" s="193" t="inlineStr">
        <is>
          <t>n</t>
        </is>
      </c>
      <c r="J27" s="193" t="inlineStr">
        <is>
          <t>OPC 40450-1 Table 209</t>
        </is>
      </c>
      <c r="K27" s="193" t="n"/>
    </row>
    <row r="28" s="132">
      <c r="A28" s="183" t="n"/>
      <c r="B28" s="183" t="n"/>
      <c r="C28" s="184" t="n">
        <v>1</v>
      </c>
      <c r="D28" s="183" t="inlineStr">
        <is>
          <t>Read Result.ResultMetaData.ResultEvaluationCode from a result where the field is populated.</t>
        </is>
      </c>
      <c r="E28" s="183" t="inlineStr">
        <is>
          <t>At least one result with ResultEvaluationCode populated.</t>
        </is>
      </c>
      <c r="F28" s="183" t="inlineStr">
        <is>
          <t>ResultEvaluationCode is an Int64 vendor-specific code. No OPC-defined fixed enum or 0-7 range exists for this field.</t>
        </is>
      </c>
      <c r="G28" s="185" t="inlineStr">
        <is>
          <t>Good</t>
        </is>
      </c>
      <c r="H28" s="185" t="inlineStr">
        <is>
          <t>Good</t>
        </is>
      </c>
      <c r="I28" s="183" t="n"/>
      <c r="J28" s="183" t="inlineStr">
        <is>
          <t>OPC 40450-1 Table 209</t>
        </is>
      </c>
      <c r="K28" s="183" t="n"/>
    </row>
    <row r="29" s="132">
      <c r="A29" s="183" t="n"/>
      <c r="B29" s="183" t="n"/>
      <c r="C29" s="184" t="n">
        <v>2</v>
      </c>
      <c r="D29" s="183" t="inlineStr">
        <is>
          <t>Attempt to Write a String value to ResultEvaluationCode.</t>
        </is>
      </c>
      <c r="E29" s="183" t="inlineStr">
        <is>
          <t>ResultEvaluationCode Variable accessible.</t>
        </is>
      </c>
      <c r="F29" s="183" t="inlineStr">
        <is>
          <t>If the field is writable, the Write operation rejects the wrong DataType with Bad_TypeMismatch and the value remains unchanged. If the field is non-writable, Bad_NotWritable or Bad_UserAccessDenied is acceptable.</t>
        </is>
      </c>
      <c r="G29" s="185" t="inlineStr">
        <is>
          <t>Good</t>
        </is>
      </c>
      <c r="H29" s="194" t="inlineStr">
        <is>
          <t>Bad_TypeMismatch or Bad_NotWritable</t>
        </is>
      </c>
      <c r="I29" s="183" t="n"/>
      <c r="J29" s="183" t="inlineStr">
        <is>
          <t>OPC 40450-1 Table 209 / OPC 10000-4 Section 5.10.4</t>
        </is>
      </c>
      <c r="K29" s="183" t="n"/>
    </row>
    <row r="30" ht="20" customHeight="1" s="132">
      <c r="A30" s="191" t="inlineStr">
        <is>
          <t>n</t>
        </is>
      </c>
      <c r="B30" s="191" t="n">
        <v>4</v>
      </c>
      <c r="C30" s="191" t="n">
        <v>0</v>
      </c>
      <c r="D30" s="192" t="inlineStr">
        <is>
          <t>Verify OperationMode enum values are 0, 1, or 2 only</t>
        </is>
      </c>
      <c r="E30" s="193" t="n"/>
      <c r="F30" s="193" t="n"/>
      <c r="G30" s="193" t="n"/>
      <c r="H30" s="193" t="n"/>
      <c r="I30" s="193" t="inlineStr">
        <is>
          <t>n</t>
        </is>
      </c>
      <c r="J30" s="193" t="inlineStr">
        <is>
          <t>OPC 40450-1 Section 11.1 CU-08</t>
        </is>
      </c>
      <c r="K30" s="193" t="n"/>
    </row>
    <row r="31" s="132">
      <c r="A31" s="186" t="n"/>
      <c r="B31" s="186" t="n"/>
      <c r="C31" s="187" t="n">
        <v>1</v>
      </c>
      <c r="D31" s="186" t="inlineStr">
        <is>
          <t>Read OperationMode from result AdditionalData.</t>
        </is>
      </c>
      <c r="E31" s="203" t="inlineStr">
        <is>
          <t>Server claims this Conformance Unit; no additional runtime setup is needed for this step.</t>
        </is>
      </c>
      <c r="F31" s="186" t="inlineStr">
        <is>
          <t>OperationMode is in {0,1,2}. No out-of-range value.</t>
        </is>
      </c>
      <c r="G31" s="188" t="inlineStr">
        <is>
          <t>Good</t>
        </is>
      </c>
      <c r="H31" s="187" t="n"/>
      <c r="I31" s="186" t="n"/>
      <c r="J31" s="203" t="inlineStr">
        <is>
          <t>OPC 40450-1 Section 10.1</t>
        </is>
      </c>
      <c r="K31" s="186" t="inlineStr">
        <is>
          <t>Requirement source: OPC 40450-1 Table 208 – OperationMode: 0=UNDEFINED, 1=AUTOMATIC, 2=MANUAL.</t>
        </is>
      </c>
    </row>
    <row r="32" ht="20" customHeight="1" s="132">
      <c r="A32" s="191" t="inlineStr">
        <is>
          <t>n</t>
        </is>
      </c>
      <c r="B32" s="191" t="n">
        <v>5</v>
      </c>
      <c r="C32" s="191" t="n">
        <v>0</v>
      </c>
      <c r="D32" s="192" t="inlineStr">
        <is>
          <t>Verify AssemblyType enum values are 0, 1, or 2 only</t>
        </is>
      </c>
      <c r="E32" s="193" t="n"/>
      <c r="F32" s="193" t="n"/>
      <c r="G32" s="193" t="n"/>
      <c r="H32" s="193" t="n"/>
      <c r="I32" s="193" t="inlineStr">
        <is>
          <t>n</t>
        </is>
      </c>
      <c r="J32" s="193" t="inlineStr">
        <is>
          <t>OPC 40450-1 Section 11.1 CU-08</t>
        </is>
      </c>
      <c r="K32" s="193" t="n"/>
    </row>
    <row r="33" s="132">
      <c r="A33" s="183" t="n"/>
      <c r="B33" s="183" t="n"/>
      <c r="C33" s="184" t="n">
        <v>1</v>
      </c>
      <c r="D33" s="183" t="inlineStr">
        <is>
          <t>Read AssemblyType from result AdditionalData.</t>
        </is>
      </c>
      <c r="E33" s="202" t="inlineStr">
        <is>
          <t>Server claims this Conformance Unit; no additional runtime setup is needed for this step.</t>
        </is>
      </c>
      <c r="F33" s="183" t="inlineStr">
        <is>
          <t>AssemblyType is in {0,1,2}.</t>
        </is>
      </c>
      <c r="G33" s="185" t="inlineStr">
        <is>
          <t>Good</t>
        </is>
      </c>
      <c r="H33" s="184" t="n"/>
      <c r="I33" s="183" t="n"/>
      <c r="J33" s="202" t="inlineStr">
        <is>
          <t>OPC 40450-1 Section 10.1</t>
        </is>
      </c>
      <c r="K33" s="183" t="inlineStr">
        <is>
          <t>Requirement source: OPC 40450-1 Table 208 – AssemblyType: 0=UNDEFINED, 1=ASSEMBLED, 2=DISASSEMBLED.</t>
        </is>
      </c>
    </row>
    <row r="34" ht="20" customHeight="1" s="132">
      <c r="A34" s="191" t="inlineStr">
        <is>
          <t>n</t>
        </is>
      </c>
      <c r="B34" s="191" t="n">
        <v>6</v>
      </c>
      <c r="C34" s="191" t="n">
        <v>0</v>
      </c>
      <c r="D34" s="192" t="inlineStr">
        <is>
          <t>Verify ResultEvaluationCode DataType is Int64 and value is vendor-specific</t>
        </is>
      </c>
      <c r="E34" s="193" t="n"/>
      <c r="F34" s="193" t="n"/>
      <c r="G34" s="193" t="n"/>
      <c r="H34" s="193" t="n"/>
      <c r="I34" s="193" t="inlineStr">
        <is>
          <t>n</t>
        </is>
      </c>
      <c r="J34" s="193" t="inlineStr">
        <is>
          <t>OPC 40450-1 Section 11.1 CU-08</t>
        </is>
      </c>
      <c r="K34" s="193" t="n"/>
    </row>
    <row r="35" s="132">
      <c r="A35" s="186" t="n"/>
      <c r="B35" s="186" t="n"/>
      <c r="C35" s="187" t="n">
        <v>1</v>
      </c>
      <c r="D35" s="186" t="inlineStr">
        <is>
          <t>Read Result.ResultMetaData.ResultEvaluationCode from a result with CU-08 data populated.</t>
        </is>
      </c>
      <c r="E35" s="186" t="inlineStr">
        <is>
          <t>Server claims this Conformance Unit; no additional runtime setup is needed for this step.</t>
        </is>
      </c>
      <c r="F35" s="186" t="inlineStr">
        <is>
          <t>ResultEvaluationCode DataType is Int64. Value is a vendor-specific integer. No OPC-defined fixed range or string interpretation is asserted.</t>
        </is>
      </c>
      <c r="G35" s="188" t="inlineStr">
        <is>
          <t>Good</t>
        </is>
      </c>
      <c r="H35" s="187" t="n"/>
      <c r="I35" s="186" t="n"/>
      <c r="J35" s="203" t="inlineStr">
        <is>
          <t>OPC 40450-1 Section 10.1</t>
        </is>
      </c>
      <c r="K35" s="186" t="inlineStr">
        <is>
          <t>Source: OPC 40001-101 Table 29 - ResultEvaluationCode is Int64, vendor-specific.</t>
        </is>
      </c>
    </row>
  </sheetData>
  <mergeCells count="3">
    <mergeCell ref="C2:K2"/>
    <mergeCell ref="A1:K1"/>
    <mergeCell ref="A2:B2"/>
  </mergeCells>
  <pageMargins left="0.7" right="0.7" top="0.75" bottom="0.75" header="0.3" footer="0.3"/>
</worksheet>
</file>

<file path=xl/worksheets/sheet15.xml><?xml version="1.0" encoding="utf-8"?>
<worksheet xmlns="http://schemas.openxmlformats.org/spreadsheetml/2006/main">
  <sheetPr codeName="Sheet30">
    <tabColor rgb="002E75B6"/>
    <outlinePr summaryBelow="1" summaryRight="1"/>
    <pageSetUpPr/>
  </sheetPr>
  <dimension ref="A1:K29"/>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CU-09 IJT Result Extended Meta Data – OPC 40450-1 Section 10.1</t>
        </is>
      </c>
      <c r="B1" s="197" t="n"/>
      <c r="C1" s="197" t="n"/>
      <c r="D1" s="197" t="n"/>
      <c r="E1" s="197" t="n"/>
      <c r="F1" s="197" t="n"/>
      <c r="G1" s="197" t="n"/>
      <c r="H1" s="197" t="n"/>
      <c r="I1" s="197" t="n"/>
      <c r="J1" s="197" t="n"/>
      <c r="K1" s="198" t="n"/>
    </row>
    <row r="2" ht="22" customHeight="1" s="132">
      <c r="A2" s="159">
        <f>HYPERLINK("#Home!A1","⌂ Home")</f>
        <v/>
      </c>
      <c r="B2" s="141" t="n"/>
      <c r="C2" s="179" t="inlineStr">
        <is>
          <t>CU-09 IJT Result Extended Meta Data – OPC 40450-1 Section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ExtendedMetaData field is declared in JoiningResultMetaDataType</t>
        </is>
      </c>
      <c r="E4" s="182" t="n"/>
      <c r="F4" s="182" t="n"/>
      <c r="G4" s="182" t="n"/>
      <c r="H4" s="182" t="n"/>
      <c r="I4" s="182" t="inlineStr">
        <is>
          <t>n</t>
        </is>
      </c>
      <c r="J4" s="182" t="inlineStr">
        <is>
          <t>OPC 40450-1 Section 11.1 CU-09</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or decode JoiningResultMetaDataType structure to find the ExtendedMetaData field.</t>
        </is>
      </c>
      <c r="E5" s="183" t="inlineStr">
        <is>
          <t>JoiningResultMetaDataType found in TypeSystem.</t>
        </is>
      </c>
      <c r="F5" s="183" t="inlineStr">
        <is>
          <t>ExtendedMetaData is present in the type structure. DataType = array of KeyValueDataType (defined as KeyValueDataType[] or ExtensionObject[]). The field is marked Optional.</t>
        </is>
      </c>
      <c r="G5" s="185" t="inlineStr">
        <is>
          <t>Good</t>
        </is>
      </c>
      <c r="H5" s="185" t="inlineStr">
        <is>
          <t>Good</t>
        </is>
      </c>
      <c r="I5" s="183" t="n"/>
      <c r="J5" s="183" t="inlineStr">
        <is>
          <t>OPC 40450-1 Section 10.1 Table 208</t>
        </is>
      </c>
      <c r="K5" s="183" t="n"/>
    </row>
    <row r="6" ht="20" customHeight="1" s="132">
      <c r="A6" s="180" t="inlineStr">
        <is>
          <t>y</t>
        </is>
      </c>
      <c r="B6" s="180" t="n">
        <v>2</v>
      </c>
      <c r="C6" s="180" t="n">
        <v>0</v>
      </c>
      <c r="D6" s="181" t="inlineStr">
        <is>
          <t>Verify ExtendedMetaData array is present and correctly typed in a result</t>
        </is>
      </c>
      <c r="E6" s="182" t="n"/>
      <c r="F6" s="182" t="n"/>
      <c r="G6" s="182" t="n"/>
      <c r="H6" s="182" t="n"/>
      <c r="I6" s="182" t="inlineStr">
        <is>
          <t>n</t>
        </is>
      </c>
      <c r="J6" s="182" t="inlineStr">
        <is>
          <t>OPC 40450-1 Section 11.1 CU-09</t>
        </is>
      </c>
      <c r="K6" s="182" t="n"/>
    </row>
    <row r="7" s="132">
      <c r="A7" s="186" t="n"/>
      <c r="B7" s="186" t="n"/>
      <c r="C7" s="187" t="n">
        <v>1</v>
      </c>
      <c r="D7" s="186" t="inlineStr">
        <is>
          <t>Receive a result from a device configured to populate ExtendedMetaData. Read Result.ResultMetaData.ExtendedMetaData.</t>
        </is>
      </c>
      <c r="E7" s="186" t="inlineStr">
        <is>
          <t>Result with non-empty ExtendedMetaData received.</t>
        </is>
      </c>
      <c r="F7" s="186" t="inlineStr">
        <is>
          <t>ExtendedMetaData is an array. Each element is a KeyValueDataType with at least a Key (String) and a Value (BaseDataType). No element has a null or empty Key.</t>
        </is>
      </c>
      <c r="G7" s="188" t="inlineStr">
        <is>
          <t>Good</t>
        </is>
      </c>
      <c r="H7" s="188" t="inlineStr">
        <is>
          <t>Good</t>
        </is>
      </c>
      <c r="I7" s="186" t="n"/>
      <c r="J7" s="186" t="inlineStr">
        <is>
          <t>OPC 40450-1 Section 10.1 Table 208</t>
        </is>
      </c>
      <c r="K7" s="186" t="inlineStr">
        <is>
          <t>KeyValueDataType: Key (String, non-empty), Value (any BaseDataType).</t>
        </is>
      </c>
    </row>
    <row r="8" s="132">
      <c r="A8" s="186" t="n"/>
      <c r="B8" s="186" t="n"/>
      <c r="C8" s="187" t="n">
        <v>2</v>
      </c>
      <c r="D8" s="186" t="inlineStr">
        <is>
          <t>Verify the Value field of each KeyValueDataType element has a concrete DataType (e.g. String, Int32, Double, Boolean, or LocalizedText).</t>
        </is>
      </c>
      <c r="E8" s="186" t="inlineStr">
        <is>
          <t>ExtendedMetaData array accessible.</t>
        </is>
      </c>
      <c r="F8" s="186" t="inlineStr">
        <is>
          <t>Each Value is encoded as a Variant with a well-defined DataType. No Value is entirely untyped or corrupt.</t>
        </is>
      </c>
      <c r="G8" s="188" t="inlineStr">
        <is>
          <t>Good</t>
        </is>
      </c>
      <c r="H8" s="188" t="inlineStr">
        <is>
          <t>Good</t>
        </is>
      </c>
      <c r="I8" s="186" t="n"/>
      <c r="J8" s="186" t="inlineStr">
        <is>
          <t>OPC 40450-1 Section 10.1</t>
        </is>
      </c>
      <c r="K8" s="186" t="n"/>
    </row>
    <row r="9" ht="20" customHeight="1" s="132">
      <c r="A9" s="180" t="inlineStr">
        <is>
          <t>y</t>
        </is>
      </c>
      <c r="B9" s="180" t="n">
        <v>3</v>
      </c>
      <c r="C9" s="180" t="n">
        <v>0</v>
      </c>
      <c r="D9" s="181" t="inlineStr">
        <is>
          <t>Verify Key uniqueness within a single ExtendedMetaData array</t>
        </is>
      </c>
      <c r="E9" s="182" t="n"/>
      <c r="F9" s="182" t="n"/>
      <c r="G9" s="182" t="n"/>
      <c r="H9" s="182" t="n"/>
      <c r="I9" s="182" t="inlineStr">
        <is>
          <t>n</t>
        </is>
      </c>
      <c r="J9" s="182" t="inlineStr">
        <is>
          <t>OPC 40450-1 Section 11.1 CU-09</t>
        </is>
      </c>
      <c r="K9" s="182" t="n"/>
    </row>
    <row r="10" s="132">
      <c r="A10" s="183" t="n"/>
      <c r="B10" s="183" t="n"/>
      <c r="C10" s="184" t="n">
        <v>1</v>
      </c>
      <c r="D10" s="183" t="inlineStr">
        <is>
          <t>From a result with ExtendedMetaData[] containing multiple entries, check that all Key values are unique within the array.</t>
        </is>
      </c>
      <c r="E10" s="183" t="inlineStr">
        <is>
          <t>Result with ExtendedMetaData[] with at least 3 entries available.</t>
        </is>
      </c>
      <c r="F10" s="183" t="inlineStr">
        <is>
          <t>All Key strings within the ExtendedMetaData array of a single result are unique (case-sensitive comparison). No duplicate Keys are present.</t>
        </is>
      </c>
      <c r="G10" s="185" t="inlineStr">
        <is>
          <t>Good</t>
        </is>
      </c>
      <c r="H10" s="185" t="inlineStr">
        <is>
          <t>Good</t>
        </is>
      </c>
      <c r="I10" s="183" t="n"/>
      <c r="J10" s="183" t="inlineStr">
        <is>
          <t>OPC 40450-1 Section 10.1</t>
        </is>
      </c>
      <c r="K10" s="183" t="inlineStr">
        <is>
          <t>Per OPC UA conventions, key-value maps use unique keys.</t>
        </is>
      </c>
    </row>
    <row r="11" ht="20" customHeight="1" s="132">
      <c r="A11" s="180" t="inlineStr">
        <is>
          <t>y</t>
        </is>
      </c>
      <c r="B11" s="180" t="n">
        <v>4</v>
      </c>
      <c r="C11" s="180" t="n">
        <v>0</v>
      </c>
      <c r="D11" s="181" t="inlineStr">
        <is>
          <t>Verify a result with an empty ExtendedMetaData array is valid</t>
        </is>
      </c>
      <c r="E11" s="182" t="n"/>
      <c r="F11" s="182" t="n"/>
      <c r="G11" s="182" t="n"/>
      <c r="H11" s="182" t="n"/>
      <c r="I11" s="182" t="inlineStr">
        <is>
          <t>n</t>
        </is>
      </c>
      <c r="J11" s="182" t="inlineStr">
        <is>
          <t>OPC 40450-1 Section 11.1 CU-09</t>
        </is>
      </c>
      <c r="K11" s="182" t="n"/>
    </row>
    <row r="12" s="132">
      <c r="A12" s="186" t="n"/>
      <c r="B12" s="186" t="n"/>
      <c r="C12" s="187" t="n">
        <v>1</v>
      </c>
      <c r="D12" s="186" t="inlineStr">
        <is>
          <t>Receive a result where ExtendedMetaData is an empty array (no entries).</t>
        </is>
      </c>
      <c r="E12" s="186" t="inlineStr">
        <is>
          <t>Minimal device result or device configured with no extended metadata.</t>
        </is>
      </c>
      <c r="F12" s="186" t="inlineStr">
        <is>
          <t>Result is valid. ExtendedMetaData = [] (empty array). All mandatory Basic Result fields are still present. No error occurs.</t>
        </is>
      </c>
      <c r="G12" s="188" t="inlineStr">
        <is>
          <t>Good</t>
        </is>
      </c>
      <c r="H12" s="188" t="inlineStr">
        <is>
          <t>Good</t>
        </is>
      </c>
      <c r="I12" s="186" t="n"/>
      <c r="J12" s="186" t="inlineStr">
        <is>
          <t>OPC 40450-1 Section 10.1</t>
        </is>
      </c>
      <c r="K12" s="186" t="inlineStr">
        <is>
          <t>Optional; empty array is valid.</t>
        </is>
      </c>
    </row>
    <row r="13" ht="20" customHeight="1" s="132">
      <c r="A13" s="180" t="inlineStr">
        <is>
          <t>y</t>
        </is>
      </c>
      <c r="B13" s="180" t="n">
        <v>5</v>
      </c>
      <c r="C13" s="180" t="n">
        <v>0</v>
      </c>
      <c r="D13" s="181" t="inlineStr">
        <is>
          <t>Verify vendor-specific extended metadata keys follow a documented naming convention</t>
        </is>
      </c>
      <c r="E13" s="182" t="n"/>
      <c r="F13" s="182" t="n"/>
      <c r="G13" s="182" t="n"/>
      <c r="H13" s="182" t="n"/>
      <c r="I13" s="182" t="inlineStr">
        <is>
          <t>n</t>
        </is>
      </c>
      <c r="J13" s="182" t="inlineStr">
        <is>
          <t>OPC 40450-1 Section 11.1 CU-09</t>
        </is>
      </c>
      <c r="K13" s="182" t="n"/>
    </row>
    <row r="14" s="132">
      <c r="A14" s="183" t="n"/>
      <c r="B14" s="183" t="n"/>
      <c r="C14" s="184" t="n">
        <v>1</v>
      </c>
      <c r="D14" s="183" t="inlineStr">
        <is>
          <t>Inspect the Keys in ExtendedMetaData for any received results. Verify they follow a recognizable naming convention (e.g. vendor namespace prefix such as "VDMA:", "BOSCH:", or a domain-qualified name).</t>
        </is>
      </c>
      <c r="E14" s="183" t="inlineStr">
        <is>
          <t>Results with vendor-specific ExtendedMetaData entries available.</t>
        </is>
      </c>
      <c r="F14" s="183" t="inlineStr">
        <is>
          <t>All Keys in ExtendedMetaData[] are non-null, non-empty Strings with no leading/trailing whitespace (per TrimmedString DataType semantics). No Key is an empty string. Values are non-null ExtensionObjects.</t>
        </is>
      </c>
      <c r="G14" s="185" t="inlineStr">
        <is>
          <t>Good</t>
        </is>
      </c>
      <c r="H14" s="185" t="inlineStr">
        <is>
          <t>Good</t>
        </is>
      </c>
      <c r="I14" s="183" t="n"/>
      <c r="J14" s="183" t="inlineStr">
        <is>
          <t>OPC 40450-1 Section 10.1</t>
        </is>
      </c>
      <c r="K14" s="183" t="inlineStr">
        <is>
          <t>Vendor-specific keys should follow a naming convention to avoid conflicts.</t>
        </is>
      </c>
    </row>
    <row r="15" ht="20" customHeight="1" s="132">
      <c r="A15" s="180" t="inlineStr">
        <is>
          <t>n</t>
        </is>
      </c>
      <c r="B15" s="180" t="n">
        <v>6</v>
      </c>
      <c r="C15" s="180" t="n">
        <v>0</v>
      </c>
      <c r="D15" s="181" t="inlineStr">
        <is>
          <t>[Optional helper — cross-path consistency, not content conformance] Verify ExtendedMetaData is consistent between event and GetResultById for the same result</t>
        </is>
      </c>
      <c r="E15" s="182" t="n"/>
      <c r="F15" s="182" t="n"/>
      <c r="G15" s="182" t="n"/>
      <c r="H15" s="182" t="n"/>
      <c r="I15" s="182" t="inlineStr">
        <is>
          <t>n</t>
        </is>
      </c>
      <c r="J15" s="182" t="inlineStr">
        <is>
          <t>OPC 40450-1 Section 11.1 CU-09</t>
        </is>
      </c>
      <c r="K15" s="182" t="n"/>
    </row>
    <row r="16" s="132">
      <c r="A16" s="186" t="n"/>
      <c r="B16" s="186" t="n"/>
      <c r="C16" s="187" t="n">
        <v>1</v>
      </c>
      <c r="D16" s="186" t="inlineStr">
        <is>
          <t>[Optional helper — cross-path consistency] Receive a JoiningSystemResultReadyEventType event. Note the ExtendedMetaData entries. Call GetResultById with the same ResultId and compare ExtendedMetaData.</t>
        </is>
      </c>
      <c r="E16" s="186" t="inlineStr">
        <is>
          <t>Optional helper precondition: Event subscription active; GetResultById available.</t>
        </is>
      </c>
      <c r="F16" s="186" t="inlineStr">
        <is>
          <t>Optional helper expected result: The count, Keys, and Values in ExtendedMetaData match exactly between the event and GetResultById response.</t>
        </is>
      </c>
      <c r="G16" s="188" t="inlineStr">
        <is>
          <t>Good</t>
        </is>
      </c>
      <c r="H16" s="188" t="inlineStr">
        <is>
          <t>Good</t>
        </is>
      </c>
      <c r="I16" s="186" t="n"/>
      <c r="J16" s="186" t="inlineStr">
        <is>
          <t>OPC 40450-1 Section 7.5 / Section 10.1</t>
        </is>
      </c>
      <c r="K16" s="186" t="n"/>
    </row>
    <row r="17" ht="20" customHeight="1" s="132">
      <c r="A17" s="189" t="inlineStr">
        <is>
          <t>Error Test Cases</t>
        </is>
      </c>
      <c r="B17" s="190" t="n"/>
      <c r="C17" s="190" t="n"/>
      <c r="D17" s="190" t="n"/>
      <c r="E17" s="190" t="n"/>
      <c r="F17" s="190" t="n"/>
      <c r="G17" s="190" t="n"/>
      <c r="H17" s="190" t="n"/>
      <c r="I17" s="190" t="n"/>
      <c r="J17" s="190" t="n"/>
      <c r="K17" s="190" t="n"/>
    </row>
    <row r="18" ht="20" customHeight="1" s="132">
      <c r="A18" s="191" t="inlineStr">
        <is>
          <t>n</t>
        </is>
      </c>
      <c r="B18" s="191" t="n">
        <v>1</v>
      </c>
      <c r="C18" s="191" t="n">
        <v>0</v>
      </c>
      <c r="D18" s="192" t="inlineStr">
        <is>
          <t>Verify ExtendedMetaData sub-variable access policy in the Results folder Variable</t>
        </is>
      </c>
      <c r="E18" s="193" t="n"/>
      <c r="F18" s="193" t="n"/>
      <c r="G18" s="193" t="n"/>
      <c r="H18" s="193" t="n"/>
      <c r="I18" s="193" t="inlineStr">
        <is>
          <t>n</t>
        </is>
      </c>
      <c r="J18" s="193" t="inlineStr">
        <is>
          <t>OPC 40450-1 Section 11.1 CU-09</t>
        </is>
      </c>
      <c r="K18" s="193" t="n"/>
    </row>
    <row r="19" s="132">
      <c r="A19" s="183" t="n"/>
      <c r="B19" s="183" t="n"/>
      <c r="C19" s="184" t="n">
        <v>1</v>
      </c>
      <c r="D19" s="183" t="inlineStr">
        <is>
          <t>Locate a JoiningSystemResultType Variable that exposes ExtendedMetaData. Attempt to Write a modified array to the ExtendedMetaData node via Write Service.</t>
        </is>
      </c>
      <c r="E19" s="183" t="inlineStr">
        <is>
          <t>JoiningSystemResultType Variable with ExtendedMetaData accessible.</t>
        </is>
      </c>
      <c r="F19" s="183" t="inlineStr">
        <is>
          <t>Write Service returns Bad_NotWritable or Bad_UserAccessDenied. ExtendedMetaData is unchanged on subsequent Read.</t>
        </is>
      </c>
      <c r="G19" s="185" t="inlineStr">
        <is>
          <t>Good</t>
        </is>
      </c>
      <c r="H19" s="194" t="inlineStr">
        <is>
          <t>Bad_NotWritable</t>
        </is>
      </c>
      <c r="I19" s="183" t="n"/>
      <c r="J19" s="183" t="inlineStr">
        <is>
          <t>OPC 10000-4 Section 5.10.4</t>
        </is>
      </c>
      <c r="K19" s="183" t="n"/>
    </row>
    <row r="20" ht="20" customHeight="1" s="132">
      <c r="A20" s="191" t="inlineStr">
        <is>
          <t>n</t>
        </is>
      </c>
      <c r="B20" s="191" t="n">
        <v>2</v>
      </c>
      <c r="C20" s="191" t="n">
        <v>0</v>
      </c>
      <c r="D20" s="192" t="inlineStr">
        <is>
          <t>Verify server rejects write of null Key string to ExtendedMetaData array entry</t>
        </is>
      </c>
      <c r="E20" s="193" t="n"/>
      <c r="F20" s="193" t="n"/>
      <c r="G20" s="193" t="n"/>
      <c r="H20" s="193" t="n"/>
      <c r="I20" s="193" t="inlineStr">
        <is>
          <t>n</t>
        </is>
      </c>
      <c r="J20" s="193" t="inlineStr">
        <is>
          <t>OPC 40450-1 / OPC 10000-3 TrimmedString</t>
        </is>
      </c>
      <c r="K20" s="193" t="n"/>
    </row>
    <row r="21" s="132">
      <c r="A21" s="186" t="n"/>
      <c r="B21" s="186" t="n"/>
      <c r="C21" s="187" t="n">
        <v>1</v>
      </c>
      <c r="D21" s="186" t="inlineStr">
        <is>
          <t>If the ExtendedMetaData array is writable, attempt to write a KeyValueDataType with Key = "" (empty string, violating TrimmedString constraint).</t>
        </is>
      </c>
      <c r="E21" s="186" t="inlineStr">
        <is>
          <t>ExtendedMetaData array Variable accessible. OPC UA session established.</t>
        </is>
      </c>
      <c r="F21" s="186" t="inlineStr">
        <is>
          <t>Write returns Bad_OutOfRange or Bad_TypeMismatch. If the array is not writable, Write returns Bad_NotWritable. In either case, no empty-string Key is persisted.</t>
        </is>
      </c>
      <c r="G21" s="188" t="inlineStr">
        <is>
          <t>Good</t>
        </is>
      </c>
      <c r="H21" s="195" t="inlineStr">
        <is>
          <t>Bad_OutOfRange</t>
        </is>
      </c>
      <c r="I21" s="186" t="n"/>
      <c r="J21" s="186" t="inlineStr">
        <is>
          <t>OPC 10000-3 Section 8.36 (TrimmedString)</t>
        </is>
      </c>
      <c r="K21" s="186" t="inlineStr">
        <is>
          <t>TrimmedString prohibits empty strings and leading/trailing whitespace.</t>
        </is>
      </c>
    </row>
    <row r="22" ht="20" customHeight="1" s="132">
      <c r="A22" s="191" t="inlineStr">
        <is>
          <t>n</t>
        </is>
      </c>
      <c r="B22" s="191" t="n">
        <v>3</v>
      </c>
      <c r="C22" s="191" t="n">
        <v>0</v>
      </c>
      <c r="D22" s="192" t="inlineStr">
        <is>
          <t>Verify server handles result with zero-length ExtendedMetaData array gracefully</t>
        </is>
      </c>
      <c r="E22" s="193" t="n"/>
      <c r="F22" s="193" t="n"/>
      <c r="G22" s="193" t="n"/>
      <c r="H22" s="193" t="n"/>
      <c r="I22" s="193" t="inlineStr">
        <is>
          <t>n</t>
        </is>
      </c>
      <c r="J22" s="193" t="inlineStr">
        <is>
          <t>OPC 40450-1 Section 10.1</t>
        </is>
      </c>
      <c r="K22" s="193" t="n"/>
    </row>
    <row r="23" s="132">
      <c r="A23" s="183" t="n"/>
      <c r="B23" s="183" t="n"/>
      <c r="C23" s="184" t="n">
        <v>1</v>
      </c>
      <c r="D23" s="183" t="inlineStr">
        <is>
          <t>Observe a ResultDataType from ResultManagement/Results/Result or JoiningSystemResultReadyEventType whose ResultMetaData.ExtendedMetaData array has zero entries.</t>
        </is>
      </c>
      <c r="E23" s="183" t="inlineStr">
        <is>
          <t>At least one ResultDataType with JoiningResultMetaDataType.ExtendedMetaData present as an empty array is available.</t>
        </is>
      </c>
      <c r="F23" s="183" t="inlineStr">
        <is>
          <t>ExtendedMetaData is an empty KeyValueDataType[] array (not null). Server does not error on zero-length array.</t>
        </is>
      </c>
      <c r="G23" s="185" t="inlineStr">
        <is>
          <t>Good</t>
        </is>
      </c>
      <c r="H23" s="185" t="inlineStr">
        <is>
          <t>Good</t>
        </is>
      </c>
      <c r="I23" s="183" t="n"/>
      <c r="J23" s="183" t="inlineStr">
        <is>
          <t>OPC 40450-1 Section 10.1</t>
        </is>
      </c>
      <c r="K23" s="183" t="inlineStr">
        <is>
          <t>Zero-length optional arrays must be returned as empty arrays, not null, per OPC UA conventions.</t>
        </is>
      </c>
    </row>
    <row r="24" ht="20" customHeight="1" s="132">
      <c r="A24" s="191" t="inlineStr">
        <is>
          <t>n</t>
        </is>
      </c>
      <c r="B24" s="191" t="n">
        <v>4</v>
      </c>
      <c r="C24" s="191" t="n">
        <v>0</v>
      </c>
      <c r="D24" s="192" t="inlineStr">
        <is>
          <t>Verify ExtendedMetaData Key cannot be empty/null</t>
        </is>
      </c>
      <c r="E24" s="193" t="n"/>
      <c r="F24" s="193" t="n"/>
      <c r="G24" s="193" t="n"/>
      <c r="H24" s="193" t="n"/>
      <c r="I24" s="193" t="inlineStr">
        <is>
          <t>n</t>
        </is>
      </c>
      <c r="J24" s="193" t="inlineStr">
        <is>
          <t>OPC 40450-1 Section 11.1 CU-09</t>
        </is>
      </c>
      <c r="K24" s="193" t="n"/>
    </row>
    <row r="25" s="132">
      <c r="A25" s="186" t="n"/>
      <c r="B25" s="186" t="n"/>
      <c r="C25" s="187" t="n">
        <v>1</v>
      </c>
      <c r="D25" s="186" t="inlineStr">
        <is>
          <t>Inspect ExtendedMetaData array entries. Read Key field from each KeyValueDataType.</t>
        </is>
      </c>
      <c r="E25" s="186" t="inlineStr">
        <is>
          <t>Server claims this Conformance Unit; no additional runtime setup is needed for this step.</t>
        </is>
      </c>
      <c r="F25" s="186" t="inlineStr">
        <is>
          <t>Every Key is non-null, non-empty TrimmedString.</t>
        </is>
      </c>
      <c r="G25" s="188" t="inlineStr">
        <is>
          <t>Good</t>
        </is>
      </c>
      <c r="H25" s="187" t="n"/>
      <c r="I25" s="186" t="n"/>
      <c r="J25" s="203" t="inlineStr">
        <is>
          <t>OPC 40450-1 Section 10.1</t>
        </is>
      </c>
      <c r="K25" s="186" t="inlineStr">
        <is>
          <t>Requirement source: OPC 10000-3 Section 8.36 - TrimmedString prohibits empty/null; OPC 40450-1 Section 10.1.</t>
        </is>
      </c>
    </row>
    <row r="26" ht="20" customHeight="1" s="132">
      <c r="A26" s="191" t="inlineStr">
        <is>
          <t>n</t>
        </is>
      </c>
      <c r="B26" s="191" t="n">
        <v>5</v>
      </c>
      <c r="C26" s="191" t="n">
        <v>0</v>
      </c>
      <c r="D26" s="192" t="inlineStr">
        <is>
          <t>Verify ExtendedMetaData Value can be any BaseDataType</t>
        </is>
      </c>
      <c r="E26" s="193" t="n"/>
      <c r="F26" s="193" t="n"/>
      <c r="G26" s="193" t="n"/>
      <c r="H26" s="193" t="n"/>
      <c r="I26" s="193" t="inlineStr">
        <is>
          <t>n</t>
        </is>
      </c>
      <c r="J26" s="193" t="inlineStr">
        <is>
          <t>OPC 40450-1 Section 11.1 CU-09</t>
        </is>
      </c>
      <c r="K26" s="193" t="n"/>
    </row>
    <row r="27" s="132">
      <c r="A27" s="183" t="n"/>
      <c r="B27" s="183" t="n"/>
      <c r="C27" s="184" t="n">
        <v>1</v>
      </c>
      <c r="D27" s="183" t="inlineStr">
        <is>
          <t>Inspect ExtendedMetaData entries. Check Values for different types.</t>
        </is>
      </c>
      <c r="E27" s="183" t="inlineStr">
        <is>
          <t>Server claims this Conformance Unit; no additional runtime setup is needed for this step.</t>
        </is>
      </c>
      <c r="F27" s="183" t="inlineStr">
        <is>
          <t>At least two different DataTypes observed in Values.</t>
        </is>
      </c>
      <c r="G27" s="185" t="inlineStr">
        <is>
          <t>Good</t>
        </is>
      </c>
      <c r="H27" s="184" t="n"/>
      <c r="I27" s="183" t="n"/>
      <c r="J27" s="202" t="inlineStr">
        <is>
          <t>OPC 40450-1 Section 10.1</t>
        </is>
      </c>
      <c r="K27" s="183" t="inlineStr">
        <is>
          <t>Requirement source: OPC 40450-1 Section 10.1 - Value is BaseDataType, any built-in type.</t>
        </is>
      </c>
    </row>
    <row r="28" ht="20" customHeight="1" s="132">
      <c r="A28" s="191" t="inlineStr">
        <is>
          <t>n</t>
        </is>
      </c>
      <c r="B28" s="191" t="n">
        <v>6</v>
      </c>
      <c r="C28" s="191" t="n">
        <v>0</v>
      </c>
      <c r="D28" s="192" t="inlineStr">
        <is>
          <t>Verify ExtendedMetaData duplicate keys are discouraged</t>
        </is>
      </c>
      <c r="E28" s="193" t="n"/>
      <c r="F28" s="193" t="n"/>
      <c r="G28" s="193" t="n"/>
      <c r="H28" s="193" t="n"/>
      <c r="I28" s="193" t="inlineStr">
        <is>
          <t>n</t>
        </is>
      </c>
      <c r="J28" s="193" t="inlineStr">
        <is>
          <t>OPC 40450-1 Section 11.1 CU-09</t>
        </is>
      </c>
      <c r="K28" s="193" t="n"/>
    </row>
    <row r="29" s="132">
      <c r="A29" s="186" t="n"/>
      <c r="B29" s="186" t="n"/>
      <c r="C29" s="187" t="n">
        <v>1</v>
      </c>
      <c r="D29" s="186" t="inlineStr">
        <is>
          <t>Enumerate all Keys in ExtendedMetaData. Check for duplicates.</t>
        </is>
      </c>
      <c r="E29" s="186" t="inlineStr">
        <is>
          <t>Server claims this Conformance Unit; no additional runtime setup is needed for this step.</t>
        </is>
      </c>
      <c r="F29" s="186" t="inlineStr">
        <is>
          <t>No duplicate Keys found. If duplicates exist, log warning.</t>
        </is>
      </c>
      <c r="G29" s="188" t="inlineStr">
        <is>
          <t>Good</t>
        </is>
      </c>
      <c r="H29" s="187" t="n"/>
      <c r="I29" s="186" t="n"/>
      <c r="J29" s="203" t="inlineStr">
        <is>
          <t>OPC 40450-1 Section 10.1</t>
        </is>
      </c>
      <c r="K29" s="186" t="inlineStr">
        <is>
          <t>Requirement source: OPC 40450-1 Section 10.1 - Duplicates technically allowed but discouraged.</t>
        </is>
      </c>
    </row>
  </sheetData>
  <mergeCells count="3">
    <mergeCell ref="C2:K2"/>
    <mergeCell ref="A1:K1"/>
    <mergeCell ref="A2:B2"/>
  </mergeCells>
  <pageMargins left="0.7" right="0.7" top="0.75" bottom="0.75" header="0.3" footer="0.3"/>
</worksheet>
</file>

<file path=xl/worksheets/sheet16.xml><?xml version="1.0" encoding="utf-8"?>
<worksheet xmlns="http://schemas.openxmlformats.org/spreadsheetml/2006/main">
  <sheetPr codeName="Sheet12">
    <tabColor rgb="002E75B6"/>
    <outlinePr summaryBelow="1" summaryRight="1"/>
    <pageSetUpPr/>
  </sheetPr>
  <dimension ref="A1:K33"/>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CU-10 IJT Result Processing Times – OPC 40450-1 / OPC 40001-101 Section 10.1</t>
        </is>
      </c>
      <c r="B1" s="197" t="n"/>
      <c r="C1" s="197" t="n"/>
      <c r="D1" s="197" t="n"/>
      <c r="E1" s="197" t="n"/>
      <c r="F1" s="197" t="n"/>
      <c r="G1" s="197" t="n"/>
      <c r="H1" s="197" t="n"/>
      <c r="I1" s="197" t="n"/>
      <c r="J1" s="197" t="n"/>
      <c r="K1" s="198" t="n"/>
    </row>
    <row r="2" ht="22" customHeight="1" s="132">
      <c r="A2" s="159">
        <f>HYPERLINK("#Home!A1","⌂ Home")</f>
        <v/>
      </c>
      <c r="B2" s="141" t="n"/>
      <c r="C2" s="179" t="inlineStr">
        <is>
          <t>CU-10 IJT Result Processing Times – OPC 40450-1 / OPC 40001-101 Section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ProcessingTimesType structure exists in the TypeSystem</t>
        </is>
      </c>
      <c r="E4" s="182" t="n"/>
      <c r="F4" s="182" t="n"/>
      <c r="G4" s="182" t="n"/>
      <c r="H4" s="182" t="n"/>
      <c r="I4" s="182" t="inlineStr">
        <is>
          <t>n</t>
        </is>
      </c>
      <c r="J4" s="182" t="inlineStr">
        <is>
          <t>OPC 40450-1 Section 11.1 CU-10</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the ProcessingTimesType or 5:ProcessingTimesType (from OPC 40001-101, Machinery Result namespace).</t>
        </is>
      </c>
      <c r="E5" s="183" t="inlineStr">
        <is>
          <t>Server accessible.</t>
        </is>
      </c>
      <c r="F5" s="183" t="inlineStr">
        <is>
          <t>ProcessingTimesType is found in the Machinery Result namespace (http://opcfoundation.org/UA/Machinery/Result/). NodeClass = DataType.</t>
        </is>
      </c>
      <c r="G5" s="185" t="inlineStr">
        <is>
          <t>Good</t>
        </is>
      </c>
      <c r="H5" s="185" t="inlineStr">
        <is>
          <t>Good</t>
        </is>
      </c>
      <c r="I5" s="183" t="n"/>
      <c r="J5" s="183" t="inlineStr">
        <is>
          <t>OPC 40001-101 / OPC 40450-1 Section 10.1</t>
        </is>
      </c>
      <c r="K5" s="183" t="inlineStr">
        <is>
          <t>Defined in OPC 40001-101.</t>
        </is>
      </c>
    </row>
    <row r="6" s="132">
      <c r="A6" s="183" t="n"/>
      <c r="B6" s="183" t="n"/>
      <c r="C6" s="184" t="n">
        <v>2</v>
      </c>
      <c r="D6" s="183" t="inlineStr">
        <is>
          <t>Verify StartTime and EndTime fields exist in ProcessingTimesType.</t>
        </is>
      </c>
      <c r="E6" s="183" t="inlineStr">
        <is>
          <t>ProcessingTimesType found.</t>
        </is>
      </c>
      <c r="F6" s="183" t="inlineStr">
        <is>
          <t>StartTime (UtcTime, Mandatory) and EndTime (UtcTime, Mandatory) are declared in the type structure.</t>
        </is>
      </c>
      <c r="G6" s="185" t="inlineStr">
        <is>
          <t>Good</t>
        </is>
      </c>
      <c r="H6" s="185" t="inlineStr">
        <is>
          <t>Good</t>
        </is>
      </c>
      <c r="I6" s="183" t="n"/>
      <c r="J6" s="183" t="inlineStr">
        <is>
          <t>OPC 40001-101</t>
        </is>
      </c>
      <c r="K6" s="183" t="n"/>
    </row>
    <row r="7" ht="20" customHeight="1" s="132">
      <c r="A7" s="180" t="inlineStr">
        <is>
          <t>y</t>
        </is>
      </c>
      <c r="B7" s="180" t="n">
        <v>2</v>
      </c>
      <c r="C7" s="180" t="n">
        <v>0</v>
      </c>
      <c r="D7" s="181" t="inlineStr">
        <is>
          <t>Verify ProcessingTimes.StartTime is present and valid in a received result</t>
        </is>
      </c>
      <c r="E7" s="182" t="n"/>
      <c r="F7" s="182" t="n"/>
      <c r="G7" s="182" t="n"/>
      <c r="H7" s="182" t="n"/>
      <c r="I7" s="182" t="inlineStr">
        <is>
          <t>n</t>
        </is>
      </c>
      <c r="J7" s="182" t="inlineStr">
        <is>
          <t>OPC 40450-1 Section 11.1 CU-10</t>
        </is>
      </c>
      <c r="K7" s="182" t="n"/>
    </row>
    <row r="8" s="132">
      <c r="A8" s="186" t="n"/>
      <c r="B8" s="186" t="n"/>
      <c r="C8" s="187" t="n">
        <v>1</v>
      </c>
      <c r="D8" s="186" t="inlineStr">
        <is>
          <t>Receive a result via JoiningSystemResultReadyEventType or observe ResultManagement/Results/Result. Read Result.ResultMetaData.ProcessingTimes.StartTime.</t>
        </is>
      </c>
      <c r="E8" s="186" t="inlineStr">
        <is>
          <t>OPC UA session established; result available.</t>
        </is>
      </c>
      <c r="F8" s="186" t="inlineStr">
        <is>
          <t>ProcessingTimes.StartTime is present. DataType = UtcTime (DateTime). Value is a non-null, non-zero DateTime within a plausible range (e.g. not in year 1601, not in the far future).</t>
        </is>
      </c>
      <c r="G8" s="188" t="inlineStr">
        <is>
          <t>Good</t>
        </is>
      </c>
      <c r="H8" s="188" t="inlineStr">
        <is>
          <t>Good</t>
        </is>
      </c>
      <c r="I8" s="186" t="n"/>
      <c r="J8" s="186" t="inlineStr">
        <is>
          <t>OPC 40450-1 Section 10.1 / OPC 40001-101</t>
        </is>
      </c>
      <c r="K8" s="186" t="n"/>
    </row>
    <row r="9" s="132">
      <c r="A9" s="186" t="n"/>
      <c r="B9" s="186" t="n"/>
      <c r="C9" s="187" t="n">
        <v>2</v>
      </c>
      <c r="D9" s="186" t="inlineStr">
        <is>
          <t>Verify StartTime is not later than CreationTime for the same result.</t>
        </is>
      </c>
      <c r="E9" s="186" t="inlineStr">
        <is>
          <t>Result with both StartTime and CreationTime available.</t>
        </is>
      </c>
      <c r="F9" s="186" t="inlineStr">
        <is>
          <t>StartTime &lt;= CreationTime. StartTime is when joining operation processing began; CreationTime is when the result was created.</t>
        </is>
      </c>
      <c r="G9" s="188" t="inlineStr">
        <is>
          <t>Good</t>
        </is>
      </c>
      <c r="H9" s="188" t="inlineStr">
        <is>
          <t>Good</t>
        </is>
      </c>
      <c r="I9" s="186" t="n"/>
      <c r="J9" s="186" t="inlineStr">
        <is>
          <t>OPC 40450-1 Section 10.1</t>
        </is>
      </c>
      <c r="K9" s="186" t="n"/>
    </row>
    <row r="10" ht="20" customHeight="1" s="132">
      <c r="A10" s="180" t="inlineStr">
        <is>
          <t>y</t>
        </is>
      </c>
      <c r="B10" s="180" t="n">
        <v>3</v>
      </c>
      <c r="C10" s="180" t="n">
        <v>0</v>
      </c>
      <c r="D10" s="181" t="inlineStr">
        <is>
          <t>Verify ProcessingTimes.EndTime is present and valid in a received result</t>
        </is>
      </c>
      <c r="E10" s="182" t="n"/>
      <c r="F10" s="182" t="n"/>
      <c r="G10" s="182" t="n"/>
      <c r="H10" s="182" t="n"/>
      <c r="I10" s="182" t="inlineStr">
        <is>
          <t>n</t>
        </is>
      </c>
      <c r="J10" s="182" t="inlineStr">
        <is>
          <t>OPC 40450-1 Section 11.1 CU-10</t>
        </is>
      </c>
      <c r="K10" s="182" t="n"/>
    </row>
    <row r="11" s="132">
      <c r="A11" s="183" t="n"/>
      <c r="B11" s="183" t="n"/>
      <c r="C11" s="184" t="n">
        <v>1</v>
      </c>
      <c r="D11" s="183" t="inlineStr">
        <is>
          <t>From the same result, read Result.ResultMetaData.ProcessingTimes.EndTime.</t>
        </is>
      </c>
      <c r="E11" s="183" t="inlineStr">
        <is>
          <t>Result available.</t>
        </is>
      </c>
      <c r="F11" s="183" t="inlineStr">
        <is>
          <t>ProcessingTimes.EndTime is present. DataType = UtcTime. Value is a non-null, non-zero DateTime in a plausible range.</t>
        </is>
      </c>
      <c r="G11" s="185" t="inlineStr">
        <is>
          <t>Good</t>
        </is>
      </c>
      <c r="H11" s="185" t="inlineStr">
        <is>
          <t>Good</t>
        </is>
      </c>
      <c r="I11" s="183" t="n"/>
      <c r="J11" s="183" t="inlineStr">
        <is>
          <t>OPC 40450-1 Section 10.1 / OPC 40001-101</t>
        </is>
      </c>
      <c r="K11" s="183" t="n"/>
    </row>
    <row r="12" s="132">
      <c r="A12" s="183" t="n"/>
      <c r="B12" s="183" t="n"/>
      <c r="C12" s="184" t="n">
        <v>2</v>
      </c>
      <c r="D12" s="183" t="inlineStr">
        <is>
          <t>Verify EndTime &gt;= StartTime for all received results.</t>
        </is>
      </c>
      <c r="E12" s="183" t="inlineStr">
        <is>
          <t>Multiple results available.</t>
        </is>
      </c>
      <c r="F12" s="183" t="inlineStr">
        <is>
          <t>For each result, ProcessingTimes.EndTime &gt;= ProcessingTimes.StartTime. EndTime must never be before StartTime.</t>
        </is>
      </c>
      <c r="G12" s="185" t="inlineStr">
        <is>
          <t>Good</t>
        </is>
      </c>
      <c r="H12" s="185" t="inlineStr">
        <is>
          <t>Good</t>
        </is>
      </c>
      <c r="I12" s="183" t="n"/>
      <c r="J12" s="183" t="inlineStr">
        <is>
          <t>OPC 40450-1 Section 10.1</t>
        </is>
      </c>
      <c r="K12" s="183" t="inlineStr">
        <is>
          <t>Logical constraint: operation ends after it starts.</t>
        </is>
      </c>
    </row>
    <row r="13" ht="20" customHeight="1" s="132">
      <c r="A13" s="204" t="inlineStr">
        <is>
          <t>y</t>
        </is>
      </c>
      <c r="B13" s="204" t="n">
        <v>4</v>
      </c>
      <c r="C13" s="204" t="n">
        <v>0</v>
      </c>
      <c r="D13" s="205" t="inlineStr">
        <is>
          <t>Verify StartTime and EndTime are consistent with a tightening operation duration</t>
        </is>
      </c>
      <c r="E13" s="206" t="n"/>
      <c r="F13" s="206" t="n"/>
      <c r="G13" s="206" t="n"/>
      <c r="H13" s="206" t="n"/>
      <c r="I13" s="206" t="inlineStr">
        <is>
          <t>n</t>
        </is>
      </c>
      <c r="J13" s="206" t="inlineStr">
        <is>
          <t>OPC 40450-1 Section 11.1 CU-10</t>
        </is>
      </c>
      <c r="K13" s="206" t="n"/>
    </row>
    <row r="14" s="132">
      <c r="A14" s="186" t="n"/>
      <c r="B14" s="186" t="n"/>
      <c r="C14" s="187" t="n">
        <v>1</v>
      </c>
      <c r="D14" s="186" t="inlineStr">
        <is>
          <t>Trigger a known tightening operation of approximately N seconds duration. Retrieve the result. Compute (EndTime - StartTime) in seconds.</t>
        </is>
      </c>
      <c r="E14" s="186" t="inlineStr">
        <is>
          <t>Device configured; timing of operation known.</t>
        </is>
      </c>
      <c r="F14" s="186" t="inlineStr">
        <is>
          <t>The difference (EndTime - StartTime) corresponds to the actual tightening operation duration consistent with observed device behavior. Duration &gt; 0 ms. Document the actual measured (EndTime – StartTime) value for reference. Duration &gt; 0 milliseconds.</t>
        </is>
      </c>
      <c r="G14" s="188" t="inlineStr">
        <is>
          <t>Good</t>
        </is>
      </c>
      <c r="H14" s="188" t="inlineStr">
        <is>
          <t>Good</t>
        </is>
      </c>
      <c r="I14" s="186" t="n"/>
      <c r="J14" s="186" t="inlineStr">
        <is>
          <t>OPC 40450-1 Section 10.1</t>
        </is>
      </c>
      <c r="K14" s="186" t="inlineStr">
        <is>
          <t>Real-world validation of timing correctness.</t>
        </is>
      </c>
    </row>
    <row r="15" ht="20" customHeight="1" s="132">
      <c r="A15" s="180" t="inlineStr">
        <is>
          <t>n</t>
        </is>
      </c>
      <c r="B15" s="180" t="n">
        <v>5</v>
      </c>
      <c r="C15" s="180" t="n">
        <v>0</v>
      </c>
      <c r="D15" s="181" t="inlineStr">
        <is>
          <t>[Optional helper — method delivery test, not content conformance] Verify ProcessingTimes are present in results delivered via GetLatestResult</t>
        </is>
      </c>
      <c r="E15" s="182" t="n"/>
      <c r="F15" s="182" t="n"/>
      <c r="G15" s="182" t="n"/>
      <c r="H15" s="182" t="n"/>
      <c r="I15" s="182" t="inlineStr">
        <is>
          <t>n</t>
        </is>
      </c>
      <c r="J15" s="182" t="inlineStr">
        <is>
          <t>OPC 40450-1 Section 11.1 CU-10</t>
        </is>
      </c>
      <c r="K15" s="182" t="n"/>
    </row>
    <row r="16" s="132">
      <c r="A16" s="183" t="n"/>
      <c r="B16" s="183" t="n"/>
      <c r="C16" s="184" t="n">
        <v>1</v>
      </c>
      <c r="D16" s="183" t="inlineStr">
        <is>
          <t>[Optional helper — method delivery test] Call GetLatestResult. Verify ProcessingTimes.StartTime and ProcessingTimes.EndTime in the returned result.</t>
        </is>
      </c>
      <c r="E16" s="183" t="inlineStr">
        <is>
          <t>Optional helper precondition: GetLatestResult method available.</t>
        </is>
      </c>
      <c r="F16" s="183" t="inlineStr">
        <is>
          <t>Optional helper expected result: Both StartTime and EndTime are present in the returned result.ResultMetaData.ProcessingTimes. Values are consistent with the latest joining operation.</t>
        </is>
      </c>
      <c r="G16" s="185" t="inlineStr">
        <is>
          <t>Good</t>
        </is>
      </c>
      <c r="H16" s="185" t="inlineStr">
        <is>
          <t>Good</t>
        </is>
      </c>
      <c r="I16" s="183" t="n"/>
      <c r="J16" s="183" t="inlineStr">
        <is>
          <t>OPC 40450-1 Section 7.5</t>
        </is>
      </c>
      <c r="K16" s="183" t="n"/>
    </row>
    <row r="17" ht="20" customHeight="1" s="132">
      <c r="A17" s="180" t="inlineStr">
        <is>
          <t>y</t>
        </is>
      </c>
      <c r="B17" s="180" t="n">
        <v>6</v>
      </c>
      <c r="C17" s="180" t="n">
        <v>0</v>
      </c>
      <c r="D17" s="181" t="inlineStr">
        <is>
          <t>Verify ProcessingTimes are present in results delivered via event subscription</t>
        </is>
      </c>
      <c r="E17" s="182" t="n"/>
      <c r="F17" s="182" t="n"/>
      <c r="G17" s="182" t="n"/>
      <c r="H17" s="182" t="n"/>
      <c r="I17" s="182" t="inlineStr">
        <is>
          <t>n</t>
        </is>
      </c>
      <c r="J17" s="182" t="inlineStr">
        <is>
          <t>OPC 40450-1 Section 11.1 CU-10</t>
        </is>
      </c>
      <c r="K17" s="182" t="n"/>
    </row>
    <row r="18" s="132">
      <c r="A18" s="186" t="n"/>
      <c r="B18" s="186" t="n"/>
      <c r="C18" s="187" t="n">
        <v>1</v>
      </c>
      <c r="D18" s="186" t="inlineStr">
        <is>
          <t>Subscribe to JoiningSystemResultReadyEventType and add a MonitoredItem selecting the Result/ResultMetaData/ProcessingTimes/StartTime and Result/ResultMetaData/ProcessingTimes/EndTime fields.</t>
        </is>
      </c>
      <c r="E18" s="186" t="inlineStr">
        <is>
          <t>OPC UA event subscription active.</t>
        </is>
      </c>
      <c r="F18" s="186" t="inlineStr">
        <is>
          <t>When a joining event fires, both StartTime and EndTime are delivered in the event payload with valid non-null UtcTime values.</t>
        </is>
      </c>
      <c r="G18" s="188" t="inlineStr">
        <is>
          <t>Good</t>
        </is>
      </c>
      <c r="H18" s="188" t="inlineStr">
        <is>
          <t>Good</t>
        </is>
      </c>
      <c r="I18" s="186" t="n"/>
      <c r="J18" s="186" t="inlineStr">
        <is>
          <t>OPC 40450-1 Section 7.5 / Section 8</t>
        </is>
      </c>
      <c r="K18" s="186" t="n"/>
    </row>
    <row r="19" ht="20" customHeight="1" s="132">
      <c r="A19" s="180" t="inlineStr">
        <is>
          <t>y</t>
        </is>
      </c>
      <c r="B19" s="180" t="n">
        <v>7</v>
      </c>
      <c r="C19" s="180" t="n">
        <v>0</v>
      </c>
      <c r="D19" s="181" t="inlineStr">
        <is>
          <t>Verify CreationTime &gt;= EndTime for all received results</t>
        </is>
      </c>
      <c r="E19" s="182" t="n"/>
      <c r="F19" s="182" t="n"/>
      <c r="G19" s="182" t="n"/>
      <c r="H19" s="182" t="n"/>
      <c r="I19" s="182" t="inlineStr">
        <is>
          <t>n</t>
        </is>
      </c>
      <c r="J19" s="182" t="inlineStr">
        <is>
          <t>OPC 40450-1 Section 11.1 CU-10</t>
        </is>
      </c>
      <c r="K19" s="182" t="n"/>
    </row>
    <row r="20" s="132">
      <c r="A20" s="183" t="n"/>
      <c r="B20" s="183" t="n"/>
      <c r="C20" s="184" t="n">
        <v>1</v>
      </c>
      <c r="D20" s="183" t="inlineStr">
        <is>
          <t>From 5 consecutive results, compare ProcessingTimes.EndTime with CreationTime for each.</t>
        </is>
      </c>
      <c r="E20" s="183" t="inlineStr">
        <is>
          <t>5 consecutive results available.</t>
        </is>
      </c>
      <c r="F20" s="183" t="inlineStr">
        <is>
          <t>For each result, CreationTime &gt;= ProcessingTimes.EndTime. The result is always created after processing is complete.</t>
        </is>
      </c>
      <c r="G20" s="185" t="inlineStr">
        <is>
          <t>Good</t>
        </is>
      </c>
      <c r="H20" s="185" t="inlineStr">
        <is>
          <t>Good</t>
        </is>
      </c>
      <c r="I20" s="183" t="n"/>
      <c r="J20" s="183" t="inlineStr">
        <is>
          <t>OPC 40450-1 Section 10.1</t>
        </is>
      </c>
      <c r="K20" s="183" t="n"/>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ProcessingTimes fields are server-managed</t>
        </is>
      </c>
      <c r="E22" s="193" t="n"/>
      <c r="F22" s="193" t="n"/>
      <c r="G22" s="193" t="n"/>
      <c r="H22" s="193" t="n"/>
      <c r="I22" s="193" t="inlineStr">
        <is>
          <t>n</t>
        </is>
      </c>
      <c r="J22" s="193" t="inlineStr">
        <is>
          <t>OPC 40450-1 Section 11.1 CU-10</t>
        </is>
      </c>
      <c r="K22" s="193" t="n"/>
    </row>
    <row r="23" s="132">
      <c r="A23" s="183" t="n"/>
      <c r="B23" s="183" t="n"/>
      <c r="C23" s="184" t="n">
        <v>1</v>
      </c>
      <c r="D23" s="183" t="inlineStr">
        <is>
          <t>Locate a JoiningSystemResultType Variable. Attempt to Write a new UtcTime to ResultMetaData.ProcessingTimes.StartTime.</t>
        </is>
      </c>
      <c r="E23" s="183" t="inlineStr">
        <is>
          <t>JoiningSystemResultType Variable with ProcessingTimes accessible.</t>
        </is>
      </c>
      <c r="F23" s="183" t="inlineStr">
        <is>
          <t>Write Service returns Bad_NotWritable. StartTime unchanged on subsequent Read.</t>
        </is>
      </c>
      <c r="G23" s="185" t="inlineStr">
        <is>
          <t>Good</t>
        </is>
      </c>
      <c r="H23" s="194" t="inlineStr">
        <is>
          <t>Bad_NotWritable</t>
        </is>
      </c>
      <c r="I23" s="183" t="n"/>
      <c r="J23" s="183" t="inlineStr">
        <is>
          <t>OPC 10000-4 Section 5.10.4</t>
        </is>
      </c>
      <c r="K23" s="183" t="n"/>
    </row>
    <row r="24" ht="20" customHeight="1" s="132">
      <c r="A24" s="191" t="inlineStr">
        <is>
          <t>n</t>
        </is>
      </c>
      <c r="B24" s="191" t="n">
        <v>2</v>
      </c>
      <c r="C24" s="191" t="n">
        <v>0</v>
      </c>
      <c r="D24" s="192" t="inlineStr">
        <is>
          <t>Verify server rejects write of String value to StartTime (DataType = UtcTime)</t>
        </is>
      </c>
      <c r="E24" s="193" t="n"/>
      <c r="F24" s="193" t="n"/>
      <c r="G24" s="193" t="n"/>
      <c r="H24" s="193" t="n"/>
      <c r="I24" s="193" t="inlineStr">
        <is>
          <t>n</t>
        </is>
      </c>
      <c r="J24" s="193" t="inlineStr">
        <is>
          <t>OPC 10000-4 Section 5.10.4 / OPC 40450-1 Section 10.2</t>
        </is>
      </c>
      <c r="K24" s="193" t="n"/>
    </row>
    <row r="25" s="132">
      <c r="A25" s="186" t="n"/>
      <c r="B25" s="186" t="n"/>
      <c r="C25" s="187" t="n">
        <v>1</v>
      </c>
      <c r="D25" s="186" t="inlineStr">
        <is>
          <t>Locate the StartTime Variable of a JoiningResultDataType processing times instance. Attempt to Write a String value "2024-01-01T00:00:00Z" to the StartTime node.</t>
        </is>
      </c>
      <c r="E25" s="186" t="inlineStr">
        <is>
          <t>StartTime Variable accessible with known NodeId. OPC UA session established.</t>
        </is>
      </c>
      <c r="F25" s="186" t="inlineStr">
        <is>
          <t>Write Service returns Good at service level. OperationResults contains Bad_TypeMismatch. StartTime value is unchanged (DataType = UtcTime = DateTime, not String).</t>
        </is>
      </c>
      <c r="G25" s="188" t="inlineStr">
        <is>
          <t>Good</t>
        </is>
      </c>
      <c r="H25" s="195" t="inlineStr">
        <is>
          <t>Bad_TypeMismatch</t>
        </is>
      </c>
      <c r="I25" s="186" t="n"/>
      <c r="J25" s="186" t="inlineStr">
        <is>
          <t>OPC 10000-4 Section 5.10.4</t>
        </is>
      </c>
      <c r="K25" s="186" t="inlineStr">
        <is>
          <t>UtcTime is a built-in OPC UA DataType (DateTime with UTC semantics), not a String.</t>
        </is>
      </c>
    </row>
    <row r="26" ht="20" customHeight="1" s="132">
      <c r="A26" s="191" t="inlineStr">
        <is>
          <t>n</t>
        </is>
      </c>
      <c r="B26" s="191" t="n">
        <v>3</v>
      </c>
      <c r="C26" s="191" t="n">
        <v>0</v>
      </c>
      <c r="D26" s="192" t="inlineStr">
        <is>
          <t>Verify EndTime is strictly greater than StartTime (temporal ordering)</t>
        </is>
      </c>
      <c r="E26" s="193" t="n"/>
      <c r="F26" s="193" t="n"/>
      <c r="G26" s="193" t="n"/>
      <c r="H26" s="193" t="n"/>
      <c r="I26" s="193" t="inlineStr">
        <is>
          <t>n</t>
        </is>
      </c>
      <c r="J26" s="193" t="inlineStr">
        <is>
          <t>OPC 40450-1 Section 10.2</t>
        </is>
      </c>
      <c r="K26" s="193" t="n"/>
    </row>
    <row r="27" s="132">
      <c r="A27" s="183" t="n"/>
      <c r="B27" s="183" t="n"/>
      <c r="C27" s="184" t="n">
        <v>1</v>
      </c>
      <c r="D27" s="183" t="inlineStr">
        <is>
          <t>Read StartTime and EndTime from 5 different JoiningResultDataType instances.</t>
        </is>
      </c>
      <c r="E27" s="183" t="inlineStr">
        <is>
          <t>At least 5 completed joining results available.</t>
        </is>
      </c>
      <c r="F27" s="183" t="inlineStr">
        <is>
          <t>For each result: EndTime &gt; StartTime. No result has EndTime ≤ StartTime. Duration (EndTime − StartTime) &gt; 0 for all retrieved results.</t>
        </is>
      </c>
      <c r="G27" s="185" t="inlineStr">
        <is>
          <t>Good</t>
        </is>
      </c>
      <c r="H27" s="185" t="inlineStr">
        <is>
          <t>Good</t>
        </is>
      </c>
      <c r="I27" s="183" t="n"/>
      <c r="J27" s="183" t="inlineStr">
        <is>
          <t>OPC 40450-1 Section 10.2</t>
        </is>
      </c>
      <c r="K27" s="183" t="inlineStr">
        <is>
          <t>A valid joining result always has EndTime after StartTime.</t>
        </is>
      </c>
    </row>
    <row r="28" ht="20" customHeight="1" s="132">
      <c r="A28" s="191" t="inlineStr">
        <is>
          <t>n</t>
        </is>
      </c>
      <c r="B28" s="191" t="n">
        <v>4</v>
      </c>
      <c r="C28" s="191" t="n">
        <v>0</v>
      </c>
      <c r="D28" s="192" t="inlineStr">
        <is>
          <t>Verify StartTime is not in the future</t>
        </is>
      </c>
      <c r="E28" s="193" t="n"/>
      <c r="F28" s="193" t="n"/>
      <c r="G28" s="193" t="n"/>
      <c r="H28" s="193" t="n"/>
      <c r="I28" s="193" t="inlineStr">
        <is>
          <t>n</t>
        </is>
      </c>
      <c r="J28" s="193" t="inlineStr">
        <is>
          <t>OPC 40450-1 Section 11.1 CU-10</t>
        </is>
      </c>
      <c r="K28" s="193" t="n"/>
    </row>
    <row r="29" s="132">
      <c r="A29" s="186" t="n"/>
      <c r="B29" s="186" t="n"/>
      <c r="C29" s="187" t="n">
        <v>1</v>
      </c>
      <c r="D29" s="186" t="inlineStr">
        <is>
          <t>Read StartTime from result. Compare with current UTC (1-min tolerance).</t>
        </is>
      </c>
      <c r="E29" s="186" t="inlineStr">
        <is>
          <t>Server claims this Conformance Unit; no additional runtime setup is needed for this step.</t>
        </is>
      </c>
      <c r="F29" s="186" t="inlineStr">
        <is>
          <t>StartTime &lt;= current UTC + 1 minute.</t>
        </is>
      </c>
      <c r="G29" s="188" t="inlineStr">
        <is>
          <t>Good</t>
        </is>
      </c>
      <c r="H29" s="187" t="n"/>
      <c r="I29" s="186" t="n"/>
      <c r="J29" s="203" t="inlineStr">
        <is>
          <t>OPC 40450-1 Section 10.1</t>
        </is>
      </c>
      <c r="K29" s="186" t="inlineStr">
        <is>
          <t>Requirement source: OPC 40450-1 Section 10.2 - StartTime is UtcTime of operation start.</t>
        </is>
      </c>
    </row>
    <row r="30" ht="20" customHeight="1" s="132">
      <c r="A30" s="191" t="inlineStr">
        <is>
          <t>n</t>
        </is>
      </c>
      <c r="B30" s="191" t="n">
        <v>5</v>
      </c>
      <c r="C30" s="191" t="n">
        <v>0</v>
      </c>
      <c r="D30" s="192" t="inlineStr">
        <is>
          <t>Verify EndTime &gt;= StartTime in all results</t>
        </is>
      </c>
      <c r="E30" s="193" t="n"/>
      <c r="F30" s="193" t="n"/>
      <c r="G30" s="193" t="n"/>
      <c r="H30" s="193" t="n"/>
      <c r="I30" s="193" t="inlineStr">
        <is>
          <t>n</t>
        </is>
      </c>
      <c r="J30" s="193" t="inlineStr">
        <is>
          <t>OPC 40450-1 Section 11.1 CU-10</t>
        </is>
      </c>
      <c r="K30" s="193" t="n"/>
    </row>
    <row r="31" s="132">
      <c r="A31" s="183" t="n"/>
      <c r="B31" s="183" t="n"/>
      <c r="C31" s="184" t="n">
        <v>1</v>
      </c>
      <c r="D31" s="183" t="inlineStr">
        <is>
          <t>Read StartTime and EndTime from multiple results.</t>
        </is>
      </c>
      <c r="E31" s="183" t="inlineStr">
        <is>
          <t>Server claims this Conformance Unit; no additional runtime setup is needed for this step.</t>
        </is>
      </c>
      <c r="F31" s="183" t="inlineStr">
        <is>
          <t>EndTime &gt;= StartTime for every result.</t>
        </is>
      </c>
      <c r="G31" s="185" t="inlineStr">
        <is>
          <t>Good</t>
        </is>
      </c>
      <c r="H31" s="184" t="n"/>
      <c r="I31" s="183" t="n"/>
      <c r="J31" s="202" t="inlineStr">
        <is>
          <t>OPC 40450-1 Section 10.1</t>
        </is>
      </c>
      <c r="K31" s="183" t="inlineStr">
        <is>
          <t>Requirement source: OPC 40450-1 Section 10.2 - EndTime must not precede StartTime.</t>
        </is>
      </c>
    </row>
    <row r="32" ht="20" customHeight="1" s="132">
      <c r="A32" s="191" t="inlineStr">
        <is>
          <t>n</t>
        </is>
      </c>
      <c r="B32" s="191" t="n">
        <v>6</v>
      </c>
      <c r="C32" s="191" t="n">
        <v>0</v>
      </c>
      <c r="D32" s="192" t="inlineStr">
        <is>
          <t>Verify StartTime and EndTime are UtcTime type</t>
        </is>
      </c>
      <c r="E32" s="193" t="n"/>
      <c r="F32" s="193" t="n"/>
      <c r="G32" s="193" t="n"/>
      <c r="H32" s="193" t="n"/>
      <c r="I32" s="193" t="inlineStr">
        <is>
          <t>n</t>
        </is>
      </c>
      <c r="J32" s="193" t="inlineStr">
        <is>
          <t>OPC 40450-1 Section 11.1 CU-10</t>
        </is>
      </c>
      <c r="K32" s="193" t="n"/>
    </row>
    <row r="33" s="132">
      <c r="A33" s="186" t="n"/>
      <c r="B33" s="186" t="n"/>
      <c r="C33" s="187" t="n">
        <v>1</v>
      </c>
      <c r="D33" s="186" t="inlineStr">
        <is>
          <t>Read DataType attribute of StartTime and EndTime nodes.</t>
        </is>
      </c>
      <c r="E33" s="186" t="inlineStr">
        <is>
          <t>Server claims this Conformance Unit; no additional runtime setup is needed for this step.</t>
        </is>
      </c>
      <c r="F33" s="186" t="inlineStr">
        <is>
          <t>DataType is UtcTime (i=294) for both.</t>
        </is>
      </c>
      <c r="G33" s="188" t="inlineStr">
        <is>
          <t>Good</t>
        </is>
      </c>
      <c r="H33" s="187" t="n"/>
      <c r="I33" s="186" t="n"/>
      <c r="J33" s="203" t="inlineStr">
        <is>
          <t>OPC 40450-1 Section 10.1</t>
        </is>
      </c>
      <c r="K33" s="186" t="inlineStr">
        <is>
          <t>Requirement source: OPC 40450-1 Section 10.2 - Both are UtcTime (i=294).</t>
        </is>
      </c>
    </row>
  </sheetData>
  <mergeCells count="3">
    <mergeCell ref="C2:K2"/>
    <mergeCell ref="A1:K1"/>
    <mergeCell ref="A2:B2"/>
  </mergeCells>
  <pageMargins left="0.7" right="0.7" top="0.75" bottom="0.75" header="0.3" footer="0.3"/>
</worksheet>
</file>

<file path=xl/worksheets/sheet17.xml><?xml version="1.0" encoding="utf-8"?>
<worksheet xmlns="http://schemas.openxmlformats.org/spreadsheetml/2006/main">
  <sheetPr codeName="Sheet2">
    <tabColor rgb="002E75B6"/>
    <outlinePr summaryBelow="1" summaryRight="1"/>
    <pageSetUpPr/>
  </sheetPr>
  <dimension ref="A1:K3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CU-11 IJT Result Processing Times Durations – OPC 40450-1 / OPC 40001-101</t>
        </is>
      </c>
      <c r="B1" s="197" t="n"/>
      <c r="C1" s="197" t="n"/>
      <c r="D1" s="197" t="n"/>
      <c r="E1" s="197" t="n"/>
      <c r="F1" s="197" t="n"/>
      <c r="G1" s="197" t="n"/>
      <c r="H1" s="197" t="n"/>
      <c r="I1" s="197" t="n"/>
      <c r="J1" s="197" t="n"/>
      <c r="K1" s="198" t="n"/>
    </row>
    <row r="2" ht="22" customHeight="1" s="132">
      <c r="A2" s="159">
        <f>HYPERLINK("#Home!A1","⌂ Home")</f>
        <v/>
      </c>
      <c r="B2" s="141" t="n"/>
      <c r="C2" s="179" t="inlineStr">
        <is>
          <t>CU-11 IJT Result Processing Times Durations – OPC 40450-1 / OPC 40001-101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AcquisitionDuration is declared in ProcessingTimesType</t>
        </is>
      </c>
      <c r="E4" s="182" t="n"/>
      <c r="F4" s="182" t="n"/>
      <c r="G4" s="182" t="n"/>
      <c r="H4" s="182" t="n"/>
      <c r="I4" s="182" t="inlineStr">
        <is>
          <t>n</t>
        </is>
      </c>
      <c r="J4" s="182" t="inlineStr">
        <is>
          <t>OPC 40450-1 Section 11.1 CU-11</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Inspect the ProcessingTimesType structure (OPC 40001-101). Verify the AcquisitionDuration field.</t>
        </is>
      </c>
      <c r="E5" s="183" t="inlineStr">
        <is>
          <t>ProcessingTimesType found.</t>
        </is>
      </c>
      <c r="F5" s="183" t="inlineStr">
        <is>
          <t>AcquisitionDuration is declared as an optional field with DataType = Duration (which is a Double representing milliseconds in OPC UA).</t>
        </is>
      </c>
      <c r="G5" s="185" t="inlineStr">
        <is>
          <t>Good</t>
        </is>
      </c>
      <c r="H5" s="185" t="inlineStr">
        <is>
          <t>Good</t>
        </is>
      </c>
      <c r="I5" s="183" t="n"/>
      <c r="J5" s="183" t="inlineStr">
        <is>
          <t>OPC 40001-101 / OPC 40450-1 Section 10.1</t>
        </is>
      </c>
      <c r="K5" s="183" t="inlineStr">
        <is>
          <t>Duration type = Double, unit = milliseconds.</t>
        </is>
      </c>
    </row>
    <row r="6" ht="20" customHeight="1" s="132">
      <c r="A6" s="180" t="inlineStr">
        <is>
          <t>y</t>
        </is>
      </c>
      <c r="B6" s="180" t="n">
        <v>2</v>
      </c>
      <c r="C6" s="180" t="n">
        <v>0</v>
      </c>
      <c r="D6" s="181" t="inlineStr">
        <is>
          <t>Verify ProcessingDuration is declared in ProcessingTimesType</t>
        </is>
      </c>
      <c r="E6" s="182" t="n"/>
      <c r="F6" s="182" t="n"/>
      <c r="G6" s="182" t="n"/>
      <c r="H6" s="182" t="n"/>
      <c r="I6" s="182" t="inlineStr">
        <is>
          <t>n</t>
        </is>
      </c>
      <c r="J6" s="182" t="inlineStr">
        <is>
          <t>OPC 40450-1 Section 11.1 CU-11</t>
        </is>
      </c>
      <c r="K6" s="182" t="n"/>
    </row>
    <row r="7" s="132">
      <c r="A7" s="186" t="n"/>
      <c r="B7" s="186" t="n"/>
      <c r="C7" s="187" t="n">
        <v>1</v>
      </c>
      <c r="D7" s="186" t="inlineStr">
        <is>
          <t>Inspect the ProcessingTimesType structure. Verify the ProcessingDuration field.</t>
        </is>
      </c>
      <c r="E7" s="186" t="inlineStr">
        <is>
          <t>ProcessingTimesType found.</t>
        </is>
      </c>
      <c r="F7" s="186" t="inlineStr">
        <is>
          <t>ProcessingDuration is declared as an optional field with DataType = Duration (Double, milliseconds).</t>
        </is>
      </c>
      <c r="G7" s="188" t="inlineStr">
        <is>
          <t>Good</t>
        </is>
      </c>
      <c r="H7" s="188" t="inlineStr">
        <is>
          <t>Good</t>
        </is>
      </c>
      <c r="I7" s="186" t="n"/>
      <c r="J7" s="186" t="inlineStr">
        <is>
          <t>OPC 40001-101 / OPC 40450-1 Section 10.1</t>
        </is>
      </c>
      <c r="K7" s="186" t="n"/>
    </row>
    <row r="8" ht="20" customHeight="1" s="132">
      <c r="A8" s="180" t="inlineStr">
        <is>
          <t>y</t>
        </is>
      </c>
      <c r="B8" s="180" t="n">
        <v>3</v>
      </c>
      <c r="C8" s="180" t="n">
        <v>0</v>
      </c>
      <c r="D8" s="181" t="inlineStr">
        <is>
          <t>Verify AcquisitionDuration is non-negative when present in a result</t>
        </is>
      </c>
      <c r="E8" s="182" t="n"/>
      <c r="F8" s="182" t="n"/>
      <c r="G8" s="182" t="n"/>
      <c r="H8" s="182" t="n"/>
      <c r="I8" s="182" t="inlineStr">
        <is>
          <t>n</t>
        </is>
      </c>
      <c r="J8" s="182" t="inlineStr">
        <is>
          <t>OPC 40450-1 Section 11.1 CU-11</t>
        </is>
      </c>
      <c r="K8" s="182" t="n"/>
    </row>
    <row r="9" s="132">
      <c r="A9" s="183" t="n"/>
      <c r="B9" s="183" t="n"/>
      <c r="C9" s="184" t="n">
        <v>1</v>
      </c>
      <c r="D9" s="183" t="inlineStr">
        <is>
          <t>Receive a result where AcquisitionDuration is populated. Read Result.ResultMetaData.ProcessingTimes.AcquisitionDuration.</t>
        </is>
      </c>
      <c r="E9" s="183" t="inlineStr">
        <is>
          <t>Device configured to provide AcquisitionDuration; result received.</t>
        </is>
      </c>
      <c r="F9" s="183" t="inlineStr">
        <is>
          <t>AcquisitionDuration is present. DataType = Double (Duration, ms). Value &gt;= 0.0 (cannot be negative).</t>
        </is>
      </c>
      <c r="G9" s="185" t="inlineStr">
        <is>
          <t>Good</t>
        </is>
      </c>
      <c r="H9" s="185" t="inlineStr">
        <is>
          <t>Good</t>
        </is>
      </c>
      <c r="I9" s="183" t="n"/>
      <c r="J9" s="183" t="inlineStr">
        <is>
          <t>OPC 40450-1 Section 10.1</t>
        </is>
      </c>
      <c r="K9" s="183" t="n"/>
    </row>
    <row r="10" s="132">
      <c r="A10" s="183" t="n"/>
      <c r="B10" s="183" t="n"/>
      <c r="C10" s="184" t="n">
        <v>2</v>
      </c>
      <c r="D10" s="183" t="inlineStr">
        <is>
          <t>Verify AcquisitionDuration &lt;= (EndTime – StartTime) expressed in milliseconds.</t>
        </is>
      </c>
      <c r="E10" s="183" t="inlineStr">
        <is>
          <t>AcquisitionDuration, StartTime, EndTime all available.</t>
        </is>
      </c>
      <c r="F10" s="183" t="inlineStr">
        <is>
          <t>AcquisitionDuration value does not exceed the total operation duration (EndTime – StartTime in ms). AcquisitionDuration represents the signal data capture window.</t>
        </is>
      </c>
      <c r="G10" s="185" t="inlineStr">
        <is>
          <t>Good</t>
        </is>
      </c>
      <c r="H10" s="185" t="inlineStr">
        <is>
          <t>Good</t>
        </is>
      </c>
      <c r="I10" s="183" t="n"/>
      <c r="J10" s="183" t="inlineStr">
        <is>
          <t>OPC 40450-1 Section 10.1</t>
        </is>
      </c>
      <c r="K10" s="183" t="inlineStr">
        <is>
          <t>AcquisitionDuration: time from start of data capture to end.</t>
        </is>
      </c>
    </row>
    <row r="11" ht="20" customHeight="1" s="132">
      <c r="A11" s="180" t="inlineStr">
        <is>
          <t>y</t>
        </is>
      </c>
      <c r="B11" s="180" t="n">
        <v>4</v>
      </c>
      <c r="C11" s="180" t="n">
        <v>0</v>
      </c>
      <c r="D11" s="181" t="inlineStr">
        <is>
          <t>Verify ProcessingDuration is non-negative when present in a result</t>
        </is>
      </c>
      <c r="E11" s="182" t="n"/>
      <c r="F11" s="182" t="n"/>
      <c r="G11" s="182" t="n"/>
      <c r="H11" s="182" t="n"/>
      <c r="I11" s="182" t="inlineStr">
        <is>
          <t>n</t>
        </is>
      </c>
      <c r="J11" s="182" t="inlineStr">
        <is>
          <t>OPC 40450-1 Section 11.1 CU-11</t>
        </is>
      </c>
      <c r="K11" s="182" t="n"/>
    </row>
    <row r="12" s="132">
      <c r="A12" s="186" t="n"/>
      <c r="B12" s="186" t="n"/>
      <c r="C12" s="187" t="n">
        <v>1</v>
      </c>
      <c r="D12" s="186" t="inlineStr">
        <is>
          <t>From a result with ProcessingDuration populated, read Result.ResultMetaData.ProcessingTimes.ProcessingDuration.</t>
        </is>
      </c>
      <c r="E12" s="186" t="inlineStr">
        <is>
          <t>Device configured to provide ProcessingDuration; result received.</t>
        </is>
      </c>
      <c r="F12" s="186" t="inlineStr">
        <is>
          <t>ProcessingDuration is present. DataType = Double (Duration, ms). Value &gt;= 0.0.</t>
        </is>
      </c>
      <c r="G12" s="188" t="inlineStr">
        <is>
          <t>Good</t>
        </is>
      </c>
      <c r="H12" s="188" t="inlineStr">
        <is>
          <t>Good</t>
        </is>
      </c>
      <c r="I12" s="186" t="n"/>
      <c r="J12" s="186" t="inlineStr">
        <is>
          <t>OPC 40450-1 Section 10.1</t>
        </is>
      </c>
      <c r="K12" s="186" t="n"/>
    </row>
    <row r="13" s="132">
      <c r="A13" s="186" t="n"/>
      <c r="B13" s="186" t="n"/>
      <c r="C13" s="187" t="n">
        <v>2</v>
      </c>
      <c r="D13" s="186" t="inlineStr">
        <is>
          <t>Verify ProcessingDuration &lt;= (EndTime – StartTime) expressed in milliseconds.</t>
        </is>
      </c>
      <c r="E13" s="186" t="inlineStr">
        <is>
          <t>ProcessingDuration, StartTime, EndTime available.</t>
        </is>
      </c>
      <c r="F13" s="186" t="inlineStr">
        <is>
          <t>ProcessingDuration value does not exceed the total operation duration. ProcessingDuration represents the actual processing/computation time within the total operation.</t>
        </is>
      </c>
      <c r="G13" s="188" t="inlineStr">
        <is>
          <t>Good</t>
        </is>
      </c>
      <c r="H13" s="188" t="inlineStr">
        <is>
          <t>Good</t>
        </is>
      </c>
      <c r="I13" s="186" t="n"/>
      <c r="J13" s="186" t="inlineStr">
        <is>
          <t>OPC 40450-1 Section 10.1</t>
        </is>
      </c>
      <c r="K13" s="186" t="inlineStr">
        <is>
          <t>ProcessingDuration: time spent on evaluation/calculation.</t>
        </is>
      </c>
    </row>
    <row r="14" ht="20" customHeight="1" s="132">
      <c r="A14" s="180" t="inlineStr">
        <is>
          <t>y</t>
        </is>
      </c>
      <c r="B14" s="180" t="n">
        <v>5</v>
      </c>
      <c r="C14" s="180" t="n">
        <v>0</v>
      </c>
      <c r="D14" s="181" t="inlineStr">
        <is>
          <t>Verify AcquisitionDuration + ProcessingDuration &lt;= (EndTime – StartTime) when both present</t>
        </is>
      </c>
      <c r="E14" s="182" t="n"/>
      <c r="F14" s="182" t="n"/>
      <c r="G14" s="182" t="n"/>
      <c r="H14" s="182" t="n"/>
      <c r="I14" s="182" t="inlineStr">
        <is>
          <t>n</t>
        </is>
      </c>
      <c r="J14" s="182" t="inlineStr">
        <is>
          <t>OPC 40450-1 Section 11.1 CU-11</t>
        </is>
      </c>
      <c r="K14" s="182" t="n"/>
    </row>
    <row r="15" s="132">
      <c r="A15" s="183" t="n"/>
      <c r="B15" s="183" t="n"/>
      <c r="C15" s="184" t="n">
        <v>1</v>
      </c>
      <c r="D15" s="183" t="inlineStr">
        <is>
          <t>From a result where both AcquisitionDuration and ProcessingDuration are populated, compute their sum and compare to (EndTime – StartTime in ms).</t>
        </is>
      </c>
      <c r="E15" s="183" t="inlineStr">
        <is>
          <t>Result with both durations available.</t>
        </is>
      </c>
      <c r="F15" s="183" t="inlineStr">
        <is>
          <t>Sum of AcquisitionDuration + ProcessingDuration &lt;= (EndTime – StartTime in ms). Both durations together cannot exceed the total measured operation window.</t>
        </is>
      </c>
      <c r="G15" s="185" t="inlineStr">
        <is>
          <t>Good</t>
        </is>
      </c>
      <c r="H15" s="185" t="inlineStr">
        <is>
          <t>Good</t>
        </is>
      </c>
      <c r="I15" s="183" t="n"/>
      <c r="J15" s="183" t="inlineStr">
        <is>
          <t>OPC 40450-1 Section 10.1</t>
        </is>
      </c>
      <c r="K15" s="183" t="inlineStr">
        <is>
          <t>Logical consistency check across duration fields.</t>
        </is>
      </c>
    </row>
    <row r="16" ht="20" customHeight="1" s="132">
      <c r="A16" s="180" t="inlineStr">
        <is>
          <t>y</t>
        </is>
      </c>
      <c r="B16" s="180" t="n">
        <v>6</v>
      </c>
      <c r="C16" s="180" t="n">
        <v>0</v>
      </c>
      <c r="D16" s="181" t="inlineStr">
        <is>
          <t>Verify result is valid when AcquisitionDuration and ProcessingDuration are absent</t>
        </is>
      </c>
      <c r="E16" s="182" t="n"/>
      <c r="F16" s="182" t="n"/>
      <c r="G16" s="182" t="n"/>
      <c r="H16" s="182" t="n"/>
      <c r="I16" s="182" t="inlineStr">
        <is>
          <t>n</t>
        </is>
      </c>
      <c r="J16" s="182" t="inlineStr">
        <is>
          <t>OPC 40450-1 Section 11.1 CU-11</t>
        </is>
      </c>
      <c r="K16" s="182" t="n"/>
    </row>
    <row r="17" s="132">
      <c r="A17" s="186" t="n"/>
      <c r="B17" s="186" t="n"/>
      <c r="C17" s="187" t="n">
        <v>1</v>
      </c>
      <c r="D17" s="186" t="inlineStr">
        <is>
          <t>Receive a result from a device that does not populate AcquisitionDuration and ProcessingDuration.</t>
        </is>
      </c>
      <c r="E17" s="186" t="inlineStr">
        <is>
          <t>Minimal device result available.</t>
        </is>
      </c>
      <c r="F17" s="186" t="inlineStr">
        <is>
          <t>Result is valid. StartTime and EndTime (CU-10) are still present. Absence of AcquisitionDuration and ProcessingDuration does not cause an error.</t>
        </is>
      </c>
      <c r="G17" s="188" t="inlineStr">
        <is>
          <t>Good</t>
        </is>
      </c>
      <c r="H17" s="188" t="inlineStr">
        <is>
          <t>Good</t>
        </is>
      </c>
      <c r="I17" s="186" t="n"/>
      <c r="J17" s="186" t="inlineStr">
        <is>
          <t>OPC 40450-1 Section 10.1</t>
        </is>
      </c>
      <c r="K17" s="186" t="inlineStr">
        <is>
          <t>Durations are optional; absence is valid.</t>
        </is>
      </c>
    </row>
    <row r="18" ht="20" customHeight="1" s="132">
      <c r="A18" s="180" t="inlineStr">
        <is>
          <t>n</t>
        </is>
      </c>
      <c r="B18" s="180" t="n">
        <v>7</v>
      </c>
      <c r="C18" s="180" t="n">
        <v>0</v>
      </c>
      <c r="D18" s="181" t="inlineStr">
        <is>
          <t>[Optional helper — cross-path consistency, not content conformance] Verify duration values are consistent between event payload and GetResultById</t>
        </is>
      </c>
      <c r="E18" s="182" t="n"/>
      <c r="F18" s="182" t="n"/>
      <c r="G18" s="182" t="n"/>
      <c r="H18" s="182" t="n"/>
      <c r="I18" s="182" t="inlineStr">
        <is>
          <t>n</t>
        </is>
      </c>
      <c r="J18" s="182" t="inlineStr">
        <is>
          <t>OPC 40450-1 Section 11.1 CU-11</t>
        </is>
      </c>
      <c r="K18" s="182" t="n"/>
    </row>
    <row r="19" s="132">
      <c r="A19" s="183" t="n"/>
      <c r="B19" s="183" t="n"/>
      <c r="C19" s="184" t="n">
        <v>1</v>
      </c>
      <c r="D19" s="183" t="inlineStr">
        <is>
          <t>[Optional helper — cross-path consistency] Receive event with AcquisitionDuration and ProcessingDuration. Call GetResultById with the same ResultId. Compare duration values.</t>
        </is>
      </c>
      <c r="E19" s="183" t="inlineStr">
        <is>
          <t>Optional helper precondition: Event subscription active; GetResultById available.</t>
        </is>
      </c>
      <c r="F19" s="183" t="inlineStr">
        <is>
          <t>Optional helper expected result: AcquisitionDuration and ProcessingDuration match exactly between event payload and GetResultById response.</t>
        </is>
      </c>
      <c r="G19" s="185" t="inlineStr">
        <is>
          <t>Good</t>
        </is>
      </c>
      <c r="H19" s="185" t="inlineStr">
        <is>
          <t>Good</t>
        </is>
      </c>
      <c r="I19" s="183" t="n"/>
      <c r="J19" s="183" t="inlineStr">
        <is>
          <t>OPC 40450-1 Section 7.5 / Section 10.1</t>
        </is>
      </c>
      <c r="K19" s="183" t="n"/>
    </row>
    <row r="20" ht="20" customHeight="1" s="132">
      <c r="A20" s="189" t="inlineStr">
        <is>
          <t>Error Test Cases</t>
        </is>
      </c>
      <c r="B20" s="190" t="n"/>
      <c r="C20" s="190" t="n"/>
      <c r="D20" s="190" t="n"/>
      <c r="E20" s="190" t="n"/>
      <c r="F20" s="190" t="n"/>
      <c r="G20" s="190" t="n"/>
      <c r="H20" s="190" t="n"/>
      <c r="I20" s="190" t="n"/>
      <c r="J20" s="190" t="n"/>
      <c r="K20" s="190" t="n"/>
    </row>
    <row r="21" ht="20" customHeight="1" s="132">
      <c r="A21" s="191" t="inlineStr">
        <is>
          <t>n</t>
        </is>
      </c>
      <c r="B21" s="191" t="n">
        <v>1</v>
      </c>
      <c r="C21" s="191" t="n">
        <v>0</v>
      </c>
      <c r="D21" s="192" t="inlineStr">
        <is>
          <t>Verify duration fields are server-managed</t>
        </is>
      </c>
      <c r="E21" s="193" t="n"/>
      <c r="F21" s="193" t="n"/>
      <c r="G21" s="193" t="n"/>
      <c r="H21" s="193" t="n"/>
      <c r="I21" s="193" t="inlineStr">
        <is>
          <t>n</t>
        </is>
      </c>
      <c r="J21" s="193" t="inlineStr">
        <is>
          <t>OPC 40450-1 Section 11.1 CU-11</t>
        </is>
      </c>
      <c r="K21" s="193" t="n"/>
    </row>
    <row r="22" s="132">
      <c r="A22" s="183" t="n"/>
      <c r="B22" s="183" t="n"/>
      <c r="C22" s="184" t="n">
        <v>1</v>
      </c>
      <c r="D22" s="183" t="inlineStr">
        <is>
          <t>Attempt to Write a new Double value to ResultMetaData.ProcessingTimes.AcquisitionDuration on a result Variable.</t>
        </is>
      </c>
      <c r="E22" s="183" t="inlineStr">
        <is>
          <t>JoiningSystemResultType Variable with AcquisitionDuration sub-variable accessible.</t>
        </is>
      </c>
      <c r="F22" s="183" t="inlineStr">
        <is>
          <t>Write returns Bad_NotWritable. AcquisitionDuration is unchanged.</t>
        </is>
      </c>
      <c r="G22" s="185" t="inlineStr">
        <is>
          <t>Good</t>
        </is>
      </c>
      <c r="H22" s="194" t="inlineStr">
        <is>
          <t>Bad_NotWritable</t>
        </is>
      </c>
      <c r="I22" s="183" t="n"/>
      <c r="J22" s="183" t="inlineStr">
        <is>
          <t>OPC 10000-4 Section 5.10.4</t>
        </is>
      </c>
      <c r="K22" s="183" t="n"/>
    </row>
    <row r="23" ht="20" customHeight="1" s="132">
      <c r="A23" s="191" t="inlineStr">
        <is>
          <t>n</t>
        </is>
      </c>
      <c r="B23" s="191" t="n">
        <v>2</v>
      </c>
      <c r="C23" s="191" t="n">
        <v>0</v>
      </c>
      <c r="D23" s="192" t="inlineStr">
        <is>
          <t>Verify server rejects write of negative Double to AcquisitionDuration</t>
        </is>
      </c>
      <c r="E23" s="193" t="n"/>
      <c r="F23" s="193" t="n"/>
      <c r="G23" s="193" t="n"/>
      <c r="H23" s="193" t="n"/>
      <c r="I23" s="193" t="inlineStr">
        <is>
          <t>n</t>
        </is>
      </c>
      <c r="J23" s="193" t="inlineStr">
        <is>
          <t>OPC 40450-1 Section 10.2 / OPC 10000-4 Section 5.10.4</t>
        </is>
      </c>
      <c r="K23" s="193" t="n"/>
    </row>
    <row r="24" s="132">
      <c r="A24" s="186" t="n"/>
      <c r="B24" s="186" t="n"/>
      <c r="C24" s="187" t="n">
        <v>1</v>
      </c>
      <c r="D24" s="186" t="inlineStr">
        <is>
          <t>Locate the AcquisitionDuration Variable (DataType = Double, unit = milliseconds). Attempt to Write a negative Double value (-100.0).</t>
        </is>
      </c>
      <c r="E24" s="186" t="inlineStr">
        <is>
          <t>AcquisitionDuration Variable accessible with known NodeId.</t>
        </is>
      </c>
      <c r="F24" s="186" t="inlineStr">
        <is>
          <t>If writable: Write returns Bad_OutOfRange (negative duration is physically invalid). If not writable: Write returns Bad_NotWritable. AcquisitionDuration value is not changed to a negative value.</t>
        </is>
      </c>
      <c r="G24" s="188" t="inlineStr">
        <is>
          <t>Good</t>
        </is>
      </c>
      <c r="H24" s="195" t="inlineStr">
        <is>
          <t>Bad_OutOfRange</t>
        </is>
      </c>
      <c r="I24" s="186" t="n"/>
      <c r="J24" s="186" t="inlineStr">
        <is>
          <t>OPC 40450-1 Section 10.2</t>
        </is>
      </c>
      <c r="K24" s="186" t="inlineStr">
        <is>
          <t>Duration values must be ≥ 0. Negative duration has no physical meaning.</t>
        </is>
      </c>
    </row>
    <row r="25" ht="20" customHeight="1" s="132">
      <c r="A25" s="191" t="inlineStr">
        <is>
          <t>n</t>
        </is>
      </c>
      <c r="B25" s="191" t="n">
        <v>3</v>
      </c>
      <c r="C25" s="191" t="n">
        <v>0</v>
      </c>
      <c r="D25" s="192" t="inlineStr">
        <is>
          <t>Verify ProcessingDuration value is consistent across two consecutive reads</t>
        </is>
      </c>
      <c r="E25" s="193" t="n"/>
      <c r="F25" s="193" t="n"/>
      <c r="G25" s="193" t="n"/>
      <c r="H25" s="193" t="n"/>
      <c r="I25" s="193" t="inlineStr">
        <is>
          <t>n</t>
        </is>
      </c>
      <c r="J25" s="193" t="inlineStr">
        <is>
          <t>OPC 40450-1 Section 10.2</t>
        </is>
      </c>
      <c r="K25" s="193" t="n"/>
    </row>
    <row r="26" s="132">
      <c r="A26" s="183" t="n"/>
      <c r="B26" s="183" t="n"/>
      <c r="C26" s="184" t="n">
        <v>1</v>
      </c>
      <c r="D26" s="183" t="inlineStr">
        <is>
          <t>Read ProcessingDuration from a completed (immutable) JoiningResultDataType instance at T1.</t>
        </is>
      </c>
      <c r="E26" s="183" t="inlineStr">
        <is>
          <t>A completed joining result with ProcessingDuration &gt; 0 available.</t>
        </is>
      </c>
      <c r="F26" s="183" t="inlineStr">
        <is>
          <t>ProcessingDuration returned as a non-negative Double value.</t>
        </is>
      </c>
      <c r="G26" s="185" t="inlineStr">
        <is>
          <t>Good</t>
        </is>
      </c>
      <c r="H26" s="185" t="inlineStr">
        <is>
          <t>Good</t>
        </is>
      </c>
      <c r="I26" s="183" t="n"/>
      <c r="J26" s="183" t="inlineStr">
        <is>
          <t>OPC 40450-1 Section 10.2</t>
        </is>
      </c>
      <c r="K26" s="183" t="n"/>
    </row>
    <row r="27" s="132">
      <c r="A27" s="183" t="n"/>
      <c r="B27" s="183" t="n"/>
      <c r="C27" s="184" t="n">
        <v>2</v>
      </c>
      <c r="D27" s="183" t="inlineStr">
        <is>
          <t>Wait 5 seconds. Read ProcessingDuration from the same instance at T2.</t>
        </is>
      </c>
      <c r="E27" s="183" t="inlineStr">
        <is>
          <t>Same instance as Step 1.</t>
        </is>
      </c>
      <c r="F27" s="183" t="inlineStr">
        <is>
          <t>ProcessingDuration at T2 equals ProcessingDuration at T1. Completed result data is immutable; Duration must not change after result finalization.</t>
        </is>
      </c>
      <c r="G27" s="185" t="inlineStr">
        <is>
          <t>Good</t>
        </is>
      </c>
      <c r="H27" s="185" t="inlineStr">
        <is>
          <t>Good</t>
        </is>
      </c>
      <c r="I27" s="183" t="n"/>
      <c r="J27" s="183" t="inlineStr">
        <is>
          <t>OPC 40450-1 Section 10.2</t>
        </is>
      </c>
      <c r="K27" s="183" t="inlineStr">
        <is>
          <t>Immutability of finalized results is a key data integrity requirement.</t>
        </is>
      </c>
    </row>
    <row r="28" ht="20" customHeight="1" s="132">
      <c r="A28" s="191" t="inlineStr">
        <is>
          <t>n</t>
        </is>
      </c>
      <c r="B28" s="191" t="n">
        <v>4</v>
      </c>
      <c r="C28" s="191" t="n">
        <v>0</v>
      </c>
      <c r="D28" s="192" t="inlineStr">
        <is>
          <t>Verify AcquisitionDuration &gt;= 0 (non-negative)</t>
        </is>
      </c>
      <c r="E28" s="193" t="n"/>
      <c r="F28" s="193" t="n"/>
      <c r="G28" s="193" t="n"/>
      <c r="H28" s="193" t="n"/>
      <c r="I28" s="193" t="inlineStr">
        <is>
          <t>n</t>
        </is>
      </c>
      <c r="J28" s="193" t="inlineStr">
        <is>
          <t>OPC 40450-1 Section 11.1 CU-11</t>
        </is>
      </c>
      <c r="K28" s="193" t="n"/>
    </row>
    <row r="29" s="132">
      <c r="A29" s="186" t="n"/>
      <c r="B29" s="186" t="n"/>
      <c r="C29" s="187" t="n">
        <v>1</v>
      </c>
      <c r="D29" s="186" t="inlineStr">
        <is>
          <t>Read AcquisitionDuration from completed result.</t>
        </is>
      </c>
      <c r="E29" s="186" t="inlineStr">
        <is>
          <t>Server claims this Conformance Unit; no additional runtime setup is needed for this step.</t>
        </is>
      </c>
      <c r="F29" s="186" t="inlineStr">
        <is>
          <t>AcquisitionDuration &gt;= 0.</t>
        </is>
      </c>
      <c r="G29" s="188" t="inlineStr">
        <is>
          <t>Good</t>
        </is>
      </c>
      <c r="H29" s="187" t="n"/>
      <c r="I29" s="186" t="n"/>
      <c r="J29" s="203" t="inlineStr">
        <is>
          <t>OPC 40450-1 Section 10.1</t>
        </is>
      </c>
      <c r="K29" s="186" t="inlineStr">
        <is>
          <t>Requirement source: OPC 40450-1 Section 10.2 - Duration is non-negative ms (Double).</t>
        </is>
      </c>
    </row>
    <row r="30" ht="20" customHeight="1" s="132">
      <c r="A30" s="191" t="inlineStr">
        <is>
          <t>n</t>
        </is>
      </c>
      <c r="B30" s="191" t="n">
        <v>5</v>
      </c>
      <c r="C30" s="191" t="n">
        <v>0</v>
      </c>
      <c r="D30" s="192" t="inlineStr">
        <is>
          <t>Verify ProcessingDuration &gt;= 0 (non-negative)</t>
        </is>
      </c>
      <c r="E30" s="193" t="n"/>
      <c r="F30" s="193" t="n"/>
      <c r="G30" s="193" t="n"/>
      <c r="H30" s="193" t="n"/>
      <c r="I30" s="193" t="inlineStr">
        <is>
          <t>n</t>
        </is>
      </c>
      <c r="J30" s="193" t="inlineStr">
        <is>
          <t>OPC 40450-1 Section 11.1 CU-11</t>
        </is>
      </c>
      <c r="K30" s="193" t="n"/>
    </row>
    <row r="31" s="132">
      <c r="A31" s="183" t="n"/>
      <c r="B31" s="183" t="n"/>
      <c r="C31" s="184" t="n">
        <v>1</v>
      </c>
      <c r="D31" s="183" t="inlineStr">
        <is>
          <t>Read ProcessingDuration from completed result.</t>
        </is>
      </c>
      <c r="E31" s="183" t="inlineStr">
        <is>
          <t>Server claims this Conformance Unit; no additional runtime setup is needed for this step.</t>
        </is>
      </c>
      <c r="F31" s="183" t="inlineStr">
        <is>
          <t>ProcessingDuration &gt;= 0.</t>
        </is>
      </c>
      <c r="G31" s="185" t="inlineStr">
        <is>
          <t>Good</t>
        </is>
      </c>
      <c r="H31" s="184" t="n"/>
      <c r="I31" s="183" t="n"/>
      <c r="J31" s="202" t="inlineStr">
        <is>
          <t>OPC 40450-1 Section 10.1</t>
        </is>
      </c>
      <c r="K31" s="183" t="inlineStr">
        <is>
          <t>Requirement source: OPC 40450-1 Section 10.2 - Duration is non-negative ms (Double).</t>
        </is>
      </c>
    </row>
    <row r="32" ht="20" customHeight="1" s="132">
      <c r="A32" s="191" t="inlineStr">
        <is>
          <t>n</t>
        </is>
      </c>
      <c r="B32" s="191" t="n">
        <v>6</v>
      </c>
      <c r="C32" s="191" t="n">
        <v>0</v>
      </c>
      <c r="D32" s="192" t="inlineStr">
        <is>
          <t>Verify ProcessingDuration &lt;= EndTime-StartTime (consistency)</t>
        </is>
      </c>
      <c r="E32" s="193" t="n"/>
      <c r="F32" s="193" t="n"/>
      <c r="G32" s="193" t="n"/>
      <c r="H32" s="193" t="n"/>
      <c r="I32" s="193" t="inlineStr">
        <is>
          <t>n</t>
        </is>
      </c>
      <c r="J32" s="193" t="inlineStr">
        <is>
          <t>OPC 40450-1 Section 11.1 CU-11</t>
        </is>
      </c>
      <c r="K32" s="193" t="n"/>
    </row>
    <row r="33" s="132">
      <c r="A33" s="186" t="n"/>
      <c r="B33" s="186" t="n"/>
      <c r="C33" s="187" t="n">
        <v>1</v>
      </c>
      <c r="D33" s="186" t="inlineStr">
        <is>
          <t>Read ProcessingDuration, StartTime, EndTime from same result. Compute total.</t>
        </is>
      </c>
      <c r="E33" s="186" t="inlineStr">
        <is>
          <t>Server claims this Conformance Unit; no additional runtime setup is needed for this step.</t>
        </is>
      </c>
      <c r="F33" s="186" t="inlineStr">
        <is>
          <t>ProcessingDuration &lt;= (EndTime-StartTime) in ms.</t>
        </is>
      </c>
      <c r="G33" s="188" t="inlineStr">
        <is>
          <t>Good</t>
        </is>
      </c>
      <c r="H33" s="187" t="n"/>
      <c r="I33" s="186" t="n"/>
      <c r="J33" s="203" t="inlineStr">
        <is>
          <t>OPC 40450-1 Section 10.1</t>
        </is>
      </c>
      <c r="K33" s="186" t="inlineStr">
        <is>
          <t>Requirement source: OPC 40450-1 Section 10.2 - ProcessingDuration cannot exceed total operation time.</t>
        </is>
      </c>
    </row>
  </sheetData>
  <mergeCells count="3">
    <mergeCell ref="C2:K2"/>
    <mergeCell ref="A1:K1"/>
    <mergeCell ref="A2:B2"/>
  </mergeCells>
  <pageMargins left="0.7" right="0.7" top="0.75" bottom="0.75" header="0.3" footer="0.3"/>
</worksheet>
</file>

<file path=xl/worksheets/sheet18.xml><?xml version="1.0" encoding="utf-8"?>
<worksheet xmlns="http://schemas.openxmlformats.org/spreadsheetml/2006/main">
  <sheetPr codeName="Sheet13">
    <tabColor rgb="002E75B6"/>
    <outlinePr summaryBelow="1" summaryRight="1"/>
    <pageSetUpPr/>
  </sheetPr>
  <dimension ref="A1:K41"/>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CU-12 IJT Result Event Access – OPC 40450-1 Section 8 Table 162</t>
        </is>
      </c>
      <c r="B1" s="197" t="n"/>
      <c r="C1" s="197" t="n"/>
      <c r="D1" s="197" t="n"/>
      <c r="E1" s="197" t="n"/>
      <c r="F1" s="197" t="n"/>
      <c r="G1" s="197" t="n"/>
      <c r="H1" s="197" t="n"/>
      <c r="I1" s="197" t="n"/>
      <c r="J1" s="197" t="n"/>
      <c r="K1" s="198" t="n"/>
    </row>
    <row r="2" ht="22" customHeight="1" s="132">
      <c r="A2" s="159">
        <f>HYPERLINK("#Home!A1","⌂ Home")</f>
        <v/>
      </c>
      <c r="B2" s="141" t="n"/>
      <c r="C2" s="179" t="inlineStr">
        <is>
          <t>CU-12 IJT Result Event Access – OPC 40450-1 Section 8 Table 162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JoiningSystemResultReadyEventType exists in the TypeSystem</t>
        </is>
      </c>
      <c r="E4" s="182" t="n"/>
      <c r="F4" s="182" t="n"/>
      <c r="G4" s="182" t="n"/>
      <c r="H4" s="182" t="n"/>
      <c r="I4" s="182" t="inlineStr">
        <is>
          <t>n</t>
        </is>
      </c>
      <c r="J4" s="182" t="inlineStr">
        <is>
          <t>OPC 40450-1 Section 11.1 CU-12</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the TypeSystem for JoiningSystemResultReadyEventType in the IJT namespace.</t>
        </is>
      </c>
      <c r="E5" s="183" t="inlineStr">
        <is>
          <t>Server accessible.</t>
        </is>
      </c>
      <c r="F5" s="183" t="inlineStr">
        <is>
          <t>JoiningSystemResultReadyEventType is found. NodeClass = ObjectType. IsAbstract = True (per spec Table 162).</t>
        </is>
      </c>
      <c r="G5" s="185" t="inlineStr">
        <is>
          <t>Good</t>
        </is>
      </c>
      <c r="H5" s="185" t="inlineStr">
        <is>
          <t>Good</t>
        </is>
      </c>
      <c r="I5" s="183" t="n"/>
      <c r="J5" s="183" t="inlineStr">
        <is>
          <t>OPC 40450-1 Section 8 Table 162</t>
        </is>
      </c>
      <c r="K5" s="183" t="n"/>
    </row>
    <row r="6" s="132">
      <c r="A6" s="183" t="n"/>
      <c r="B6" s="183" t="n"/>
      <c r="C6" s="184" t="n">
        <v>2</v>
      </c>
      <c r="D6" s="183" t="inlineStr">
        <is>
          <t>Follow the HasSubtype inverse Reference from JoiningSystemResultReadyEventType.</t>
        </is>
      </c>
      <c r="E6" s="183" t="inlineStr">
        <is>
          <t>JoiningSystemResultReadyEventType found.</t>
        </is>
      </c>
      <c r="F6" s="183" t="inlineStr">
        <is>
          <t>It is a subtype of 5:ResultReadyEventType (Machinery Result namespace http://opcfoundation.org/UA/Machinery/Result/).</t>
        </is>
      </c>
      <c r="G6" s="185" t="inlineStr">
        <is>
          <t>Good</t>
        </is>
      </c>
      <c r="H6" s="185" t="inlineStr">
        <is>
          <t>Good</t>
        </is>
      </c>
      <c r="I6" s="183" t="n"/>
      <c r="J6" s="183" t="inlineStr">
        <is>
          <t>OPC 40450-1 Section 8 Table 162 / OPC 40001-101</t>
        </is>
      </c>
      <c r="K6" s="183" t="n"/>
    </row>
    <row r="7" s="132">
      <c r="A7" s="183" t="n"/>
      <c r="B7" s="183" t="n"/>
      <c r="C7" s="184" t="n">
        <v>3</v>
      </c>
      <c r="D7" s="183" t="inlineStr">
        <is>
          <t>Verify the mandatory 5:Result Variable component of JoiningSystemResultReadyEventType.</t>
        </is>
      </c>
      <c r="E7" s="183" t="inlineStr">
        <is>
          <t>JoiningSystemResultReadyEventType found.</t>
        </is>
      </c>
      <c r="F7" s="183" t="inlineStr">
        <is>
          <t>A HasComponent Reference to 5:Result exists with TypeDefinition = JoiningSystemResultType, ModellingRule = Mandatory.</t>
        </is>
      </c>
      <c r="G7" s="185" t="inlineStr">
        <is>
          <t>Good</t>
        </is>
      </c>
      <c r="H7" s="185" t="inlineStr">
        <is>
          <t>Good</t>
        </is>
      </c>
      <c r="I7" s="183" t="n"/>
      <c r="J7" s="183" t="inlineStr">
        <is>
          <t>OPC 40450-1 Section 8 Table 162</t>
        </is>
      </c>
      <c r="K7" s="183" t="n"/>
    </row>
    <row r="8" ht="20" customHeight="1" s="132">
      <c r="A8" s="180" t="inlineStr">
        <is>
          <t>y</t>
        </is>
      </c>
      <c r="B8" s="180" t="n">
        <v>2</v>
      </c>
      <c r="C8" s="180" t="n">
        <v>0</v>
      </c>
      <c r="D8" s="181" t="inlineStr">
        <is>
          <t>Verify JoiningSystemResultType variable type structure</t>
        </is>
      </c>
      <c r="E8" s="182" t="n"/>
      <c r="F8" s="182" t="n"/>
      <c r="G8" s="182" t="n"/>
      <c r="H8" s="182" t="n"/>
      <c r="I8" s="182" t="inlineStr">
        <is>
          <t>n</t>
        </is>
      </c>
      <c r="J8" s="182" t="inlineStr">
        <is>
          <t>OPC 40450-1 Section 11.1 CU-12</t>
        </is>
      </c>
      <c r="K8" s="182" t="n"/>
    </row>
    <row r="9" s="132">
      <c r="A9" s="186" t="n"/>
      <c r="B9" s="186" t="n"/>
      <c r="C9" s="187" t="n">
        <v>1</v>
      </c>
      <c r="D9" s="186" t="inlineStr">
        <is>
          <t>Browse the TypeSystem for JoiningSystemResultType in the IJT namespace.</t>
        </is>
      </c>
      <c r="E9" s="186" t="inlineStr">
        <is>
          <t>Server accessible.</t>
        </is>
      </c>
      <c r="F9" s="186" t="inlineStr">
        <is>
          <t>JoiningSystemResultType is found with NodeClass = VariableType. DataType = 5:ResultDataType. ValueRank = Scalar.</t>
        </is>
      </c>
      <c r="G9" s="188" t="inlineStr">
        <is>
          <t>Good</t>
        </is>
      </c>
      <c r="H9" s="188" t="inlineStr">
        <is>
          <t>Good</t>
        </is>
      </c>
      <c r="I9" s="186" t="n"/>
      <c r="J9" s="186" t="inlineStr">
        <is>
          <t>OPC 40450-1 Section 9.2 Table 205</t>
        </is>
      </c>
      <c r="K9" s="186" t="n"/>
    </row>
    <row r="10" s="132">
      <c r="A10" s="186" t="n"/>
      <c r="B10" s="186" t="n"/>
      <c r="C10" s="187" t="n">
        <v>2</v>
      </c>
      <c r="D10" s="186" t="inlineStr">
        <is>
          <t>Follow the HasSubtype inverse Reference.</t>
        </is>
      </c>
      <c r="E10" s="186" t="inlineStr">
        <is>
          <t>JoiningSystemResultType found.</t>
        </is>
      </c>
      <c r="F10" s="186" t="inlineStr">
        <is>
          <t>It is a subtype of 5:ResultType (OPC 40001-101).</t>
        </is>
      </c>
      <c r="G10" s="188" t="inlineStr">
        <is>
          <t>Good</t>
        </is>
      </c>
      <c r="H10" s="188" t="inlineStr">
        <is>
          <t>Good</t>
        </is>
      </c>
      <c r="I10" s="186" t="n"/>
      <c r="J10" s="186" t="inlineStr">
        <is>
          <t>OPC 40450-1 Section 9.2 Table 205 / OPC 40001-101</t>
        </is>
      </c>
      <c r="K10" s="186" t="n"/>
    </row>
    <row r="11" s="132">
      <c r="A11" s="186" t="n"/>
      <c r="B11" s="186" t="n"/>
      <c r="C11" s="187" t="n">
        <v>3</v>
      </c>
      <c r="D11" s="186" t="inlineStr">
        <is>
          <t>Verify mandatory 5:ResultMetaData HasStructuredComponent sub-variable.</t>
        </is>
      </c>
      <c r="E11" s="186" t="inlineStr">
        <is>
          <t>JoiningSystemResultType found.</t>
        </is>
      </c>
      <c r="F11" s="186" t="inlineStr">
        <is>
          <t>5:ResultMetaData is present with TypeDefinition = BaseDataVariableType and DataType = JoiningResultMetaDataType. ModellingRule = Mandatory.</t>
        </is>
      </c>
      <c r="G11" s="188" t="inlineStr">
        <is>
          <t>Good</t>
        </is>
      </c>
      <c r="H11" s="188" t="inlineStr">
        <is>
          <t>Good</t>
        </is>
      </c>
      <c r="I11" s="186" t="n"/>
      <c r="J11" s="186" t="inlineStr">
        <is>
          <t>OPC 40450-1 Section 9.2 Table 205</t>
        </is>
      </c>
      <c r="K11" s="186" t="n"/>
    </row>
    <row r="12" ht="20" customHeight="1" s="132">
      <c r="A12" s="180" t="inlineStr">
        <is>
          <t>y</t>
        </is>
      </c>
      <c r="B12" s="180" t="n">
        <v>3</v>
      </c>
      <c r="C12" s="180" t="n">
        <v>0</v>
      </c>
      <c r="D12" s="181" t="inlineStr">
        <is>
          <t>Verify the JoiningSystem instance can be used as an event source for result events</t>
        </is>
      </c>
      <c r="E12" s="182" t="n"/>
      <c r="F12" s="182" t="n"/>
      <c r="G12" s="182" t="n"/>
      <c r="H12" s="182" t="n"/>
      <c r="I12" s="182" t="inlineStr">
        <is>
          <t>n</t>
        </is>
      </c>
      <c r="J12" s="182" t="inlineStr">
        <is>
          <t>OPC 40450-1 Section 11.1 CU-12</t>
        </is>
      </c>
      <c r="K12" s="182" t="n"/>
    </row>
    <row r="13" s="132">
      <c r="A13" s="183" t="n"/>
      <c r="B13" s="183" t="n"/>
      <c r="C13" s="184" t="n">
        <v>1</v>
      </c>
      <c r="D13" s="183" t="inlineStr">
        <is>
          <t>Read the EventNotifier Attribute of the JoiningSystem instance and of the 5:ResultManagement AddIn.</t>
        </is>
      </c>
      <c r="E13" s="183" t="inlineStr">
        <is>
          <t>JoiningSystem instance and 5:ResultManagement accessible.</t>
        </is>
      </c>
      <c r="F13" s="183" t="inlineStr">
        <is>
          <t>EventNotifier Attribute has the SubscribeToEvents bit (bit 0) set to 1 on at least the JoiningSystem instance or the 5:ResultManagement AddIn.</t>
        </is>
      </c>
      <c r="G13" s="185" t="inlineStr">
        <is>
          <t>Good</t>
        </is>
      </c>
      <c r="H13" s="185" t="inlineStr">
        <is>
          <t>Good</t>
        </is>
      </c>
      <c r="I13" s="183" t="n"/>
      <c r="J13" s="183" t="inlineStr">
        <is>
          <t>OPC 10000-3 Section 5.6.4</t>
        </is>
      </c>
      <c r="K13" s="183" t="inlineStr">
        <is>
          <t>Required for event subscription.</t>
        </is>
      </c>
    </row>
    <row r="14" ht="20" customHeight="1" s="132">
      <c r="A14" s="204" t="inlineStr">
        <is>
          <t>y</t>
        </is>
      </c>
      <c r="B14" s="204" t="n">
        <v>4</v>
      </c>
      <c r="C14" s="204" t="n">
        <v>0</v>
      </c>
      <c r="D14" s="205" t="inlineStr">
        <is>
          <t>Verify setting up an OPC UA event subscription and receiving a result event</t>
        </is>
      </c>
      <c r="E14" s="206" t="n"/>
      <c r="F14" s="206" t="n"/>
      <c r="G14" s="206" t="n"/>
      <c r="H14" s="206" t="n"/>
      <c r="I14" s="206" t="inlineStr">
        <is>
          <t>n</t>
        </is>
      </c>
      <c r="J14" s="206" t="inlineStr">
        <is>
          <t>OPC 40450-1 Section 11.1 CU-12</t>
        </is>
      </c>
      <c r="K14" s="206" t="n"/>
    </row>
    <row r="15" s="132">
      <c r="A15" s="186" t="n"/>
      <c r="B15" s="186" t="n"/>
      <c r="C15" s="187" t="n">
        <v>1</v>
      </c>
      <c r="D15" s="186" t="inlineStr">
        <is>
          <t>Create an OPC UA Subscription with a reasonable PublishingInterval (e.g. 500 ms). Add a MonitoredItem for EventNotifications on the JoiningSystem node with an EventFilter that selects JoiningSystemResultReadyEventType.</t>
        </is>
      </c>
      <c r="E15" s="186" t="inlineStr">
        <is>
          <t>OPC UA session established.</t>
        </is>
      </c>
      <c r="F15" s="186" t="inlineStr">
        <is>
          <t>CreateSubscription and CreateMonitoredItems return Good. The MonitoredItem is created with StatusCode = Good.</t>
        </is>
      </c>
      <c r="G15" s="188" t="inlineStr">
        <is>
          <t>Good</t>
        </is>
      </c>
      <c r="H15" s="188" t="inlineStr">
        <is>
          <t>Good</t>
        </is>
      </c>
      <c r="I15" s="186" t="n"/>
      <c r="J15" s="186" t="inlineStr">
        <is>
          <t>OPC 10000-4 Section 5.12 / Section 5.13</t>
        </is>
      </c>
      <c r="K15" s="186" t="n"/>
    </row>
    <row r="16" s="132">
      <c r="A16" s="186" t="n"/>
      <c r="B16" s="186" t="n"/>
      <c r="C16" s="187" t="n">
        <v>2</v>
      </c>
      <c r="D16" s="186" t="inlineStr">
        <is>
          <t>Trigger a single joining operation on the device.</t>
        </is>
      </c>
      <c r="E16" s="186" t="inlineStr">
        <is>
          <t>Subscription is active; device is operational.</t>
        </is>
      </c>
      <c r="F16" s="186" t="inlineStr">
        <is>
          <t>Within the configured timeout, a Publish response is received containing a NotificationMessage with an EventNotificationList entry. The EventTypeId in the event corresponds to JoiningSystemResultReadyEventType or a subtype.</t>
        </is>
      </c>
      <c r="G16" s="188" t="inlineStr">
        <is>
          <t>Good</t>
        </is>
      </c>
      <c r="H16" s="188" t="inlineStr">
        <is>
          <t>Good</t>
        </is>
      </c>
      <c r="I16" s="186" t="n"/>
      <c r="J16" s="186" t="inlineStr">
        <is>
          <t>OPC 40450-1 Section 8 Table 162</t>
        </is>
      </c>
      <c r="K16" s="186" t="n"/>
    </row>
    <row r="17" customFormat="1" s="138">
      <c r="A17" s="186" t="n"/>
      <c r="B17" s="186" t="n"/>
      <c r="C17" s="187" t="n">
        <v>3</v>
      </c>
      <c r="D17" s="186" t="inlineStr">
        <is>
          <t>Verify the Result variable is present in the received event notification.</t>
        </is>
      </c>
      <c r="E17" s="186" t="inlineStr">
        <is>
          <t>Event received in step 2.</t>
        </is>
      </c>
      <c r="F17" s="186" t="inlineStr">
        <is>
          <t>The event notification includes the 5:Result field. The Result value is non-null and contains a ResultMetaData with a valid non-empty ResultId.</t>
        </is>
      </c>
      <c r="G17" s="188" t="inlineStr">
        <is>
          <t>Good</t>
        </is>
      </c>
      <c r="H17" s="188" t="inlineStr">
        <is>
          <t>Good</t>
        </is>
      </c>
      <c r="I17" s="186" t="n"/>
      <c r="J17" s="186" t="inlineStr">
        <is>
          <t>OPC 40450-1 Section 8 Table 162</t>
        </is>
      </c>
      <c r="K17" s="186" t="n"/>
    </row>
    <row r="18" ht="20" customHeight="1" s="132">
      <c r="A18" s="180" t="inlineStr">
        <is>
          <t>y</t>
        </is>
      </c>
      <c r="B18" s="180" t="n">
        <v>5</v>
      </c>
      <c r="C18" s="180" t="n">
        <v>0</v>
      </c>
      <c r="D18" s="181" t="inlineStr">
        <is>
          <t>Verify mandatory BaseEventType fields are populated in the result event</t>
        </is>
      </c>
      <c r="E18" s="182" t="n"/>
      <c r="F18" s="182" t="n"/>
      <c r="G18" s="182" t="n"/>
      <c r="H18" s="182" t="n"/>
      <c r="I18" s="182" t="inlineStr">
        <is>
          <t>n</t>
        </is>
      </c>
      <c r="J18" s="182" t="inlineStr">
        <is>
          <t>OPC 40450-1 Section 11.1 CU-12</t>
        </is>
      </c>
      <c r="K18" s="182" t="n"/>
    </row>
    <row r="19" s="132">
      <c r="A19" s="183" t="n"/>
      <c r="B19" s="183" t="n"/>
      <c r="C19" s="184" t="n">
        <v>1</v>
      </c>
      <c r="D19" s="183" t="inlineStr">
        <is>
          <t>From the received JoiningSystemResultReadyEventType event, verify the following BaseEventType fields: EventId (ByteString), EventType (NodeId), SourceNode (NodeId), Time (UtcTime), Message (LocalizedText), Severity (UInt16).</t>
        </is>
      </c>
      <c r="E19" s="183" t="inlineStr">
        <is>
          <t>Event received.</t>
        </is>
      </c>
      <c r="F19" s="183" t="inlineStr">
        <is>
          <t>EventId is a non-null ByteString (unique per event). EventType NodeId = JoiningSystemResultReadyEventType (or a subtype). SourceNode points to the JoiningSystem instance or a component thereof. Time is a valid recent UtcTime. Severity is in range 1–1000.</t>
        </is>
      </c>
      <c r="G19" s="185" t="inlineStr">
        <is>
          <t>Good</t>
        </is>
      </c>
      <c r="H19" s="185" t="inlineStr">
        <is>
          <t>Good</t>
        </is>
      </c>
      <c r="I19" s="183" t="n"/>
      <c r="J19" s="183" t="inlineStr">
        <is>
          <t>OPC 10000-5 Section 6.4.2</t>
        </is>
      </c>
      <c r="K19" s="183" t="n"/>
    </row>
    <row r="20" s="132">
      <c r="A20" s="183" t="n"/>
      <c r="B20" s="183" t="n"/>
      <c r="C20" s="184" t="n">
        <v>2</v>
      </c>
      <c r="D20" s="183" t="inlineStr">
        <is>
          <t>Verify SourceName is a non-empty String identifying the source of the event (e.g. server name or joining system name).</t>
        </is>
      </c>
      <c r="E20" s="183" t="inlineStr">
        <is>
          <t>Event received.</t>
        </is>
      </c>
      <c r="F20" s="183" t="inlineStr">
        <is>
          <t>SourceName is present and non-empty.</t>
        </is>
      </c>
      <c r="G20" s="185" t="inlineStr">
        <is>
          <t>Good</t>
        </is>
      </c>
      <c r="H20" s="185" t="inlineStr">
        <is>
          <t>Good</t>
        </is>
      </c>
      <c r="I20" s="183" t="n"/>
      <c r="J20" s="183" t="inlineStr">
        <is>
          <t>OPC 10000-5 Section 6.4.2</t>
        </is>
      </c>
      <c r="K20" s="183" t="n"/>
    </row>
    <row r="21" ht="20" customHeight="1" s="132">
      <c r="A21" s="204" t="inlineStr">
        <is>
          <t>y</t>
        </is>
      </c>
      <c r="B21" s="204" t="n">
        <v>6</v>
      </c>
      <c r="C21" s="204" t="n">
        <v>0</v>
      </c>
      <c r="D21" s="205" t="inlineStr">
        <is>
          <t>Verify multiple rapid results produce separate distinct events</t>
        </is>
      </c>
      <c r="E21" s="206" t="n"/>
      <c r="F21" s="206" t="n"/>
      <c r="G21" s="206" t="n"/>
      <c r="H21" s="206" t="n"/>
      <c r="I21" s="206" t="inlineStr">
        <is>
          <t>n</t>
        </is>
      </c>
      <c r="J21" s="206" t="inlineStr">
        <is>
          <t>OPC 40450-1 Section 11.1 CU-12</t>
        </is>
      </c>
      <c r="K21" s="206" t="n"/>
    </row>
    <row r="22" s="132">
      <c r="A22" s="186" t="n"/>
      <c r="B22" s="186" t="n"/>
      <c r="C22" s="187" t="n">
        <v>1</v>
      </c>
      <c r="D22" s="186" t="inlineStr">
        <is>
          <t>Trigger 3 consecutive joining operations in quick succession (&lt; 5 seconds apart). Monitor all received events.</t>
        </is>
      </c>
      <c r="E22" s="186" t="inlineStr">
        <is>
          <t>Subscription active; 3 joining operations performed.</t>
        </is>
      </c>
      <c r="F22" s="186" t="inlineStr">
        <is>
          <t>3 separate JoiningSystemResultReadyEventType event notifications are received. Each has a unique EventId and a unique Result.ResultMetaData.ResultId. Events arrive in temporal order (Time field is ascending).</t>
        </is>
      </c>
      <c r="G22" s="188" t="inlineStr">
        <is>
          <t>Good</t>
        </is>
      </c>
      <c r="H22" s="188" t="inlineStr">
        <is>
          <t>Good</t>
        </is>
      </c>
      <c r="I22" s="186" t="n"/>
      <c r="J22" s="186" t="inlineStr">
        <is>
          <t>OPC 40450-1 Section 8</t>
        </is>
      </c>
      <c r="K22" s="186" t="n"/>
    </row>
    <row r="23" ht="20" customHeight="1" s="132">
      <c r="A23" s="180" t="inlineStr">
        <is>
          <t>y</t>
        </is>
      </c>
      <c r="B23" s="180" t="n">
        <v>7</v>
      </c>
      <c r="C23" s="180" t="n">
        <v>0</v>
      </c>
      <c r="D23" s="181" t="inlineStr">
        <is>
          <t>Verify event subscription using a refined EventFilter limits events to result events only</t>
        </is>
      </c>
      <c r="E23" s="182" t="n"/>
      <c r="F23" s="182" t="n"/>
      <c r="G23" s="182" t="n"/>
      <c r="H23" s="182" t="n"/>
      <c r="I23" s="182" t="inlineStr">
        <is>
          <t>n</t>
        </is>
      </c>
      <c r="J23" s="182" t="inlineStr">
        <is>
          <t>OPC 40450-1 Section 11.1 CU-12</t>
        </is>
      </c>
      <c r="K23" s="182" t="n"/>
    </row>
    <row r="24" s="132">
      <c r="A24" s="183" t="n"/>
      <c r="B24" s="183" t="n"/>
      <c r="C24" s="184" t="n">
        <v>1</v>
      </c>
      <c r="D24" s="183" t="inlineStr">
        <is>
          <t>Set up a CreateMonitoredItems with an EventFilter using a WhereClause that restricts EventType to JoiningSystemResultReadyEventType and excludes JoiningSystemEventType.</t>
        </is>
      </c>
      <c r="E24" s="183" t="inlineStr">
        <is>
          <t>Subscription active.</t>
        </is>
      </c>
      <c r="F24" s="183" t="inlineStr">
        <is>
          <t>Only JoiningSystemResultReadyEventType events are received. Other JoiningSystemEventType events (e.g. asset connection events) are not delivered to this monitored item.</t>
        </is>
      </c>
      <c r="G24" s="185" t="inlineStr">
        <is>
          <t>Good</t>
        </is>
      </c>
      <c r="H24" s="185" t="inlineStr">
        <is>
          <t>Good</t>
        </is>
      </c>
      <c r="I24" s="183" t="n"/>
      <c r="J24" s="183" t="inlineStr">
        <is>
          <t>OPC 10000-4 Section 7.4.32</t>
        </is>
      </c>
      <c r="K24" s="183" t="inlineStr">
        <is>
          <t>EventFilter WhereClause: OfType(JoiningSystemResultReadyEventType).</t>
        </is>
      </c>
    </row>
    <row r="25" ht="20" customHeight="1" s="132">
      <c r="A25" s="180" t="inlineStr">
        <is>
          <t>y</t>
        </is>
      </c>
      <c r="B25" s="180" t="n">
        <v>8</v>
      </c>
      <c r="C25" s="180" t="n">
        <v>0</v>
      </c>
      <c r="D25" s="181" t="inlineStr">
        <is>
          <t>Verify the Result variable accessible via JoiningSystemResultType sub-variables</t>
        </is>
      </c>
      <c r="E25" s="182" t="n"/>
      <c r="F25" s="182" t="n"/>
      <c r="G25" s="182" t="n"/>
      <c r="H25" s="182" t="n"/>
      <c r="I25" s="182" t="inlineStr">
        <is>
          <t>n</t>
        </is>
      </c>
      <c r="J25" s="182" t="inlineStr">
        <is>
          <t>OPC 40450-1 Section 11.1 CU-12</t>
        </is>
      </c>
      <c r="K25" s="182" t="n"/>
    </row>
    <row r="26" s="132">
      <c r="A26" s="186" t="n"/>
      <c r="B26" s="186" t="n"/>
      <c r="C26" s="187" t="n">
        <v>1</v>
      </c>
      <c r="D26" s="186" t="inlineStr">
        <is>
          <t>In the event filter, individually select Result/5:ResultMetaData/ResultId, Result/5:ResultMetaData/Classification, Result/5:ResultMetaData/CreationTime as SimpleAttributeOperand in SelectClauses.</t>
        </is>
      </c>
      <c r="E26" s="186" t="inlineStr">
        <is>
          <t>Subscription active.</t>
        </is>
      </c>
      <c r="F26" s="186" t="inlineStr">
        <is>
          <t>The event delivers the ResultId (String), Classification (Byte), and CreationTime (UtcTime) in the event notification fields, correctly mapped to the selected paths.</t>
        </is>
      </c>
      <c r="G26" s="188" t="inlineStr">
        <is>
          <t>Good</t>
        </is>
      </c>
      <c r="H26" s="188" t="inlineStr">
        <is>
          <t>Good</t>
        </is>
      </c>
      <c r="I26" s="186" t="n"/>
      <c r="J26" s="186" t="inlineStr">
        <is>
          <t>OPC 40450-1 Section 9.2 Table 205-206</t>
        </is>
      </c>
      <c r="K26" s="186" t="inlineStr">
        <is>
          <t>Individual structured component selection via OPC UA event filter SelectClause.</t>
        </is>
      </c>
    </row>
    <row r="27" ht="20" customHeight="1" s="132">
      <c r="A27" s="180" t="inlineStr">
        <is>
          <t>y</t>
        </is>
      </c>
      <c r="B27" s="180" t="n">
        <v>9</v>
      </c>
      <c r="C27" s="180" t="n">
        <v>0</v>
      </c>
      <c r="D27" s="181" t="inlineStr">
        <is>
          <t>Verify result event IsPartial flag for partial vs. complete results</t>
        </is>
      </c>
      <c r="E27" s="182" t="n"/>
      <c r="F27" s="182" t="n"/>
      <c r="G27" s="182" t="n"/>
      <c r="H27" s="182" t="n"/>
      <c r="I27" s="182" t="inlineStr">
        <is>
          <t>n</t>
        </is>
      </c>
      <c r="J27" s="182" t="inlineStr">
        <is>
          <t>OPC 40450-1 Section 11.1 CU-12</t>
        </is>
      </c>
      <c r="K27" s="182" t="n"/>
    </row>
    <row r="28" s="132">
      <c r="A28" s="183" t="n"/>
      <c r="B28" s="183" t="n"/>
      <c r="C28" s="184" t="n">
        <v>1</v>
      </c>
      <c r="D28" s="183" t="inlineStr">
        <is>
          <t>If device supports batch or sync processing, subscribe to result events and verify IsPartial = True on intermediate results and IsPartial = False on the final result.</t>
        </is>
      </c>
      <c r="E28" s="183" t="inlineStr">
        <is>
          <t>Device with batch/sync processing configured.</t>
        </is>
      </c>
      <c r="F28" s="183" t="inlineStr">
        <is>
          <t>Intermediate result events have IsPartial = True. The final result event for the same operation has IsPartial = False.</t>
        </is>
      </c>
      <c r="G28" s="185" t="inlineStr">
        <is>
          <t>Good</t>
        </is>
      </c>
      <c r="H28" s="185" t="inlineStr">
        <is>
          <t>Good</t>
        </is>
      </c>
      <c r="I28" s="183" t="n"/>
      <c r="J28" s="183" t="inlineStr">
        <is>
          <t>OPC 40450-1 Section 10.1 / Annex F</t>
        </is>
      </c>
      <c r="K28" s="183" t="inlineStr">
        <is>
          <t>Partial results have IsPartial = True per Annex F examples.</t>
        </is>
      </c>
    </row>
    <row r="29" ht="20" customHeight="1" s="132">
      <c r="A29" s="189" t="inlineStr">
        <is>
          <t>Error Test Cases</t>
        </is>
      </c>
      <c r="B29" s="190" t="n"/>
      <c r="C29" s="190" t="n"/>
      <c r="D29" s="190" t="n"/>
      <c r="E29" s="190" t="n"/>
      <c r="F29" s="190" t="n"/>
      <c r="G29" s="190" t="n"/>
      <c r="H29" s="190" t="n"/>
      <c r="I29" s="190" t="n"/>
      <c r="J29" s="190" t="n"/>
      <c r="K29" s="190" t="n"/>
    </row>
    <row r="30" ht="20" customHeight="1" s="132">
      <c r="A30" s="191" t="inlineStr">
        <is>
          <t>n</t>
        </is>
      </c>
      <c r="B30" s="191" t="n">
        <v>1</v>
      </c>
      <c r="C30" s="191" t="n">
        <v>0</v>
      </c>
      <c r="D30" s="192" t="inlineStr">
        <is>
          <t>Verify no event is received without an active event subscription</t>
        </is>
      </c>
      <c r="E30" s="193" t="n"/>
      <c r="F30" s="193" t="n"/>
      <c r="G30" s="193" t="n"/>
      <c r="H30" s="193" t="n"/>
      <c r="I30" s="193" t="inlineStr">
        <is>
          <t>n</t>
        </is>
      </c>
      <c r="J30" s="193" t="inlineStr">
        <is>
          <t>OPC 40450-1 Section 11.1 CU-12</t>
        </is>
      </c>
      <c r="K30" s="193" t="n"/>
    </row>
    <row r="31" s="132">
      <c r="A31" s="183" t="n"/>
      <c r="B31" s="183" t="n"/>
      <c r="C31" s="184" t="n">
        <v>1</v>
      </c>
      <c r="D31" s="183" t="inlineStr">
        <is>
          <t>Do NOT create an OPC UA Subscription. Trigger a joining operation.</t>
        </is>
      </c>
      <c r="E31" s="183" t="inlineStr">
        <is>
          <t>No subscription created on the server.</t>
        </is>
      </c>
      <c r="F31" s="183" t="inlineStr">
        <is>
          <t>No JoiningSystemResultReadyEventType event notification is delivered to the client. The operation completes on the device without client notification.</t>
        </is>
      </c>
      <c r="G31" s="185" t="inlineStr">
        <is>
          <t>Good</t>
        </is>
      </c>
      <c r="H31" s="185" t="inlineStr">
        <is>
          <t>Good</t>
        </is>
      </c>
      <c r="I31" s="183" t="n"/>
      <c r="J31" s="183" t="inlineStr">
        <is>
          <t>OPC 10000-4 Section 5.12</t>
        </is>
      </c>
      <c r="K31" s="183" t="inlineStr">
        <is>
          <t>Events only delivered to active subscriptions.</t>
        </is>
      </c>
    </row>
    <row r="32" ht="20" customHeight="1" s="132">
      <c r="A32" s="191" t="inlineStr">
        <is>
          <t>n</t>
        </is>
      </c>
      <c r="B32" s="191" t="n">
        <v>2</v>
      </c>
      <c r="C32" s="191" t="n">
        <v>0</v>
      </c>
      <c r="D32" s="192" t="inlineStr">
        <is>
          <t>Verify CreateMonitoredItems fails gracefully for invalid EventFilter syntax</t>
        </is>
      </c>
      <c r="E32" s="193" t="n"/>
      <c r="F32" s="193" t="n"/>
      <c r="G32" s="193" t="n"/>
      <c r="H32" s="193" t="n"/>
      <c r="I32" s="193" t="inlineStr">
        <is>
          <t>n</t>
        </is>
      </c>
      <c r="J32" s="193" t="inlineStr">
        <is>
          <t>OPC 40450-1 Section 11.1 CU-12</t>
        </is>
      </c>
      <c r="K32" s="193" t="n"/>
    </row>
    <row r="33" s="132">
      <c r="A33" s="186" t="n"/>
      <c r="B33" s="186" t="n"/>
      <c r="C33" s="187" t="n">
        <v>1</v>
      </c>
      <c r="D33" s="186" t="inlineStr">
        <is>
          <t>Attempt to create a MonitoredItem with a malformed EventFilter WhereClause (e.g. referencing a non-existent EventType NodeId).</t>
        </is>
      </c>
      <c r="E33" s="186" t="inlineStr">
        <is>
          <t>OPC UA session established.</t>
        </is>
      </c>
      <c r="F33" s="186" t="inlineStr">
        <is>
          <t>CreateMonitoredItems returns StatusCode = Bad_MonitoredItemFilterInvalid for the malformed item. Other items with correct filters are not affected.</t>
        </is>
      </c>
      <c r="G33" s="188" t="inlineStr">
        <is>
          <t>Good</t>
        </is>
      </c>
      <c r="H33" s="195" t="inlineStr">
        <is>
          <t>Bad_MonitoredItemFilterInvalid</t>
        </is>
      </c>
      <c r="I33" s="186" t="n"/>
      <c r="J33" s="186" t="inlineStr">
        <is>
          <t>OPC 10000-4 Section 5.13.2</t>
        </is>
      </c>
      <c r="K33" s="186" t="n"/>
    </row>
    <row r="34" ht="20" customHeight="1" s="132">
      <c r="A34" s="191" t="inlineStr">
        <is>
          <t>n</t>
        </is>
      </c>
      <c r="B34" s="191" t="n">
        <v>3</v>
      </c>
      <c r="C34" s="191" t="n">
        <v>0</v>
      </c>
      <c r="D34" s="192" t="inlineStr">
        <is>
          <t>Verify event subscription with non-parent EventType filter does not receive JoiningSystemResultReadyEventType events</t>
        </is>
      </c>
      <c r="E34" s="193" t="n"/>
      <c r="F34" s="193" t="n"/>
      <c r="G34" s="193" t="n"/>
      <c r="H34" s="193" t="n"/>
      <c r="I34" s="193" t="inlineStr">
        <is>
          <t>n</t>
        </is>
      </c>
      <c r="J34" s="193" t="inlineStr">
        <is>
          <t>OPC 40450-1 Section 11.1 CU-12</t>
        </is>
      </c>
      <c r="K34" s="193" t="n"/>
    </row>
    <row r="35" s="132">
      <c r="A35" s="183" t="n"/>
      <c r="B35" s="183" t="n"/>
      <c r="C35" s="184" t="n">
        <v>1</v>
      </c>
      <c r="D35" s="183" t="inlineStr">
        <is>
          <t>Subscribe with an EventFilter using OfType(0:AuditEventType), which is not a parent of JoiningSystemResultReadyEventType. Trigger a joining operation.</t>
        </is>
      </c>
      <c r="E35" s="183" t="inlineStr">
        <is>
          <t>Server claims this Conformance Unit; no additional runtime setup is needed for this step.</t>
        </is>
      </c>
      <c r="F35" s="183" t="inlineStr">
        <is>
          <t>No JoiningSystemResultReadyEventType events are received through that filtered subscription.</t>
        </is>
      </c>
      <c r="G35" s="185" t="inlineStr">
        <is>
          <t>Good</t>
        </is>
      </c>
      <c r="H35" s="184" t="n"/>
      <c r="I35" s="183" t="n"/>
      <c r="J35" s="202" t="inlineStr">
        <is>
          <t>OPC 40450-1 Section 8</t>
        </is>
      </c>
      <c r="K35" s="183" t="inlineStr">
        <is>
          <t>Requirement source: OPC 10000-4 Section 5.12.1 - EventFilter restricts received events by type.</t>
        </is>
      </c>
    </row>
    <row r="36" ht="20" customHeight="1" s="132">
      <c r="A36" s="191" t="inlineStr">
        <is>
          <t>n</t>
        </is>
      </c>
      <c r="B36" s="191" t="n">
        <v>4</v>
      </c>
      <c r="C36" s="191" t="n">
        <v>0</v>
      </c>
      <c r="D36" s="192" t="inlineStr">
        <is>
          <t>Verify event Message field is non-null in JoiningSystemResultReadyEventType</t>
        </is>
      </c>
      <c r="E36" s="193" t="n"/>
      <c r="F36" s="193" t="n"/>
      <c r="G36" s="193" t="n"/>
      <c r="H36" s="193" t="n"/>
      <c r="I36" s="193" t="inlineStr">
        <is>
          <t>n</t>
        </is>
      </c>
      <c r="J36" s="193" t="inlineStr">
        <is>
          <t>OPC 40450-1 Section 11.1 CU-12</t>
        </is>
      </c>
      <c r="K36" s="193" t="n"/>
    </row>
    <row r="37" s="132">
      <c r="A37" s="186" t="n"/>
      <c r="B37" s="186" t="n"/>
      <c r="C37" s="187" t="n">
        <v>1</v>
      </c>
      <c r="D37" s="186" t="inlineStr">
        <is>
          <t>Subscribe for JoiningSystemResultReadyEventType. Trigger result. Read Message.</t>
        </is>
      </c>
      <c r="E37" s="186" t="inlineStr">
        <is>
          <t>Server claims this Conformance Unit; no additional runtime setup is needed for this step.</t>
        </is>
      </c>
      <c r="F37" s="186" t="inlineStr">
        <is>
          <t>Message is non-null LocalizedText with non-empty Text.</t>
        </is>
      </c>
      <c r="G37" s="188" t="inlineStr">
        <is>
          <t>Good</t>
        </is>
      </c>
      <c r="H37" s="187" t="n"/>
      <c r="I37" s="186" t="n"/>
      <c r="J37" s="203" t="inlineStr">
        <is>
          <t>OPC 40450-1 Section 8</t>
        </is>
      </c>
      <c r="K37" s="186" t="inlineStr">
        <is>
          <t>Requirement source: OPC 10000-5 - Message inherited from BaseEventType, should be populated.</t>
        </is>
      </c>
    </row>
    <row r="38" ht="20" customHeight="1" s="132">
      <c r="A38" s="191" t="inlineStr">
        <is>
          <t>n</t>
        </is>
      </c>
      <c r="B38" s="191" t="n">
        <v>5</v>
      </c>
      <c r="C38" s="191" t="n">
        <v>0</v>
      </c>
      <c r="D38" s="192" t="inlineStr">
        <is>
          <t>Verify event SourceNode is the JoiningSystem instance NodeId</t>
        </is>
      </c>
      <c r="E38" s="193" t="n"/>
      <c r="F38" s="193" t="n"/>
      <c r="G38" s="193" t="n"/>
      <c r="H38" s="193" t="n"/>
      <c r="I38" s="193" t="inlineStr">
        <is>
          <t>n</t>
        </is>
      </c>
      <c r="J38" s="193" t="inlineStr">
        <is>
          <t>OPC 40450-1 Section 11.1 CU-12</t>
        </is>
      </c>
      <c r="K38" s="193" t="n"/>
    </row>
    <row r="39" s="132">
      <c r="A39" s="183" t="n"/>
      <c r="B39" s="183" t="n"/>
      <c r="C39" s="184" t="n">
        <v>1</v>
      </c>
      <c r="D39" s="183" t="inlineStr">
        <is>
          <t>Receive JoiningSystemResultReadyEventType event. Read SourceNode. Compare.</t>
        </is>
      </c>
      <c r="E39" s="183" t="inlineStr">
        <is>
          <t>Server claims this Conformance Unit; no additional runtime setup is needed for this step.</t>
        </is>
      </c>
      <c r="F39" s="183" t="inlineStr">
        <is>
          <t>SourceNode matches JoiningSystem instance NodeId.</t>
        </is>
      </c>
      <c r="G39" s="185" t="inlineStr">
        <is>
          <t>Good</t>
        </is>
      </c>
      <c r="H39" s="184" t="n"/>
      <c r="I39" s="183" t="n"/>
      <c r="J39" s="202" t="inlineStr">
        <is>
          <t>OPC 40450-1 Section 8</t>
        </is>
      </c>
      <c r="K39" s="183" t="inlineStr">
        <is>
          <t>Requirement source: OPC 10000-5 - SourceNode identifies event generator; OPC 40450-1 Section 11.</t>
        </is>
      </c>
    </row>
    <row r="40" ht="20" customHeight="1" s="132">
      <c r="A40" s="191" t="inlineStr">
        <is>
          <t>n</t>
        </is>
      </c>
      <c r="B40" s="191" t="n">
        <v>6</v>
      </c>
      <c r="C40" s="191" t="n">
        <v>0</v>
      </c>
      <c r="D40" s="192" t="inlineStr">
        <is>
          <t>Verify subscribing with too many select clauses handled gracefully</t>
        </is>
      </c>
      <c r="E40" s="193" t="n"/>
      <c r="F40" s="193" t="n"/>
      <c r="G40" s="193" t="n"/>
      <c r="H40" s="193" t="n"/>
      <c r="I40" s="193" t="inlineStr">
        <is>
          <t>n</t>
        </is>
      </c>
      <c r="J40" s="193" t="inlineStr">
        <is>
          <t>OPC 40450-1 Section 11.1 CU-12</t>
        </is>
      </c>
      <c r="K40" s="193" t="n"/>
    </row>
    <row r="41" s="132">
      <c r="A41" s="186" t="n"/>
      <c r="B41" s="186" t="n"/>
      <c r="C41" s="187" t="n">
        <v>1</v>
      </c>
      <c r="D41" s="186" t="inlineStr">
        <is>
          <t>Create MonitoredItem with &gt;1000 SimpleAttributeOperand select clauses.</t>
        </is>
      </c>
      <c r="E41" s="186" t="inlineStr">
        <is>
          <t>Server claims this Conformance Unit; no additional runtime setup is needed for this step.</t>
        </is>
      </c>
      <c r="F41" s="186" t="inlineStr">
        <is>
          <t>Server returns Good with truncated results or Bad_MonitoredItemFilterInvalid.</t>
        </is>
      </c>
      <c r="G41" s="188" t="inlineStr">
        <is>
          <t>Good</t>
        </is>
      </c>
      <c r="H41" s="187" t="n"/>
      <c r="I41" s="186" t="n"/>
      <c r="J41" s="203" t="inlineStr">
        <is>
          <t>OPC 40450-1 Section 8</t>
        </is>
      </c>
      <c r="K41" s="186" t="inlineStr">
        <is>
          <t>Requirement source: OPC 10000-4 Section 5.12.1 - Server may limit select clauses.</t>
        </is>
      </c>
    </row>
  </sheetData>
  <mergeCells count="3">
    <mergeCell ref="C2:K2"/>
    <mergeCell ref="A1:K1"/>
    <mergeCell ref="A2:B2"/>
  </mergeCells>
  <pageMargins left="0.7" right="0.7" top="0.75" bottom="0.75" header="0.3" footer="0.3"/>
</worksheet>
</file>

<file path=xl/worksheets/sheet19.xml><?xml version="1.0" encoding="utf-8"?>
<worksheet xmlns="http://schemas.openxmlformats.org/spreadsheetml/2006/main">
  <sheetPr codeName="Sheet15">
    <tabColor rgb="002E75B6"/>
    <outlinePr summaryBelow="1" summaryRight="1"/>
    <pageSetUpPr/>
  </sheetPr>
  <dimension ref="A1:K42"/>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CU-13 IJT Get Latest Result – OPC 40450-1 Section 7.5 (GetLatestResult method)</t>
        </is>
      </c>
      <c r="B1" s="197" t="n"/>
      <c r="C1" s="197" t="n"/>
      <c r="D1" s="197" t="n"/>
      <c r="E1" s="197" t="n"/>
      <c r="F1" s="197" t="n"/>
      <c r="G1" s="197" t="n"/>
      <c r="H1" s="197" t="n"/>
      <c r="I1" s="197" t="n"/>
      <c r="J1" s="197" t="n"/>
      <c r="K1" s="198" t="n"/>
    </row>
    <row r="2" ht="22" customHeight="1" s="132">
      <c r="A2" s="159">
        <f>HYPERLINK("#Home!A1","⌂ Home")</f>
        <v/>
      </c>
      <c r="B2" s="141" t="n"/>
      <c r="C2" s="179" t="inlineStr">
        <is>
          <t>CU-13 IJT Get Latest Result – OPC 40450-1 Section 7.5 (GetLatestResult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GetLatestResult Method is declared in JoiningSystemResultManagementType</t>
        </is>
      </c>
      <c r="E4" s="182" t="n"/>
      <c r="F4" s="182" t="n"/>
      <c r="G4" s="182" t="n"/>
      <c r="H4" s="182" t="n"/>
      <c r="I4" s="182" t="inlineStr">
        <is>
          <t>n</t>
        </is>
      </c>
      <c r="J4" s="182" t="inlineStr">
        <is>
          <t>OPC 40450-1 Section 11.1 CU-13</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"GetLatestResult".</t>
        </is>
      </c>
      <c r="E5" s="183" t="inlineStr">
        <is>
          <t>JoiningSystemResultManagementType found in TypeSystem.</t>
        </is>
      </c>
      <c r="F5" s="183" t="inlineStr">
        <is>
          <t>GetLatestResult method is found with NodeClass = Method.</t>
        </is>
      </c>
      <c r="G5" s="185" t="inlineStr">
        <is>
          <t>Good</t>
        </is>
      </c>
      <c r="H5" s="185" t="inlineStr">
        <is>
          <t>Good</t>
        </is>
      </c>
      <c r="I5" s="183" t="n"/>
      <c r="J5" s="183" t="inlineStr">
        <is>
          <t>OPC 40450-1 Section 7.5</t>
        </is>
      </c>
      <c r="K5" s="183" t="n"/>
    </row>
    <row r="6" s="132">
      <c r="A6" s="183" t="n"/>
      <c r="B6" s="183" t="n"/>
      <c r="C6" s="184" t="n">
        <v>2</v>
      </c>
      <c r="D6" s="183" t="inlineStr">
        <is>
          <t>Read the InputArguments Property of GetLatestResult. Verify argument: Timeout (DataType=Int32).</t>
        </is>
      </c>
      <c r="E6" s="183" t="inlineStr">
        <is>
          <t>GetLatestResult method found.</t>
        </is>
      </c>
      <c r="F6" s="183" t="inlineStr">
        <is>
          <t>InputArguments contains exactly one Argument: Name="Timeout", DataType=Int32, ValueRank=Scalar, Description is present.</t>
        </is>
      </c>
      <c r="G6" s="185" t="inlineStr">
        <is>
          <t>Good</t>
        </is>
      </c>
      <c r="H6" s="185" t="inlineStr">
        <is>
          <t>Good</t>
        </is>
      </c>
      <c r="I6" s="183" t="n"/>
      <c r="J6" s="183" t="inlineStr">
        <is>
          <t>OPC 40450-1 Section 7.5</t>
        </is>
      </c>
      <c r="K6" s="183" t="n"/>
    </row>
    <row r="7" s="132">
      <c r="A7" s="183" t="n"/>
      <c r="B7" s="183" t="n"/>
      <c r="C7" s="184" t="n">
        <v>3</v>
      </c>
      <c r="D7" s="183" t="inlineStr">
        <is>
          <t>Read the OutputArguments Property of GetLatestResult. Verify 3 arguments: ResultHandle (UInt32), Result (ResultDataType), Error (Int32).</t>
        </is>
      </c>
      <c r="E7" s="183" t="inlineStr">
        <is>
          <t>GetLatestResult method found.</t>
        </is>
      </c>
      <c r="F7" s="183" t="inlineStr">
        <is>
          <t>OutputArguments contains 3 Arguments: (1) Name="ResultHandle", DataType=UInt32, Scalar; (2) Name="Result", DataType=ResultDataType (ExtensionObject encoding), Scalar; (3) Name="Error", DataType=Int32, Scalar.</t>
        </is>
      </c>
      <c r="G7" s="185" t="inlineStr">
        <is>
          <t>Good</t>
        </is>
      </c>
      <c r="H7" s="185" t="inlineStr">
        <is>
          <t>Good</t>
        </is>
      </c>
      <c r="I7" s="183" t="n"/>
      <c r="J7" s="183" t="inlineStr">
        <is>
          <t>OPC 40450-1 Section 7.5</t>
        </is>
      </c>
      <c r="K7" s="183" t="n"/>
    </row>
    <row r="8" ht="20" customHeight="1" s="132">
      <c r="A8" s="180" t="inlineStr">
        <is>
          <t>y</t>
        </is>
      </c>
      <c r="B8" s="180" t="n">
        <v>2</v>
      </c>
      <c r="C8" s="180" t="n">
        <v>0</v>
      </c>
      <c r="D8" s="181" t="inlineStr">
        <is>
          <t>Verify at least one JoiningSystem instance exposes a callable GetLatestResult</t>
        </is>
      </c>
      <c r="E8" s="182" t="n"/>
      <c r="F8" s="182" t="n"/>
      <c r="G8" s="182" t="n"/>
      <c r="H8" s="182" t="n"/>
      <c r="I8" s="182" t="inlineStr">
        <is>
          <t>n</t>
        </is>
      </c>
      <c r="J8" s="182" t="inlineStr">
        <is>
          <t>OPC 40450-1 Section 11.1 CU-13</t>
        </is>
      </c>
      <c r="K8" s="182" t="n"/>
    </row>
    <row r="9" s="132">
      <c r="A9" s="186" t="n"/>
      <c r="B9" s="186" t="n"/>
      <c r="C9" s="187" t="n">
        <v>1</v>
      </c>
      <c r="D9" s="186" t="inlineStr">
        <is>
          <t>Browse the 5:ResultManagement AddIn on each JoiningSystem instance for the GetLatestResult method.</t>
        </is>
      </c>
      <c r="E9" s="186" t="inlineStr">
        <is>
          <t>JoiningSystem instance with 5:ResultManagement found.</t>
        </is>
      </c>
      <c r="F9" s="186" t="inlineStr">
        <is>
          <t>At least one GetLatestResult method node is present. Its Executable Attribute = True.</t>
        </is>
      </c>
      <c r="G9" s="188" t="inlineStr">
        <is>
          <t>Good</t>
        </is>
      </c>
      <c r="H9" s="188" t="inlineStr">
        <is>
          <t>Good</t>
        </is>
      </c>
      <c r="I9" s="186" t="n"/>
      <c r="J9" s="186" t="inlineStr">
        <is>
          <t>OPC 40450-1 Section 7.5</t>
        </is>
      </c>
      <c r="K9" s="186" t="n"/>
    </row>
    <row r="10" ht="20" customHeight="1" s="132">
      <c r="A10" s="180" t="inlineStr">
        <is>
          <t>y</t>
        </is>
      </c>
      <c r="B10" s="180" t="n">
        <v>3</v>
      </c>
      <c r="C10" s="180" t="n">
        <v>0</v>
      </c>
      <c r="D10" s="181" t="inlineStr">
        <is>
          <t>Call GetLatestResult with Timeout=5000 ms; verify all 3 output arguments returned</t>
        </is>
      </c>
      <c r="E10" s="182" t="n"/>
      <c r="F10" s="182" t="n"/>
      <c r="G10" s="182" t="n"/>
      <c r="H10" s="182" t="n"/>
      <c r="I10" s="182" t="inlineStr">
        <is>
          <t>n</t>
        </is>
      </c>
      <c r="J10" s="182" t="inlineStr">
        <is>
          <t>OPC 40450-1 Section 11.1 CU-13</t>
        </is>
      </c>
      <c r="K10" s="182" t="n"/>
    </row>
    <row r="11" s="132">
      <c r="A11" s="183" t="n"/>
      <c r="B11" s="183" t="n"/>
      <c r="C11" s="184" t="n">
        <v>1</v>
      </c>
      <c r="D11" s="183" t="inlineStr">
        <is>
          <t>Invoke GetLatestResult with InputArguments[0] = 5000 (Timeout=5000 ms, Int32) on the ResultManagement instance.</t>
        </is>
      </c>
      <c r="E11" s="183" t="inlineStr">
        <is>
          <t>A joining operation has been performed. GetLatestResult is available.</t>
        </is>
      </c>
      <c r="F11" s="183" t="inlineStr">
        <is>
          <t>Method call returns StatusCode = Good. OutputArguments[0] (ResultHandle) is a UInt32 (non-zero if server supports ReleaseResultHandle; 0 if not supported). OutputArguments[1] (Result) is a non-null ResultDataType value. OutputArguments[2] (Error) = 0.</t>
        </is>
      </c>
      <c r="G11" s="185" t="inlineStr">
        <is>
          <t>Good</t>
        </is>
      </c>
      <c r="H11" s="185" t="inlineStr">
        <is>
          <t>Good</t>
        </is>
      </c>
      <c r="I11" s="183" t="n"/>
      <c r="J11" s="183" t="inlineStr">
        <is>
          <t>OPC 40450-1 Section 7.5</t>
        </is>
      </c>
      <c r="K11" s="183" t="inlineStr">
        <is>
          <t>Timeout = 5000 means the server waits up to 5000 ms for a result to become available if none is ready immediately.</t>
        </is>
      </c>
    </row>
    <row r="12" s="132">
      <c r="A12" s="183" t="n"/>
      <c r="B12" s="183" t="n"/>
      <c r="C12" s="184" t="n">
        <v>2</v>
      </c>
      <c r="D12" s="183" t="inlineStr">
        <is>
          <t>Decode the returned 5:ResultDataType. Verify Result.ResultMetaData.ResultId is non-empty.</t>
        </is>
      </c>
      <c r="E12" s="183" t="inlineStr">
        <is>
          <t>Call returned Good in step 1.</t>
        </is>
      </c>
      <c r="F12" s="183" t="inlineStr">
        <is>
          <t>Result.ResultMetaData.ResultId is a non-empty TrimmedString.</t>
        </is>
      </c>
      <c r="G12" s="185" t="inlineStr">
        <is>
          <t>Good</t>
        </is>
      </c>
      <c r="H12" s="185" t="inlineStr">
        <is>
          <t>Good</t>
        </is>
      </c>
      <c r="I12" s="183" t="n"/>
      <c r="J12" s="183" t="inlineStr">
        <is>
          <t>OPC 40450-1 Section 10.1</t>
        </is>
      </c>
      <c r="K12" s="183" t="n"/>
    </row>
    <row r="13" s="132">
      <c r="A13" s="183" t="n"/>
      <c r="B13" s="183" t="n"/>
      <c r="C13" s="184" t="n">
        <v>3</v>
      </c>
      <c r="D13" s="183" t="inlineStr">
        <is>
          <t>Verify Result.ResultMetaData.Classification is a valid non-zero value.</t>
        </is>
      </c>
      <c r="E13" s="183" t="inlineStr">
        <is>
          <t>Call returned Good in step 1.</t>
        </is>
      </c>
      <c r="F13" s="183" t="inlineStr">
        <is>
          <t>Classification is in range 1-7 (SINGLE_RESULT to TEXT_RESULT). Not UNDEFINED (0).</t>
        </is>
      </c>
      <c r="G13" s="185" t="inlineStr">
        <is>
          <t>Good</t>
        </is>
      </c>
      <c r="H13" s="185" t="inlineStr">
        <is>
          <t>Good</t>
        </is>
      </c>
      <c r="I13" s="183" t="n"/>
      <c r="J13" s="183" t="inlineStr">
        <is>
          <t>OPC 40450-1 Section 10.1 Table 208</t>
        </is>
      </c>
      <c r="K13" s="183" t="n"/>
    </row>
    <row r="14" s="132">
      <c r="A14" s="183" t="n"/>
      <c r="B14" s="183" t="n"/>
      <c r="C14" s="184" t="n">
        <v>4</v>
      </c>
      <c r="D14" s="183" t="inlineStr">
        <is>
          <t>Verify Result.ResultMetaData.CreationTime corresponds to the most recent joining operation.</t>
        </is>
      </c>
      <c r="E14" s="183" t="inlineStr">
        <is>
          <t>At least one joining operation performed; timestamp recorded.</t>
        </is>
      </c>
      <c r="F14" s="183" t="inlineStr">
        <is>
          <t>CreationTime of returned result matches (within tolerance) the timestamp of the most recently completed joining operation.</t>
        </is>
      </c>
      <c r="G14" s="185" t="inlineStr">
        <is>
          <t>Good</t>
        </is>
      </c>
      <c r="H14" s="185" t="inlineStr">
        <is>
          <t>Good</t>
        </is>
      </c>
      <c r="I14" s="183" t="n"/>
      <c r="J14" s="183" t="inlineStr">
        <is>
          <t>OPC 40450-1 Section 10.1</t>
        </is>
      </c>
      <c r="K14" s="183" t="n"/>
    </row>
    <row r="15" ht="20" customHeight="1" s="132">
      <c r="A15" s="180" t="inlineStr">
        <is>
          <t>y</t>
        </is>
      </c>
      <c r="B15" s="180" t="n">
        <v>4</v>
      </c>
      <c r="C15" s="180" t="n">
        <v>0</v>
      </c>
      <c r="D15" s="181" t="inlineStr">
        <is>
          <t>Call GetLatestResult with Timeout=0 (no wait); verify immediate return</t>
        </is>
      </c>
      <c r="E15" s="182" t="n"/>
      <c r="F15" s="182" t="n"/>
      <c r="G15" s="182" t="n"/>
      <c r="H15" s="182" t="n"/>
      <c r="I15" s="182" t="inlineStr">
        <is>
          <t>n</t>
        </is>
      </c>
      <c r="J15" s="182" t="inlineStr">
        <is>
          <t>OPC 40450-1 Section 11.1 CU-13</t>
        </is>
      </c>
      <c r="K15" s="182" t="n"/>
    </row>
    <row r="16" s="132">
      <c r="A16" s="186" t="n"/>
      <c r="B16" s="186" t="n"/>
      <c r="C16" s="187" t="n">
        <v>1</v>
      </c>
      <c r="D16" s="186" t="inlineStr">
        <is>
          <t>Invoke GetLatestResult with InputArguments[0] = 0 (Timeout=0, no wait). Record ResultHandle, Result, and Error outputs.</t>
        </is>
      </c>
      <c r="E16" s="186" t="inlineStr">
        <is>
          <t>GetLatestResult method callable. A result may or may not be immediately available.</t>
        </is>
      </c>
      <c r="F16" s="186" t="inlineStr">
        <is>
          <t>Call returns Good. If a result is available: ResultHandle is a UInt32 (non-zero if server supports ReleaseResultHandle; 0 otherwise), Result is non-null, Error = 0. If no result available yet: ResultHandle is 0 and Result may be null, with Error set to indicate no result. The method must not block when Timeout=0.</t>
        </is>
      </c>
      <c r="G16" s="188" t="inlineStr">
        <is>
          <t>Good</t>
        </is>
      </c>
      <c r="H16" s="188" t="inlineStr">
        <is>
          <t>Good</t>
        </is>
      </c>
      <c r="I16" s="186" t="n"/>
      <c r="J16" s="186" t="inlineStr">
        <is>
          <t>OPC 40450-1 Section 7.5 / Section 10.1</t>
        </is>
      </c>
      <c r="K16" s="186" t="n"/>
    </row>
    <row r="17" ht="20" customHeight="1" s="132">
      <c r="A17" s="204" t="inlineStr">
        <is>
          <t>y</t>
        </is>
      </c>
      <c r="B17" s="204" t="n">
        <v>5</v>
      </c>
      <c r="C17" s="204" t="n">
        <v>0</v>
      </c>
      <c r="D17" s="205" t="inlineStr">
        <is>
          <t>Verify GetLatestResult returns a NEW result after a new joining operation</t>
        </is>
      </c>
      <c r="E17" s="206" t="n"/>
      <c r="F17" s="206" t="n"/>
      <c r="G17" s="206" t="n"/>
      <c r="H17" s="206" t="n"/>
      <c r="I17" s="206" t="inlineStr">
        <is>
          <t>n</t>
        </is>
      </c>
      <c r="J17" s="206" t="inlineStr">
        <is>
          <t>OPC 40450-1 Section 11.1 CU-13</t>
        </is>
      </c>
      <c r="K17" s="206" t="n"/>
    </row>
    <row r="18" s="132">
      <c r="A18" s="183" t="n"/>
      <c r="B18" s="183" t="n"/>
      <c r="C18" s="184" t="n">
        <v>1</v>
      </c>
      <c r="D18" s="183" t="inlineStr">
        <is>
          <t>Call GetLatestResult, record the ResultId (R1) and CreationTime (T1).</t>
        </is>
      </c>
      <c r="E18" s="183" t="inlineStr">
        <is>
          <t>Initial result exists.</t>
        </is>
      </c>
      <c r="F18" s="183" t="inlineStr">
        <is>
          <t>Call returns Good. R1 and T1 recorded.</t>
        </is>
      </c>
      <c r="G18" s="185" t="inlineStr">
        <is>
          <t>Good</t>
        </is>
      </c>
      <c r="H18" s="185" t="inlineStr">
        <is>
          <t>Good</t>
        </is>
      </c>
      <c r="I18" s="183" t="n"/>
      <c r="J18" s="183" t="inlineStr">
        <is>
          <t>OPC 40450-1 Section 7.5</t>
        </is>
      </c>
      <c r="K18" s="183" t="n"/>
    </row>
    <row r="19" customFormat="1" s="138">
      <c r="A19" s="183" t="n"/>
      <c r="B19" s="183" t="n"/>
      <c r="C19" s="184" t="n">
        <v>2</v>
      </c>
      <c r="D19" s="183" t="inlineStr">
        <is>
          <t>Trigger a new joining operation. Wait for completion.</t>
        </is>
      </c>
      <c r="E19" s="183" t="inlineStr">
        <is>
          <t>Device operational.</t>
        </is>
      </c>
      <c r="F19" s="183" t="inlineStr">
        <is>
          <t>Joining operation completes. Server generates a new result.</t>
        </is>
      </c>
      <c r="G19" s="185" t="inlineStr">
        <is>
          <t>Good</t>
        </is>
      </c>
      <c r="H19" s="185" t="inlineStr">
        <is>
          <t>Good</t>
        </is>
      </c>
      <c r="I19" s="183" t="n"/>
      <c r="J19" s="202" t="inlineStr">
        <is>
          <t>OPC 40450-1 Section 7.5</t>
        </is>
      </c>
      <c r="K19" s="183" t="n"/>
    </row>
    <row r="20" s="132">
      <c r="A20" s="183" t="n"/>
      <c r="B20" s="183" t="n"/>
      <c r="C20" s="184" t="n">
        <v>3</v>
      </c>
      <c r="D20" s="183" t="inlineStr">
        <is>
          <t>Call GetLatestResult again with same parameters. Record ResultId (R2) and CreationTime (T2).</t>
        </is>
      </c>
      <c r="E20" s="183" t="inlineStr">
        <is>
          <t>New joining operation completed.</t>
        </is>
      </c>
      <c r="F20" s="183" t="inlineStr">
        <is>
          <t>Call returns Good. R2 != R1. T2 &gt;= T1. The new result corresponds to the latest operation.</t>
        </is>
      </c>
      <c r="G20" s="185" t="inlineStr">
        <is>
          <t>Good</t>
        </is>
      </c>
      <c r="H20" s="185" t="inlineStr">
        <is>
          <t>Good</t>
        </is>
      </c>
      <c r="I20" s="183" t="n"/>
      <c r="J20" s="183" t="inlineStr">
        <is>
          <t>OPC 40450-1 Section 7.5</t>
        </is>
      </c>
      <c r="K20" s="183" t="inlineStr">
        <is>
          <t>GetLatestResult always returns the LATEST result.</t>
        </is>
      </c>
    </row>
    <row r="21" ht="20" customHeight="1" s="132">
      <c r="A21" s="180" t="inlineStr">
        <is>
          <t>y</t>
        </is>
      </c>
      <c r="B21" s="180" t="n">
        <v>6</v>
      </c>
      <c r="C21" s="180" t="n">
        <v>0</v>
      </c>
      <c r="D21" s="181" t="inlineStr">
        <is>
          <t>Verify GetLatestResult result is consistent with the result in the Results folder Variable</t>
        </is>
      </c>
      <c r="E21" s="182" t="n"/>
      <c r="F21" s="182" t="n"/>
      <c r="G21" s="182" t="n"/>
      <c r="H21" s="182" t="n"/>
      <c r="I21" s="182" t="inlineStr">
        <is>
          <t>n</t>
        </is>
      </c>
      <c r="J21" s="182" t="inlineStr">
        <is>
          <t>OPC 40450-1 Section 11.1 CU-13</t>
        </is>
      </c>
      <c r="K21" s="182" t="n"/>
    </row>
    <row r="22" s="132">
      <c r="A22" s="186" t="n"/>
      <c r="B22" s="186" t="n"/>
      <c r="C22" s="187" t="n">
        <v>1</v>
      </c>
      <c r="D22" s="186" t="inlineStr">
        <is>
          <t>After calling GetLatestResult successfully, browse the Results folder of ResultManagement and identify the latest JoiningSystemResultType Variable by CreationTime.</t>
        </is>
      </c>
      <c r="E22" s="186" t="inlineStr">
        <is>
          <t>Results folder accessible with at least one result Variable.</t>
        </is>
      </c>
      <c r="F22" s="186" t="inlineStr">
        <is>
          <t>The ResultId from GetLatestResult matches the ResultId of the latest result Variable in the Results folder. The ResultMetaData values are identical.</t>
        </is>
      </c>
      <c r="G22" s="188" t="inlineStr">
        <is>
          <t>Good</t>
        </is>
      </c>
      <c r="H22" s="188" t="inlineStr">
        <is>
          <t>Good</t>
        </is>
      </c>
      <c r="I22" s="186" t="n"/>
      <c r="J22" s="186" t="inlineStr">
        <is>
          <t>OPC 40450-1 Section 7.5 / Section 9.2</t>
        </is>
      </c>
      <c r="K22" s="186" t="n"/>
    </row>
    <row r="23" ht="20" customHeight="1" s="132">
      <c r="A23" s="180" t="inlineStr">
        <is>
          <t>y</t>
        </is>
      </c>
      <c r="B23" s="180" t="n">
        <v>7</v>
      </c>
      <c r="C23" s="180" t="n">
        <v>0</v>
      </c>
      <c r="D23" s="181" t="inlineStr">
        <is>
          <t>Verify GetLatestResult result is consistent with event received for same operation</t>
        </is>
      </c>
      <c r="E23" s="182" t="n"/>
      <c r="F23" s="182" t="n"/>
      <c r="G23" s="182" t="n"/>
      <c r="H23" s="182" t="n"/>
      <c r="I23" s="182" t="inlineStr">
        <is>
          <t>n</t>
        </is>
      </c>
      <c r="J23" s="182" t="inlineStr">
        <is>
          <t>OPC 40450-1 Section 11.1 CU-13</t>
        </is>
      </c>
      <c r="K23" s="182" t="n"/>
    </row>
    <row r="24" s="132">
      <c r="A24" s="183" t="n"/>
      <c r="B24" s="183" t="n"/>
      <c r="C24" s="184" t="n">
        <v>1</v>
      </c>
      <c r="D24" s="183" t="inlineStr">
        <is>
          <t>Subscribe to JoiningSystemResultReadyEventType. Trigger a joining operation. After receiving the event, call GetLatestResult. Compare ResultIds.</t>
        </is>
      </c>
      <c r="E24" s="183" t="inlineStr">
        <is>
          <t>Event subscription active; joining operation triggered.</t>
        </is>
      </c>
      <c r="F24" s="183" t="inlineStr">
        <is>
          <t>The ResultId received in the event equals the ResultId returned by GetLatestResult (latest is same result).</t>
        </is>
      </c>
      <c r="G24" s="185" t="inlineStr">
        <is>
          <t>Good</t>
        </is>
      </c>
      <c r="H24" s="185" t="inlineStr">
        <is>
          <t>Good</t>
        </is>
      </c>
      <c r="I24" s="183" t="n"/>
      <c r="J24" s="183" t="inlineStr">
        <is>
          <t>OPC 40450-1 Section 8 / Section 7.5</t>
        </is>
      </c>
      <c r="K24" s="183" t="n"/>
    </row>
    <row r="25" ht="20" customHeight="1" s="132">
      <c r="A25" s="180" t="inlineStr">
        <is>
          <t>y</t>
        </is>
      </c>
      <c r="B25" s="180" t="n">
        <v>8</v>
      </c>
      <c r="C25" s="180" t="n">
        <v>0</v>
      </c>
      <c r="D25" s="181" t="inlineStr">
        <is>
          <t>Verify Executable and UserExecutable Attributes for GetLatestResult</t>
        </is>
      </c>
      <c r="E25" s="182" t="n"/>
      <c r="F25" s="182" t="n"/>
      <c r="G25" s="182" t="n"/>
      <c r="H25" s="182" t="n"/>
      <c r="I25" s="182" t="inlineStr">
        <is>
          <t>n</t>
        </is>
      </c>
      <c r="J25" s="182" t="inlineStr">
        <is>
          <t>OPC 40450-1 Section 11.1 CU-13</t>
        </is>
      </c>
      <c r="K25" s="182" t="n"/>
    </row>
    <row r="26" s="132">
      <c r="A26" s="186" t="n"/>
      <c r="B26" s="186" t="n"/>
      <c r="C26" s="187" t="n">
        <v>1</v>
      </c>
      <c r="D26" s="186" t="inlineStr">
        <is>
          <t>Read the Executable and UserExecutable Attributes of GetLatestResult on the ResultManagement instance.</t>
        </is>
      </c>
      <c r="E26" s="186" t="inlineStr">
        <is>
          <t>OPC UA session established with standard operator credentials.</t>
        </is>
      </c>
      <c r="F26" s="186" t="inlineStr">
        <is>
          <t>Executable = True. UserExecutable = True for a user with operator-level permissions.</t>
        </is>
      </c>
      <c r="G26" s="188" t="inlineStr">
        <is>
          <t>Good</t>
        </is>
      </c>
      <c r="H26" s="188" t="inlineStr">
        <is>
          <t>Good</t>
        </is>
      </c>
      <c r="I26" s="186" t="n"/>
      <c r="J26" s="186" t="inlineStr">
        <is>
          <t>OPC 10000-3 Section 5.6.5</t>
        </is>
      </c>
      <c r="K26" s="186" t="n"/>
    </row>
    <row r="27" ht="20" customHeight="1" s="132">
      <c r="A27" s="189" t="inlineStr">
        <is>
          <t>Error Test Cases</t>
        </is>
      </c>
      <c r="B27" s="190" t="n"/>
      <c r="C27" s="190" t="n"/>
      <c r="D27" s="190" t="n"/>
      <c r="E27" s="190" t="n"/>
      <c r="F27" s="190" t="n"/>
      <c r="G27" s="190" t="n"/>
      <c r="H27" s="190" t="n"/>
      <c r="I27" s="190" t="n"/>
      <c r="J27" s="190" t="n"/>
      <c r="K27" s="190" t="n"/>
    </row>
    <row r="28" ht="20" customHeight="1" s="132">
      <c r="A28" s="191" t="inlineStr">
        <is>
          <t>n</t>
        </is>
      </c>
      <c r="B28" s="191" t="n">
        <v>1</v>
      </c>
      <c r="C28" s="191" t="n">
        <v>0</v>
      </c>
      <c r="D28" s="192" t="inlineStr">
        <is>
          <t>Call GetLatestResult with a negative Timeout value; verify Bad_InvalidArgument</t>
        </is>
      </c>
      <c r="E28" s="193" t="n"/>
      <c r="F28" s="193" t="n"/>
      <c r="G28" s="193" t="n"/>
      <c r="H28" s="193" t="n"/>
      <c r="I28" s="193" t="inlineStr">
        <is>
          <t>n</t>
        </is>
      </c>
      <c r="J28" s="193" t="inlineStr">
        <is>
          <t>OPC 40450-1 Section 11.1 CU-13</t>
        </is>
      </c>
      <c r="K28" s="193" t="n"/>
    </row>
    <row r="29" s="132">
      <c r="A29" s="183" t="n"/>
      <c r="B29" s="183" t="n"/>
      <c r="C29" s="184" t="n">
        <v>1</v>
      </c>
      <c r="D29" s="183" t="inlineStr">
        <is>
          <t>Call GetLatestResult with Timeout = -1 (negative Int32 value).</t>
        </is>
      </c>
      <c r="E29" s="183" t="inlineStr">
        <is>
          <t>GetLatestResult method available.</t>
        </is>
      </c>
      <c r="F29" s="183" t="inlineStr">
        <is>
          <t>The Call Service returns Good (service-level). The method operation result returns Bad_InvalidArgument, indicating that a negative Timeout is not a valid input. Server does not crash.</t>
        </is>
      </c>
      <c r="G29" s="185" t="inlineStr">
        <is>
          <t>Good</t>
        </is>
      </c>
      <c r="H29" s="194" t="inlineStr">
        <is>
          <t>Bad_InvalidArgument</t>
        </is>
      </c>
      <c r="I29" s="183" t="n"/>
      <c r="J29" s="183" t="inlineStr">
        <is>
          <t>OPC 40450-1 Section 7.5</t>
        </is>
      </c>
      <c r="K29" s="183" t="n"/>
    </row>
    <row r="30" s="132">
      <c r="A30" s="183" t="n"/>
      <c r="B30" s="183" t="n"/>
      <c r="C30" s="184" t="n">
        <v>2</v>
      </c>
      <c r="D30" s="183" t="inlineStr">
        <is>
          <t>Verify no Result data is returned in OutputArguments when Timeout is invalid.</t>
        </is>
      </c>
      <c r="E30" s="183" t="inlineStr">
        <is>
          <t>Same call as step 1.</t>
        </is>
      </c>
      <c r="F30" s="183" t="inlineStr">
        <is>
          <t>OutputArguments[1] (Result) is null. OutputArguments[2] (Error) is non-zero. The Call Service itself returns Good; only the method-level operation result indicates the invalid Timeout.</t>
        </is>
      </c>
      <c r="G30" s="185" t="inlineStr">
        <is>
          <t>Good</t>
        </is>
      </c>
      <c r="H30" s="185" t="inlineStr">
        <is>
          <t>Good</t>
        </is>
      </c>
      <c r="I30" s="183" t="n"/>
      <c r="J30" s="183" t="inlineStr">
        <is>
          <t>OPC 40450-1 Section 7.5</t>
        </is>
      </c>
      <c r="K30" s="183" t="n"/>
    </row>
    <row r="31" ht="20" customHeight="1" s="132">
      <c r="A31" s="191" t="inlineStr">
        <is>
          <t>n</t>
        </is>
      </c>
      <c r="B31" s="191" t="n">
        <v>2</v>
      </c>
      <c r="C31" s="191" t="n">
        <v>0</v>
      </c>
      <c r="D31" s="192" t="inlineStr">
        <is>
          <t>Call GetLatestResult with a user that has no execute rights</t>
        </is>
      </c>
      <c r="E31" s="193" t="n"/>
      <c r="F31" s="193" t="n"/>
      <c r="G31" s="193" t="n"/>
      <c r="H31" s="193" t="n"/>
      <c r="I31" s="193" t="inlineStr">
        <is>
          <t>n</t>
        </is>
      </c>
      <c r="J31" s="193" t="inlineStr">
        <is>
          <t>OPC 40450-1 Section 11.1 CU-13</t>
        </is>
      </c>
      <c r="K31" s="193" t="n"/>
    </row>
    <row r="32" s="132">
      <c r="A32" s="186" t="n"/>
      <c r="B32" s="186" t="n"/>
      <c r="C32" s="187" t="n">
        <v>1</v>
      </c>
      <c r="D32" s="186" t="inlineStr">
        <is>
          <t>Establish an OPC UA session with a user token that has no execute permission on the ResultManagement methods (for example anonymous or another restricted user if server enforces access control).</t>
        </is>
      </c>
      <c r="E32" s="186" t="inlineStr">
        <is>
          <t>Server has user-role access control configured; restricted user credentials available.</t>
        </is>
      </c>
      <c r="F32" s="186" t="inlineStr">
        <is>
          <t>Session is established successfully.</t>
        </is>
      </c>
      <c r="G32" s="188" t="inlineStr">
        <is>
          <t>Good</t>
        </is>
      </c>
      <c r="H32" s="188" t="inlineStr">
        <is>
          <t>Good</t>
        </is>
      </c>
      <c r="I32" s="186" t="n"/>
      <c r="J32" s="186" t="inlineStr">
        <is>
          <t>OPC 10000-4 Section 5.6</t>
        </is>
      </c>
      <c r="K32" s="186" t="n"/>
    </row>
    <row r="33" s="132">
      <c r="A33" s="186" t="n"/>
      <c r="B33" s="186" t="n"/>
      <c r="C33" s="187" t="n">
        <v>2</v>
      </c>
      <c r="D33" s="186" t="inlineStr">
        <is>
          <t>Read the UserExecutable Attribute of GetLatestResult for this user session.</t>
        </is>
      </c>
      <c r="E33" s="186" t="inlineStr">
        <is>
          <t>GetLatestResult method accessible.</t>
        </is>
      </c>
      <c r="F33" s="186" t="inlineStr">
        <is>
          <t>UserExecutable = False for the restricted user.</t>
        </is>
      </c>
      <c r="G33" s="188" t="inlineStr">
        <is>
          <t>Good</t>
        </is>
      </c>
      <c r="H33" s="188" t="inlineStr">
        <is>
          <t>Good</t>
        </is>
      </c>
      <c r="I33" s="186" t="n"/>
      <c r="J33" s="186" t="inlineStr">
        <is>
          <t>OPC 10000-3 Section 5.6.5</t>
        </is>
      </c>
      <c r="K33" s="186" t="n"/>
    </row>
    <row r="34" s="132">
      <c r="A34" s="186" t="n"/>
      <c r="B34" s="186" t="n"/>
      <c r="C34" s="187" t="n">
        <v>3</v>
      </c>
      <c r="D34" s="186" t="inlineStr">
        <is>
          <t>Attempt to call GetLatestResult from this restricted session.</t>
        </is>
      </c>
      <c r="E34" s="186" t="inlineStr">
        <is>
          <t>UserExecutable = False confirmed.</t>
        </is>
      </c>
      <c r="F34" s="186" t="inlineStr">
        <is>
          <t>The Call Service returns Good (service-level) but the method returns Bad_UserAccessDenied in the operation result.</t>
        </is>
      </c>
      <c r="G34" s="188" t="inlineStr">
        <is>
          <t>Good</t>
        </is>
      </c>
      <c r="H34" s="195" t="inlineStr">
        <is>
          <t>Bad_UserAccessDenied</t>
        </is>
      </c>
      <c r="I34" s="186" t="n"/>
      <c r="J34" s="186" t="inlineStr">
        <is>
          <t>OPC 10000-4 Section 5.14.2</t>
        </is>
      </c>
      <c r="K34" s="186" t="n"/>
    </row>
    <row r="35" ht="20" customHeight="1" s="132">
      <c r="A35" s="191" t="inlineStr">
        <is>
          <t>n</t>
        </is>
      </c>
      <c r="B35" s="191" t="n">
        <v>3</v>
      </c>
      <c r="C35" s="191" t="n">
        <v>0</v>
      </c>
      <c r="D35" s="192" t="inlineStr">
        <is>
          <t>Call GetLatestResult when no result has ever been generated</t>
        </is>
      </c>
      <c r="E35" s="193" t="n"/>
      <c r="F35" s="193" t="n"/>
      <c r="G35" s="193" t="n"/>
      <c r="H35" s="193" t="n"/>
      <c r="I35" s="193" t="inlineStr">
        <is>
          <t>n</t>
        </is>
      </c>
      <c r="J35" s="193" t="inlineStr">
        <is>
          <t>OPC 40450-1 Section 11.1 CU-13</t>
        </is>
      </c>
      <c r="K35" s="193" t="n"/>
    </row>
    <row r="36" s="132">
      <c r="A36" s="183" t="n"/>
      <c r="B36" s="183" t="n"/>
      <c r="C36" s="184" t="n">
        <v>1</v>
      </c>
      <c r="D36" s="183" t="inlineStr">
        <is>
          <t>On a freshly initialized server with no prior joining operations, call GetLatestResult.</t>
        </is>
      </c>
      <c r="E36" s="183" t="inlineStr">
        <is>
          <t>Server accessible; no prior joining operations performed.</t>
        </is>
      </c>
      <c r="F36" s="183" t="inlineStr">
        <is>
          <t>Call returns Good. OutputArguments[0] (Result) is null or an empty ExtensionObject indicating no result is available. The server must not return a service-level error code for this condition per OPC 40450-1 Section 7.5.</t>
        </is>
      </c>
      <c r="G36" s="185" t="inlineStr">
        <is>
          <t>Good</t>
        </is>
      </c>
      <c r="H36" s="185" t="inlineStr">
        <is>
          <t>Good</t>
        </is>
      </c>
      <c r="I36" s="183" t="n"/>
      <c r="J36" s="183" t="inlineStr">
        <is>
          <t>OPC 40450-1 Section 7.5</t>
        </is>
      </c>
      <c r="K36" s="183" t="inlineStr">
        <is>
          <t>Server must handle the no-result case gracefully.</t>
        </is>
      </c>
    </row>
    <row r="37" ht="20" customHeight="1" s="132">
      <c r="A37" s="191" t="inlineStr">
        <is>
          <t>n</t>
        </is>
      </c>
      <c r="B37" s="191" t="n">
        <v>4</v>
      </c>
      <c r="C37" s="191" t="n">
        <v>0</v>
      </c>
      <c r="D37" s="192" t="inlineStr">
        <is>
          <t>Call GetLatestResult when joining system is in maintenance mode</t>
        </is>
      </c>
      <c r="E37" s="193" t="n"/>
      <c r="F37" s="193" t="n"/>
      <c r="G37" s="193" t="n"/>
      <c r="H37" s="193" t="n"/>
      <c r="I37" s="193" t="inlineStr">
        <is>
          <t>n</t>
        </is>
      </c>
      <c r="J37" s="193" t="inlineStr">
        <is>
          <t>OPC 40450-1 Section 11.1 CU-13</t>
        </is>
      </c>
      <c r="K37" s="193" t="n"/>
    </row>
    <row r="38" s="132">
      <c r="A38" s="186" t="n"/>
      <c r="B38" s="186" t="n"/>
      <c r="C38" s="187" t="n">
        <v>1</v>
      </c>
      <c r="D38" s="186" t="inlineStr">
        <is>
          <t>Put system in maintenance/offline mode. Call GetLatestResult.</t>
        </is>
      </c>
      <c r="E38" s="186" t="inlineStr">
        <is>
          <t>Server claims this Conformance Unit; no additional runtime setup is needed for this step.</t>
        </is>
      </c>
      <c r="F38" s="186" t="inlineStr">
        <is>
          <t>Method returns Good. Output is last known result or null.</t>
        </is>
      </c>
      <c r="G38" s="188" t="inlineStr">
        <is>
          <t>Good</t>
        </is>
      </c>
      <c r="H38" s="187" t="n"/>
      <c r="I38" s="186" t="n"/>
      <c r="J38" s="203" t="inlineStr">
        <is>
          <t>OPC 40450-1 Section 7.5</t>
        </is>
      </c>
      <c r="K38" s="186" t="inlineStr">
        <is>
          <t>Requirement source: OPC 40450-1 Section 7.5 - Should return last known result or null.</t>
        </is>
      </c>
    </row>
    <row r="39" ht="20" customHeight="1" s="132">
      <c r="A39" s="191" t="inlineStr">
        <is>
          <t>n</t>
        </is>
      </c>
      <c r="B39" s="191" t="n">
        <v>5</v>
      </c>
      <c r="C39" s="191" t="n">
        <v>0</v>
      </c>
      <c r="D39" s="192" t="inlineStr">
        <is>
          <t>Verify GetLatestResult output matches ResultVariable structure</t>
        </is>
      </c>
      <c r="E39" s="193" t="n"/>
      <c r="F39" s="193" t="n"/>
      <c r="G39" s="193" t="n"/>
      <c r="H39" s="193" t="n"/>
      <c r="I39" s="193" t="inlineStr">
        <is>
          <t>n</t>
        </is>
      </c>
      <c r="J39" s="193" t="inlineStr">
        <is>
          <t>OPC 40450-1 Section 11.1 CU-13</t>
        </is>
      </c>
      <c r="K39" s="193" t="n"/>
    </row>
    <row r="40" s="132">
      <c r="A40" s="183" t="n"/>
      <c r="B40" s="183" t="n"/>
      <c r="C40" s="184" t="n">
        <v>1</v>
      </c>
      <c r="D40" s="183" t="inlineStr">
        <is>
          <t>Call GetLatestResult. Compare returned Result with ResultVariable node value.</t>
        </is>
      </c>
      <c r="E40" s="183" t="inlineStr">
        <is>
          <t>Server claims this Conformance Unit; no additional runtime setup is needed for this step.</t>
        </is>
      </c>
      <c r="F40" s="183" t="inlineStr">
        <is>
          <t>Output matches current ResultVariable value. All fields identical.</t>
        </is>
      </c>
      <c r="G40" s="185" t="inlineStr">
        <is>
          <t>Good</t>
        </is>
      </c>
      <c r="H40" s="184" t="n"/>
      <c r="I40" s="183" t="n"/>
      <c r="J40" s="202" t="inlineStr">
        <is>
          <t>OPC 40450-1 Section 7.5</t>
        </is>
      </c>
      <c r="K40" s="183" t="inlineStr">
        <is>
          <t>Requirement source: OPC 40450-1 Section 7.5 - Method output must match ResultVariable.</t>
        </is>
      </c>
    </row>
    <row r="41" ht="20" customHeight="1" s="132">
      <c r="A41" s="191" t="inlineStr">
        <is>
          <t>n</t>
        </is>
      </c>
      <c r="B41" s="191" t="n">
        <v>6</v>
      </c>
      <c r="C41" s="191" t="n">
        <v>0</v>
      </c>
      <c r="D41" s="192" t="inlineStr">
        <is>
          <t>Verify concurrent GetLatestResult calls from multiple sessions</t>
        </is>
      </c>
      <c r="E41" s="193" t="n"/>
      <c r="F41" s="193" t="n"/>
      <c r="G41" s="193" t="n"/>
      <c r="H41" s="193" t="n"/>
      <c r="I41" s="193" t="inlineStr">
        <is>
          <t>n</t>
        </is>
      </c>
      <c r="J41" s="193" t="inlineStr">
        <is>
          <t>OPC 40450-1 Section 11.1 CU-13</t>
        </is>
      </c>
      <c r="K41" s="193" t="n"/>
    </row>
    <row r="42" s="132">
      <c r="A42" s="186" t="n"/>
      <c r="B42" s="186" t="n"/>
      <c r="C42" s="187" t="n">
        <v>1</v>
      </c>
      <c r="D42" s="186" t="inlineStr">
        <is>
          <t>From two sessions, call GetLatestResult simultaneously.</t>
        </is>
      </c>
      <c r="E42" s="186" t="inlineStr">
        <is>
          <t>Server claims this Conformance Unit; no additional runtime setup is needed for this step.</t>
        </is>
      </c>
      <c r="F42" s="186" t="inlineStr">
        <is>
          <t>Both return Good with consistent result data.</t>
        </is>
      </c>
      <c r="G42" s="188" t="inlineStr">
        <is>
          <t>Good</t>
        </is>
      </c>
      <c r="H42" s="187" t="n"/>
      <c r="I42" s="186" t="n"/>
      <c r="J42" s="203" t="inlineStr">
        <is>
          <t>OPC 40450-1 Section 7.5</t>
        </is>
      </c>
      <c r="K42" s="186" t="inlineStr">
        <is>
          <t>Requirement source: OPC 10000-4 Section 5.11 - Method calls must be thread-safe.</t>
        </is>
      </c>
    </row>
  </sheetData>
  <mergeCells count="3">
    <mergeCell ref="C2:K2"/>
    <mergeCell ref="A1:K1"/>
    <mergeCell ref="A2:B2"/>
  </mergeCells>
  <pageMargins left="0.7" right="0.7" top="0.75" bottom="0.75" header="0.3" footer="0.3"/>
</worksheet>
</file>

<file path=xl/worksheets/sheet20.xml><?xml version="1.0" encoding="utf-8"?>
<worksheet xmlns="http://schemas.openxmlformats.org/spreadsheetml/2006/main">
  <sheetPr codeName="Sheet16">
    <tabColor rgb="002E75B6"/>
    <outlinePr summaryBelow="1" summaryRight="1"/>
    <pageSetUpPr/>
  </sheetPr>
  <dimension ref="A1:K36"/>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CU-14 IJT Get Result by Id – OPC 40450-1 Section 7.5 (GetResultById method)</t>
        </is>
      </c>
      <c r="B1" s="197" t="n"/>
      <c r="C1" s="197" t="n"/>
      <c r="D1" s="197" t="n"/>
      <c r="E1" s="197" t="n"/>
      <c r="F1" s="197" t="n"/>
      <c r="G1" s="197" t="n"/>
      <c r="H1" s="197" t="n"/>
      <c r="I1" s="197" t="n"/>
      <c r="J1" s="197" t="n"/>
      <c r="K1" s="198" t="n"/>
    </row>
    <row r="2" ht="22" customHeight="1" s="132">
      <c r="A2" s="159">
        <f>HYPERLINK("#Home!A1","⌂ Home")</f>
        <v/>
      </c>
      <c r="B2" s="141" t="n"/>
      <c r="C2" s="179" t="inlineStr">
        <is>
          <t>CU-14 IJT Get Result by Id – OPC 40450-1 Section 7.5 (GetResultById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GetResultById method is declared in JoiningSystemResultManagementType</t>
        </is>
      </c>
      <c r="E4" s="182" t="n"/>
      <c r="F4" s="182" t="n"/>
      <c r="G4" s="182" t="n"/>
      <c r="H4" s="182" t="n"/>
      <c r="I4" s="182" t="inlineStr">
        <is>
          <t>n</t>
        </is>
      </c>
      <c r="J4" s="182" t="inlineStr">
        <is>
          <t>OPC 40450-1 Section 11.1 CU-14</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"GetResultById".</t>
        </is>
      </c>
      <c r="E5" s="183" t="inlineStr">
        <is>
          <t>JoiningSystemResultManagementType found.</t>
        </is>
      </c>
      <c r="F5" s="183" t="inlineStr">
        <is>
          <t>GetResultById method is found with NodeClass = Method.</t>
        </is>
      </c>
      <c r="G5" s="185" t="inlineStr">
        <is>
          <t>Good</t>
        </is>
      </c>
      <c r="H5" s="185" t="inlineStr">
        <is>
          <t>Good</t>
        </is>
      </c>
      <c r="I5" s="183" t="n"/>
      <c r="J5" s="183" t="inlineStr">
        <is>
          <t>OPC 40450-1 Section 7.5</t>
        </is>
      </c>
      <c r="K5" s="183" t="n"/>
    </row>
    <row r="6" s="132">
      <c r="A6" s="183" t="n"/>
      <c r="B6" s="183" t="n"/>
      <c r="C6" s="184" t="n">
        <v>2</v>
      </c>
      <c r="D6" s="183" t="inlineStr">
        <is>
          <t>Read InputArguments of GetResultById.</t>
        </is>
      </c>
      <c r="E6" s="183" t="inlineStr">
        <is>
          <t>GetResultById found.</t>
        </is>
      </c>
      <c r="F6" s="183" t="inlineStr">
        <is>
          <t>InputArguments has 2 entries: (1) ResultId (TrimmedString, Scalar), (2) Timeout (Int32, Scalar). Both have non-null Argument names.</t>
        </is>
      </c>
      <c r="G6" s="185" t="inlineStr">
        <is>
          <t>Good</t>
        </is>
      </c>
      <c r="H6" s="185" t="inlineStr">
        <is>
          <t>Good</t>
        </is>
      </c>
      <c r="I6" s="183" t="n"/>
      <c r="J6" s="183" t="inlineStr">
        <is>
          <t>OPC 40450-1 Section 7.5</t>
        </is>
      </c>
      <c r="K6" s="183" t="n"/>
    </row>
    <row r="7" s="132">
      <c r="A7" s="183" t="n"/>
      <c r="B7" s="183" t="n"/>
      <c r="C7" s="184" t="n">
        <v>3</v>
      </c>
      <c r="D7" s="183" t="inlineStr">
        <is>
          <t>Read OutputArguments of GetResultById.</t>
        </is>
      </c>
      <c r="E7" s="183" t="inlineStr">
        <is>
          <t>GetResultById found.</t>
        </is>
      </c>
      <c r="F7" s="183" t="inlineStr">
        <is>
          <t>OutputArguments has 3 entries: (1) ResultHandle (UInt32, Scalar), (2) Result (ResultDataType/ExtensionObject, Scalar), (3) Error (Int32, Scalar).</t>
        </is>
      </c>
      <c r="G7" s="185" t="inlineStr">
        <is>
          <t>Good</t>
        </is>
      </c>
      <c r="H7" s="185" t="inlineStr">
        <is>
          <t>Good</t>
        </is>
      </c>
      <c r="I7" s="183" t="n"/>
      <c r="J7" s="183" t="inlineStr">
        <is>
          <t>OPC 40450-1 Section 7.5</t>
        </is>
      </c>
      <c r="K7" s="183" t="n"/>
    </row>
    <row r="8" ht="20" customHeight="1" s="132">
      <c r="A8" s="180" t="inlineStr">
        <is>
          <t>y</t>
        </is>
      </c>
      <c r="B8" s="180" t="n">
        <v>2</v>
      </c>
      <c r="C8" s="180" t="n">
        <v>0</v>
      </c>
      <c r="D8" s="181" t="inlineStr">
        <is>
          <t>Verify at least one instance exposes callable GetResultById</t>
        </is>
      </c>
      <c r="E8" s="182" t="n"/>
      <c r="F8" s="182" t="n"/>
      <c r="G8" s="182" t="n"/>
      <c r="H8" s="182" t="n"/>
      <c r="I8" s="182" t="inlineStr">
        <is>
          <t>n</t>
        </is>
      </c>
      <c r="J8" s="182" t="inlineStr">
        <is>
          <t>OPC 40450-1 Section 11.1 CU-14</t>
        </is>
      </c>
      <c r="K8" s="182" t="n"/>
    </row>
    <row r="9" s="132">
      <c r="A9" s="186" t="n"/>
      <c r="B9" s="186" t="n"/>
      <c r="C9" s="187" t="n">
        <v>1</v>
      </c>
      <c r="D9" s="186" t="inlineStr">
        <is>
          <t>Browse the 5:ResultManagement instance for GetResultById. Read Executable Attribute.</t>
        </is>
      </c>
      <c r="E9" s="186" t="inlineStr">
        <is>
          <t>5:ResultManagement accessible.</t>
        </is>
      </c>
      <c r="F9" s="186" t="inlineStr">
        <is>
          <t>GetResultById method present on at least one instance. Executable = True.</t>
        </is>
      </c>
      <c r="G9" s="188" t="inlineStr">
        <is>
          <t>Good</t>
        </is>
      </c>
      <c r="H9" s="188" t="inlineStr">
        <is>
          <t>Good</t>
        </is>
      </c>
      <c r="I9" s="186" t="n"/>
      <c r="J9" s="186" t="inlineStr">
        <is>
          <t>OPC 40450-1 Section 7.5</t>
        </is>
      </c>
      <c r="K9" s="186" t="n"/>
    </row>
    <row r="10" ht="20" customHeight="1" s="132">
      <c r="A10" s="180" t="inlineStr">
        <is>
          <t>y</t>
        </is>
      </c>
      <c r="B10" s="180" t="n">
        <v>3</v>
      </c>
      <c r="C10" s="180" t="n">
        <v>0</v>
      </c>
      <c r="D10" s="181" t="inlineStr">
        <is>
          <t>Call GetResultById with a known ResultId from GetLatestResult</t>
        </is>
      </c>
      <c r="E10" s="182" t="n"/>
      <c r="F10" s="182" t="n"/>
      <c r="G10" s="182" t="n"/>
      <c r="H10" s="182" t="n"/>
      <c r="I10" s="182" t="inlineStr">
        <is>
          <t>n</t>
        </is>
      </c>
      <c r="J10" s="182" t="inlineStr">
        <is>
          <t>OPC 40450-1 Section 11.1 CU-14</t>
        </is>
      </c>
      <c r="K10" s="182" t="n"/>
    </row>
    <row r="11" s="132">
      <c r="A11" s="183" t="n"/>
      <c r="B11" s="183" t="n"/>
      <c r="C11" s="184" t="n">
        <v>1</v>
      </c>
      <c r="D11" s="183" t="inlineStr">
        <is>
          <t>First call GetLatestResult (Timeout=5000) to obtain a ResultId (R1). Then call GetResultById with ResultId=R1, Timeout=5000.</t>
        </is>
      </c>
      <c r="E11" s="183" t="inlineStr">
        <is>
          <t>GetLatestResult available; at least one result exists.</t>
        </is>
      </c>
      <c r="F11" s="183" t="inlineStr">
        <is>
          <t>Call returns Good. OutputArguments[0] (ResultHandle) is a UInt32 (non-zero if server supports ReleaseResultHandle; 0 if not supported). OutputArguments[1] (Result) is a non-null ResultDataType value. OutputArguments[2] (Error) = 0.</t>
        </is>
      </c>
      <c r="G11" s="185" t="inlineStr">
        <is>
          <t>Good</t>
        </is>
      </c>
      <c r="H11" s="185" t="inlineStr">
        <is>
          <t>Good</t>
        </is>
      </c>
      <c r="I11" s="183" t="n"/>
      <c r="J11" s="183" t="inlineStr">
        <is>
          <t>OPC 40450-1 Section 7.5</t>
        </is>
      </c>
      <c r="K11" s="183" t="n"/>
    </row>
    <row r="12" s="132">
      <c r="A12" s="183" t="n"/>
      <c r="B12" s="183" t="n"/>
      <c r="C12" s="184" t="n">
        <v>2</v>
      </c>
      <c r="D12" s="183" t="inlineStr">
        <is>
          <t>Verify the returned Result.ResultMetaData.ResultId equals R1 (the requested ResultId).</t>
        </is>
      </c>
      <c r="E12" s="183" t="inlineStr">
        <is>
          <t>GetResultById returned Good.</t>
        </is>
      </c>
      <c r="F12" s="183" t="inlineStr">
        <is>
          <t>Result.ResultMetaData.ResultId == R1. The correct result was retrieved.</t>
        </is>
      </c>
      <c r="G12" s="185" t="inlineStr">
        <is>
          <t>Good</t>
        </is>
      </c>
      <c r="H12" s="185" t="inlineStr">
        <is>
          <t>Good</t>
        </is>
      </c>
      <c r="I12" s="183" t="n"/>
      <c r="J12" s="183" t="inlineStr">
        <is>
          <t>OPC 40450-1 Section 7.5</t>
        </is>
      </c>
      <c r="K12" s="183" t="inlineStr">
        <is>
          <t>GetResultById must return the result matching the requested ID.</t>
        </is>
      </c>
    </row>
    <row r="13" s="132">
      <c r="A13" s="183" t="n"/>
      <c r="B13" s="183" t="n"/>
      <c r="C13" s="184" t="n">
        <v>3</v>
      </c>
      <c r="D13" s="183" t="inlineStr">
        <is>
          <t>Verify Result.ResultContent is present and decoded correctly based on Classification.</t>
        </is>
      </c>
      <c r="E13" s="183" t="inlineStr">
        <is>
          <t>GetResultById returned Good.</t>
        </is>
      </c>
      <c r="F13" s="183" t="inlineStr">
        <is>
          <t>If Classification = SINGLE_RESULT, ResultContent = one JoiningResultDataType element. If Classification = BATCH/SYNC/JOB, ResultContent = one or more sub-results. Content is non-null.</t>
        </is>
      </c>
      <c r="G13" s="185" t="inlineStr">
        <is>
          <t>Good</t>
        </is>
      </c>
      <c r="H13" s="185" t="inlineStr">
        <is>
          <t>Good</t>
        </is>
      </c>
      <c r="I13" s="183" t="n"/>
      <c r="J13" s="183" t="inlineStr">
        <is>
          <t>OPC 40450-1 Section 10.1 / Annex F</t>
        </is>
      </c>
      <c r="K13" s="183" t="n"/>
    </row>
    <row r="14" ht="20" customHeight="1" s="132">
      <c r="A14" s="180" t="inlineStr">
        <is>
          <t>y</t>
        </is>
      </c>
      <c r="B14" s="180" t="n">
        <v>4</v>
      </c>
      <c r="C14" s="180" t="n">
        <v>0</v>
      </c>
      <c r="D14" s="181" t="inlineStr">
        <is>
          <t>Verify GetResultById returns the FULL result including ResultContent (not just ResultMetaData)</t>
        </is>
      </c>
      <c r="E14" s="182" t="n"/>
      <c r="F14" s="182" t="n"/>
      <c r="G14" s="182" t="n"/>
      <c r="H14" s="182" t="n"/>
      <c r="I14" s="182" t="inlineStr">
        <is>
          <t>n</t>
        </is>
      </c>
      <c r="J14" s="182" t="inlineStr">
        <is>
          <t>OPC 40450-1 Section 11.1 CU-14</t>
        </is>
      </c>
      <c r="K14" s="182" t="n"/>
    </row>
    <row r="15" s="132">
      <c r="A15" s="186" t="n"/>
      <c r="B15" s="186" t="n"/>
      <c r="C15" s="187" t="n">
        <v>1</v>
      </c>
      <c r="D15" s="186" t="inlineStr">
        <is>
          <t>Compare the Result returned by GetResultById vs the Result received via event for the same ResultId. Check if ResultContent is populated in both.</t>
        </is>
      </c>
      <c r="E15" s="186" t="inlineStr">
        <is>
          <t>Event received for a result; same ResultId used for GetResultById call.</t>
        </is>
      </c>
      <c r="F15" s="186" t="inlineStr">
        <is>
          <t>GetResultById returns a result with non-empty ResultContent (OverallResultValues, StepResults, Trace if applicable). The event may send a partial payload; GetResultById must always return the complete result.</t>
        </is>
      </c>
      <c r="G15" s="188" t="inlineStr">
        <is>
          <t>Good</t>
        </is>
      </c>
      <c r="H15" s="188" t="inlineStr">
        <is>
          <t>Good</t>
        </is>
      </c>
      <c r="I15" s="186" t="n"/>
      <c r="J15" s="186" t="inlineStr">
        <is>
          <t>OPC 40450-1 Section 7.5</t>
        </is>
      </c>
      <c r="K15" s="186" t="inlineStr">
        <is>
          <t>GetResultById is the canonical way to retrieve the full result content.</t>
        </is>
      </c>
    </row>
    <row r="16" ht="20" customHeight="1" s="132">
      <c r="A16" s="180" t="inlineStr">
        <is>
          <t>y</t>
        </is>
      </c>
      <c r="B16" s="180" t="n">
        <v>5</v>
      </c>
      <c r="C16" s="180" t="n">
        <v>0</v>
      </c>
      <c r="D16" s="181" t="inlineStr">
        <is>
          <t>Verify GetResultById with a specific older ResultId (not the latest)</t>
        </is>
      </c>
      <c r="E16" s="182" t="n"/>
      <c r="F16" s="182" t="n"/>
      <c r="G16" s="182" t="n"/>
      <c r="H16" s="182" t="n"/>
      <c r="I16" s="182" t="inlineStr">
        <is>
          <t>n</t>
        </is>
      </c>
      <c r="J16" s="182" t="inlineStr">
        <is>
          <t>OPC 40450-1 Section 11.1 CU-14</t>
        </is>
      </c>
      <c r="K16" s="182" t="n"/>
    </row>
    <row r="17" s="132">
      <c r="A17" s="183" t="n"/>
      <c r="B17" s="183" t="n"/>
      <c r="C17" s="184" t="n">
        <v>1</v>
      </c>
      <c r="D17" s="183" t="inlineStr">
        <is>
          <t>Trigger 3 joining operations. Retrieve all 3 ResultIds (R1, R2, R3). Call GetResultById with R1 (oldest).</t>
        </is>
      </c>
      <c r="E17" s="183" t="inlineStr">
        <is>
          <t>3 results available; R1 is the oldest.</t>
        </is>
      </c>
      <c r="F17" s="183" t="inlineStr">
        <is>
          <t>GetResultById returns Good. The returned result has ResultId = R1, not R2 or R3. The server correctly retrieves a non-latest result by ID.</t>
        </is>
      </c>
      <c r="G17" s="185" t="inlineStr">
        <is>
          <t>Good</t>
        </is>
      </c>
      <c r="H17" s="185" t="inlineStr">
        <is>
          <t>Good</t>
        </is>
      </c>
      <c r="I17" s="183" t="n"/>
      <c r="J17" s="183" t="inlineStr">
        <is>
          <t>OPC 40450-1 Section 7.5</t>
        </is>
      </c>
      <c r="K17" s="183" t="inlineStr">
        <is>
          <t>Server must store multiple results and retrieve by specific ID.</t>
        </is>
      </c>
    </row>
    <row r="18" ht="20" customHeight="1" s="132">
      <c r="A18" s="180" t="inlineStr">
        <is>
          <t>y</t>
        </is>
      </c>
      <c r="B18" s="180" t="n">
        <v>6</v>
      </c>
      <c r="C18" s="180" t="n">
        <v>0</v>
      </c>
      <c r="D18" s="181" t="inlineStr">
        <is>
          <t>Verify GetResultById retrieves a non-latest result by its specific ID</t>
        </is>
      </c>
      <c r="E18" s="182" t="n"/>
      <c r="F18" s="182" t="n"/>
      <c r="G18" s="182" t="n"/>
      <c r="H18" s="182" t="n"/>
      <c r="I18" s="182" t="inlineStr">
        <is>
          <t>n</t>
        </is>
      </c>
      <c r="J18" s="182" t="inlineStr">
        <is>
          <t>OPC 40450-1 Section 11.1 CU-14</t>
        </is>
      </c>
      <c r="K18" s="182" t="n"/>
    </row>
    <row r="19" customFormat="1" s="138">
      <c r="A19" s="186" t="n"/>
      <c r="B19" s="186" t="n"/>
      <c r="C19" s="187" t="n">
        <v>1</v>
      </c>
      <c r="D19" s="186" t="inlineStr">
        <is>
          <t>Trigger 2 joining operations. Get ResultId R_old from the first (via event or GetLatestResult after first op). Get ResultId R_latest from the second. Call GetResultById with ResultId=R_old, Timeout=5000.</t>
        </is>
      </c>
      <c r="E19" s="186" t="inlineStr">
        <is>
          <t>2 results available; R_old is from the first operation, R_latest is from the second (most recent).</t>
        </is>
      </c>
      <c r="F19" s="186" t="inlineStr">
        <is>
          <t>Call returns Good. Returned result.ResultMetaData.ResultId = R_old (not R_latest). The server correctly retrieves a non-latest result by its specific ID.</t>
        </is>
      </c>
      <c r="G19" s="188" t="inlineStr">
        <is>
          <t>Good</t>
        </is>
      </c>
      <c r="H19" s="188" t="inlineStr">
        <is>
          <t>Good</t>
        </is>
      </c>
      <c r="I19" s="186" t="n"/>
      <c r="J19" s="186" t="inlineStr">
        <is>
          <t>OPC 40450-1 Section 7.5 / Section 10.1</t>
        </is>
      </c>
      <c r="K19" s="186" t="n"/>
    </row>
    <row r="20" ht="20" customHeight="1" s="132">
      <c r="A20" s="180" t="inlineStr">
        <is>
          <t>y</t>
        </is>
      </c>
      <c r="B20" s="180" t="n">
        <v>7</v>
      </c>
      <c r="C20" s="180" t="n">
        <v>0</v>
      </c>
      <c r="D20" s="181" t="inlineStr">
        <is>
          <t>Verify ResultMetaData completeness in GetResultById response</t>
        </is>
      </c>
      <c r="E20" s="182" t="n"/>
      <c r="F20" s="182" t="n"/>
      <c r="G20" s="182" t="n"/>
      <c r="H20" s="182" t="n"/>
      <c r="I20" s="182" t="inlineStr">
        <is>
          <t>n</t>
        </is>
      </c>
      <c r="J20" s="182" t="inlineStr">
        <is>
          <t>OPC 40450-1 Section 11.1 CU-14</t>
        </is>
      </c>
      <c r="K20" s="182" t="n"/>
    </row>
    <row r="21" s="132">
      <c r="A21" s="183" t="n"/>
      <c r="B21" s="183" t="n"/>
      <c r="C21" s="184" t="n">
        <v>1</v>
      </c>
      <c r="D21" s="183" t="inlineStr">
        <is>
          <t>Call GetResultById. From the returned result, verify all 9 mandatory Basic Result fields are present: ResultId, Classification, IsSimulated, IsPartial, ResultEvaluation, JoiningTechnology, ResultState, SequenceNumber, CreationTime.</t>
        </is>
      </c>
      <c r="E21" s="183" t="inlineStr">
        <is>
          <t>GetResultById returned Good.</t>
        </is>
      </c>
      <c r="F21" s="183" t="inlineStr">
        <is>
          <t>All 9 mandatory fields are present and have valid values. No field is null or missing.</t>
        </is>
      </c>
      <c r="G21" s="185" t="inlineStr">
        <is>
          <t>Good</t>
        </is>
      </c>
      <c r="H21" s="185" t="inlineStr">
        <is>
          <t>Good</t>
        </is>
      </c>
      <c r="I21" s="183" t="n"/>
      <c r="J21" s="183" t="inlineStr">
        <is>
          <t>OPC 40450-1 Section 10.1 / Section 7.5</t>
        </is>
      </c>
      <c r="K21" s="183" t="n"/>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Call GetResultById with a non-existent ResultId</t>
        </is>
      </c>
      <c r="E23" s="193" t="n"/>
      <c r="F23" s="193" t="n"/>
      <c r="G23" s="193" t="n"/>
      <c r="H23" s="193" t="n"/>
      <c r="I23" s="193" t="inlineStr">
        <is>
          <t>n</t>
        </is>
      </c>
      <c r="J23" s="193" t="inlineStr">
        <is>
          <t>OPC 40450-1 Section 11.1 CU-14</t>
        </is>
      </c>
      <c r="K23" s="193" t="n"/>
    </row>
    <row r="24" s="132">
      <c r="A24" s="183" t="n"/>
      <c r="B24" s="183" t="n"/>
      <c r="C24" s="184" t="n">
        <v>1</v>
      </c>
      <c r="D24" s="183" t="inlineStr">
        <is>
          <t>Call GetResultById with ResultId = "NONEXISTENT-RESULT-ID-0000000000001".</t>
        </is>
      </c>
      <c r="E24" s="183" t="inlineStr">
        <is>
          <t>GetResultById available.</t>
        </is>
      </c>
      <c r="F24" s="183" t="inlineStr">
        <is>
          <t>The Call Service returns Good (service level). The method operation result returns Bad_InvalidArgument (preferred) or Bad_NodeIdUnknown (also acceptable). Both indicate the ResultId was not found.</t>
        </is>
      </c>
      <c r="G24" s="185" t="inlineStr">
        <is>
          <t>Good</t>
        </is>
      </c>
      <c r="H24" s="194" t="inlineStr">
        <is>
          <t>Bad_InvalidArgument</t>
        </is>
      </c>
      <c r="I24" s="183" t="n"/>
      <c r="J24" s="183" t="inlineStr">
        <is>
          <t>OPC 40450-1 Section 7.5</t>
        </is>
      </c>
      <c r="K24" s="183" t="n"/>
    </row>
    <row r="25" s="132">
      <c r="A25" s="183" t="n"/>
      <c r="B25" s="183" t="n"/>
      <c r="C25" s="184" t="n">
        <v>2</v>
      </c>
      <c r="D25" s="183" t="inlineStr">
        <is>
          <t>Verify OutputArguments[1] (Result) is null or empty.</t>
        </is>
      </c>
      <c r="E25" s="183" t="inlineStr">
        <is>
          <t>Same call.</t>
        </is>
      </c>
      <c r="F25" s="183" t="inlineStr">
        <is>
          <t>OutputArguments[1] (Result) is null or empty — no result data is returned. OutputArguments[0] (ResultHandle) may be 0.</t>
        </is>
      </c>
      <c r="G25" s="185" t="inlineStr">
        <is>
          <t>Good</t>
        </is>
      </c>
      <c r="H25" s="185" t="inlineStr">
        <is>
          <t>Good</t>
        </is>
      </c>
      <c r="I25" s="183" t="n"/>
      <c r="J25" s="183" t="inlineStr">
        <is>
          <t>OPC 40450-1 Section 7.5</t>
        </is>
      </c>
      <c r="K25" s="183" t="n"/>
    </row>
    <row r="26" ht="20" customHeight="1" s="132">
      <c r="A26" s="191" t="inlineStr">
        <is>
          <t>n</t>
        </is>
      </c>
      <c r="B26" s="191" t="n">
        <v>2</v>
      </c>
      <c r="C26" s="191" t="n">
        <v>0</v>
      </c>
      <c r="D26" s="192" t="inlineStr">
        <is>
          <t>Call GetResultById with an empty ResultId</t>
        </is>
      </c>
      <c r="E26" s="193" t="n"/>
      <c r="F26" s="193" t="n"/>
      <c r="G26" s="193" t="n"/>
      <c r="H26" s="193" t="n"/>
      <c r="I26" s="193" t="inlineStr">
        <is>
          <t>n</t>
        </is>
      </c>
      <c r="J26" s="193" t="inlineStr">
        <is>
          <t>OPC 40450-1 Section 11.1 CU-14</t>
        </is>
      </c>
      <c r="K26" s="193" t="n"/>
    </row>
    <row r="27" s="132">
      <c r="A27" s="186" t="n"/>
      <c r="B27" s="186" t="n"/>
      <c r="C27" s="187" t="n">
        <v>1</v>
      </c>
      <c r="D27" s="186" t="inlineStr">
        <is>
          <t>Call GetResultById with ResultId="" (empty string), Timeout=5000.</t>
        </is>
      </c>
      <c r="E27" s="186" t="inlineStr">
        <is>
          <t>GetResultById available.</t>
        </is>
      </c>
      <c r="F27" s="186" t="inlineStr">
        <is>
          <t>Method returns Bad_InvalidArgument. An empty ResultId is not a valid identifier.</t>
        </is>
      </c>
      <c r="G27" s="188" t="inlineStr">
        <is>
          <t>Good</t>
        </is>
      </c>
      <c r="H27" s="195" t="inlineStr">
        <is>
          <t>Bad_InvalidArgument</t>
        </is>
      </c>
      <c r="I27" s="186" t="n"/>
      <c r="J27" s="186" t="inlineStr">
        <is>
          <t>OPC 40450-1 Section 7.5</t>
        </is>
      </c>
      <c r="K27" s="186" t="n"/>
    </row>
    <row r="28" ht="20" customHeight="1" s="132">
      <c r="A28" s="191" t="inlineStr">
        <is>
          <t>n</t>
        </is>
      </c>
      <c r="B28" s="191" t="n">
        <v>3</v>
      </c>
      <c r="C28" s="191" t="n">
        <v>0</v>
      </c>
      <c r="D28" s="192" t="inlineStr">
        <is>
          <t>Verify UserAccessLevel restriction on GetResultById</t>
        </is>
      </c>
      <c r="E28" s="193" t="n"/>
      <c r="F28" s="193" t="n"/>
      <c r="G28" s="193" t="n"/>
      <c r="H28" s="193" t="n"/>
      <c r="I28" s="193" t="inlineStr">
        <is>
          <t>n</t>
        </is>
      </c>
      <c r="J28" s="193" t="inlineStr">
        <is>
          <t>OPC 40450-1 Section 11.1 CU-14</t>
        </is>
      </c>
      <c r="K28" s="193" t="n"/>
    </row>
    <row r="29" s="132">
      <c r="A29" s="183" t="n"/>
      <c r="B29" s="183" t="n"/>
      <c r="C29" s="184" t="n">
        <v>1</v>
      </c>
      <c r="D29" s="183" t="inlineStr">
        <is>
          <t>Establish a restricted OPC UA session. Read UserExecutable of GetResultById.</t>
        </is>
      </c>
      <c r="E29" s="183" t="inlineStr">
        <is>
          <t>Access-controlled session available.</t>
        </is>
      </c>
      <c r="F29" s="183" t="inlineStr">
        <is>
          <t>UserExecutable = False.</t>
        </is>
      </c>
      <c r="G29" s="185" t="inlineStr">
        <is>
          <t>Good</t>
        </is>
      </c>
      <c r="H29" s="185" t="inlineStr">
        <is>
          <t>Good</t>
        </is>
      </c>
      <c r="I29" s="183" t="n"/>
      <c r="J29" s="183" t="inlineStr">
        <is>
          <t>OPC 10000-3 Section 5.6.5</t>
        </is>
      </c>
      <c r="K29" s="183" t="n"/>
    </row>
    <row r="30" s="132">
      <c r="A30" s="183" t="n"/>
      <c r="B30" s="183" t="n"/>
      <c r="C30" s="184" t="n">
        <v>2</v>
      </c>
      <c r="D30" s="183" t="inlineStr">
        <is>
          <t>Attempt to call GetResultById from the restricted session.</t>
        </is>
      </c>
      <c r="E30" s="183" t="inlineStr">
        <is>
          <t>UserExecutable = False.</t>
        </is>
      </c>
      <c r="F30" s="183" t="inlineStr">
        <is>
          <t>Method returns Bad_UserAccessDenied.</t>
        </is>
      </c>
      <c r="G30" s="185" t="inlineStr">
        <is>
          <t>Good</t>
        </is>
      </c>
      <c r="H30" s="194" t="inlineStr">
        <is>
          <t>Bad_UserAccessDenied</t>
        </is>
      </c>
      <c r="I30" s="183" t="n"/>
      <c r="J30" s="183" t="inlineStr">
        <is>
          <t>OPC 10000-4 Section 5.14.2</t>
        </is>
      </c>
      <c r="K30" s="183" t="n"/>
    </row>
    <row r="31" ht="20" customHeight="1" s="132">
      <c r="A31" s="191" t="inlineStr">
        <is>
          <t>n</t>
        </is>
      </c>
      <c r="B31" s="191" t="n">
        <v>4</v>
      </c>
      <c r="C31" s="191" t="n">
        <v>0</v>
      </c>
      <c r="D31" s="192" t="inlineStr">
        <is>
          <t>Call GetResultById with ResultId containing special characters</t>
        </is>
      </c>
      <c r="E31" s="193" t="n"/>
      <c r="F31" s="193" t="n"/>
      <c r="G31" s="193" t="n"/>
      <c r="H31" s="193" t="n"/>
      <c r="I31" s="193" t="inlineStr">
        <is>
          <t>n</t>
        </is>
      </c>
      <c r="J31" s="193" t="inlineStr">
        <is>
          <t>OPC 40450-1 Section 11.1 CU-14</t>
        </is>
      </c>
      <c r="K31" s="193" t="n"/>
    </row>
    <row r="32" s="132">
      <c r="A32" s="186" t="n"/>
      <c r="B32" s="186" t="n"/>
      <c r="C32" s="187" t="n">
        <v>1</v>
      </c>
      <c r="D32" s="186" t="inlineStr">
        <is>
          <t>Call GetResultById with ResultId='abc!@#$%'.</t>
        </is>
      </c>
      <c r="E32" s="186" t="inlineStr">
        <is>
          <t>Server claims this Conformance Unit; no additional runtime setup is needed for this step.</t>
        </is>
      </c>
      <c r="F32" s="186" t="inlineStr">
        <is>
          <t>Good with null output (no match) or Bad_NotFound.</t>
        </is>
      </c>
      <c r="G32" s="188" t="inlineStr">
        <is>
          <t>Good</t>
        </is>
      </c>
      <c r="H32" s="187" t="n"/>
      <c r="I32" s="186" t="n"/>
      <c r="J32" s="203" t="inlineStr">
        <is>
          <t>OPC 40450-1 Section 7.5</t>
        </is>
      </c>
      <c r="K32" s="186" t="inlineStr">
        <is>
          <t>Requirement source: OPC 40450-1 Section 7.5 - TrimmedString allows specials; no match expected.</t>
        </is>
      </c>
    </row>
    <row r="33" ht="20" customHeight="1" s="132">
      <c r="A33" s="191" t="inlineStr">
        <is>
          <t>n</t>
        </is>
      </c>
      <c r="B33" s="191" t="n">
        <v>5</v>
      </c>
      <c r="C33" s="191" t="n">
        <v>0</v>
      </c>
      <c r="D33" s="192" t="inlineStr">
        <is>
          <t>Call GetResultById with extremely long ResultId (&gt;1000 chars)</t>
        </is>
      </c>
      <c r="E33" s="193" t="n"/>
      <c r="F33" s="193" t="n"/>
      <c r="G33" s="193" t="n"/>
      <c r="H33" s="193" t="n"/>
      <c r="I33" s="193" t="inlineStr">
        <is>
          <t>n</t>
        </is>
      </c>
      <c r="J33" s="193" t="inlineStr">
        <is>
          <t>OPC 40450-1 Section 11.1 CU-14</t>
        </is>
      </c>
      <c r="K33" s="193" t="n"/>
    </row>
    <row r="34" s="132">
      <c r="A34" s="183" t="n"/>
      <c r="B34" s="183" t="n"/>
      <c r="C34" s="184" t="n">
        <v>1</v>
      </c>
      <c r="D34" s="183" t="inlineStr">
        <is>
          <t>Call GetResultById passing 1500-character string.</t>
        </is>
      </c>
      <c r="E34" s="183" t="inlineStr">
        <is>
          <t>Server claims this Conformance Unit; no additional runtime setup is needed for this step.</t>
        </is>
      </c>
      <c r="F34" s="183" t="inlineStr">
        <is>
          <t>Returns Bad_InvalidArgument. Server does not crash.</t>
        </is>
      </c>
      <c r="G34" s="194" t="inlineStr">
        <is>
          <t>Bad_InvalidArgument</t>
        </is>
      </c>
      <c r="H34" s="184" t="n"/>
      <c r="I34" s="183" t="n"/>
      <c r="J34" s="202" t="inlineStr">
        <is>
          <t>OPC 40450-1 Section 7.5</t>
        </is>
      </c>
      <c r="K34" s="183" t="inlineStr">
        <is>
          <t>Requirement source: OPC 10000-4 - Server should enforce input length limits.</t>
        </is>
      </c>
    </row>
    <row r="35" ht="20" customHeight="1" s="132">
      <c r="A35" s="191" t="inlineStr">
        <is>
          <t>n</t>
        </is>
      </c>
      <c r="B35" s="191" t="n">
        <v>6</v>
      </c>
      <c r="C35" s="191" t="n">
        <v>0</v>
      </c>
      <c r="D35" s="192" t="inlineStr">
        <is>
          <t>Verify GetResultById result matches event-received result</t>
        </is>
      </c>
      <c r="E35" s="193" t="n"/>
      <c r="F35" s="193" t="n"/>
      <c r="G35" s="193" t="n"/>
      <c r="H35" s="193" t="n"/>
      <c r="I35" s="193" t="inlineStr">
        <is>
          <t>n</t>
        </is>
      </c>
      <c r="J35" s="193" t="inlineStr">
        <is>
          <t>OPC 40450-1 Section 11.1 CU-14</t>
        </is>
      </c>
      <c r="K35" s="193" t="n"/>
    </row>
    <row r="36" s="132">
      <c r="A36" s="186" t="n"/>
      <c r="B36" s="186" t="n"/>
      <c r="C36" s="187" t="n">
        <v>1</v>
      </c>
      <c r="D36" s="186" t="inlineStr">
        <is>
          <t>From event, capture ResultId. Call GetResultById with that ResultId.</t>
        </is>
      </c>
      <c r="E36" s="186" t="inlineStr">
        <is>
          <t>Server claims this Conformance Unit; no additional runtime setup is needed for this step.</t>
        </is>
      </c>
      <c r="F36" s="186" t="inlineStr">
        <is>
          <t>GetResultById returns Good. Result matches event result.</t>
        </is>
      </c>
      <c r="G36" s="188" t="inlineStr">
        <is>
          <t>Good</t>
        </is>
      </c>
      <c r="H36" s="187" t="n"/>
      <c r="I36" s="186" t="n"/>
      <c r="J36" s="203" t="inlineStr">
        <is>
          <t>OPC 40450-1 Section 7.5</t>
        </is>
      </c>
      <c r="K36" s="186" t="inlineStr">
        <is>
          <t>Requirement source: OPC 40450-1 Section 7.5 - Event and method results must be consistent.</t>
        </is>
      </c>
    </row>
  </sheetData>
  <mergeCells count="3">
    <mergeCell ref="C2:K2"/>
    <mergeCell ref="A1:K1"/>
    <mergeCell ref="A2:B2"/>
  </mergeCells>
  <pageMargins left="0.7" right="0.7" top="0.75" bottom="0.75" header="0.3" footer="0.3"/>
</worksheet>
</file>

<file path=xl/worksheets/sheet21.xml><?xml version="1.0" encoding="utf-8"?>
<worksheet xmlns="http://schemas.openxmlformats.org/spreadsheetml/2006/main">
  <sheetPr codeName="Sheet17">
    <tabColor rgb="002E75B6"/>
    <outlinePr summaryBelow="1" summaryRight="1"/>
    <pageSetUpPr/>
  </sheetPr>
  <dimension ref="A1:K47"/>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CU-15 IJT Get Result with Filter Criteria – OPC 40450-1 Section 7.5</t>
        </is>
      </c>
      <c r="B1" s="197" t="n"/>
      <c r="C1" s="197" t="n"/>
      <c r="D1" s="197" t="n"/>
      <c r="E1" s="197" t="n"/>
      <c r="F1" s="197" t="n"/>
      <c r="G1" s="197" t="n"/>
      <c r="H1" s="197" t="n"/>
      <c r="I1" s="197" t="n"/>
      <c r="J1" s="197" t="n"/>
      <c r="K1" s="198" t="n"/>
    </row>
    <row r="2" ht="22" customHeight="1" s="132">
      <c r="A2" s="159">
        <f>HYPERLINK("#Home!A1","⌂ Home")</f>
        <v/>
      </c>
      <c r="B2" s="141" t="n"/>
      <c r="C2" s="179" t="inlineStr">
        <is>
          <t>CU-15 IJT Get Result with Filter Criteria – OPC 40450-1 Section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GetResultIdListFiltered method is declared in JoiningSystemResultManagementType</t>
        </is>
      </c>
      <c r="E4" s="182" t="n"/>
      <c r="F4" s="182" t="n"/>
      <c r="G4" s="182" t="n"/>
      <c r="H4" s="182" t="n"/>
      <c r="I4" s="182" t="inlineStr">
        <is>
          <t>n</t>
        </is>
      </c>
      <c r="J4" s="182" t="inlineStr">
        <is>
          <t>OPC 40450-1 Section 11.1 CU-15</t>
        </is>
      </c>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"GetResultIdListFiltered".</t>
        </is>
      </c>
      <c r="E5" s="183" t="inlineStr">
        <is>
          <t>JoiningSystemResultManagementType found.</t>
        </is>
      </c>
      <c r="F5" s="183" t="inlineStr">
        <is>
          <t>GetResultIdListFiltered is found with NodeClass = Method.</t>
        </is>
      </c>
      <c r="G5" s="185" t="inlineStr">
        <is>
          <t>Good</t>
        </is>
      </c>
      <c r="H5" s="185" t="inlineStr">
        <is>
          <t>Good</t>
        </is>
      </c>
      <c r="I5" s="183" t="n"/>
      <c r="J5" s="183" t="inlineStr">
        <is>
          <t>OPC 40450-1 Section 7.5</t>
        </is>
      </c>
      <c r="K5" s="183" t="n"/>
    </row>
    <row r="6" s="132">
      <c r="A6" s="183" t="n"/>
      <c r="B6" s="183" t="n"/>
      <c r="C6" s="184" t="n">
        <v>2</v>
      </c>
      <c r="D6" s="183" t="inlineStr">
        <is>
          <t>Read InputArguments of GetResultIdListFiltered.</t>
        </is>
      </c>
      <c r="E6" s="183" t="inlineStr">
        <is>
          <t>Method found.</t>
        </is>
      </c>
      <c r="F6" s="183" t="inlineStr">
        <is>
          <t>InputArguments contains 4 entries: (1) Filter (ContentFilter - construct filter elements using BrowsePaths over ResultMetaData fields such as SequenceNumber, CreationTime, Classification, ResultEvaluation), (2) OrderedBy (RelativePath[], optional ordering BrowsePaths), (3) MaxResults (UInt32, 0 = no limit), (4) Timeout (Int32, milliseconds to wait for results).</t>
        </is>
      </c>
      <c r="G6" s="185" t="inlineStr">
        <is>
          <t>Good</t>
        </is>
      </c>
      <c r="H6" s="185" t="inlineStr">
        <is>
          <t>Good</t>
        </is>
      </c>
      <c r="I6" s="183" t="n"/>
      <c r="J6" s="183" t="inlineStr">
        <is>
          <t>OPC 40450-1 Section 7.5</t>
        </is>
      </c>
      <c r="K6" s="183" t="n"/>
    </row>
    <row r="7" s="132">
      <c r="A7" s="183" t="n"/>
      <c r="B7" s="183" t="n"/>
      <c r="C7" s="184" t="n">
        <v>3</v>
      </c>
      <c r="D7" s="183" t="inlineStr">
        <is>
          <t>Read OutputArguments of GetResultIdListFiltered.</t>
        </is>
      </c>
      <c r="E7" s="183" t="inlineStr">
        <is>
          <t>Method found.</t>
        </is>
      </c>
      <c r="F7" s="183" t="inlineStr">
        <is>
          <t>OutputArguments has 3 entries: (1) ResultHandle (UInt32, Scalar), (2) ResultIdList (TrimmedString[], Array), (3) Error (Int32, Scalar).</t>
        </is>
      </c>
      <c r="G7" s="185" t="inlineStr">
        <is>
          <t>Good</t>
        </is>
      </c>
      <c r="H7" s="185" t="inlineStr">
        <is>
          <t>Good</t>
        </is>
      </c>
      <c r="I7" s="183" t="n"/>
      <c r="J7" s="183" t="inlineStr">
        <is>
          <t>OPC 40450-1 Section 7.5</t>
        </is>
      </c>
      <c r="K7" s="183" t="n"/>
    </row>
    <row r="8" ht="20" customHeight="1" s="132">
      <c r="A8" s="180" t="inlineStr">
        <is>
          <t>y</t>
        </is>
      </c>
      <c r="B8" s="180" t="n">
        <v>2</v>
      </c>
      <c r="C8" s="180" t="n">
        <v>0</v>
      </c>
      <c r="D8" s="181" t="inlineStr">
        <is>
          <t>Verify at least one instance exposes callable GetResultIdListFiltered</t>
        </is>
      </c>
      <c r="E8" s="182" t="n"/>
      <c r="F8" s="182" t="n"/>
      <c r="G8" s="182" t="n"/>
      <c r="H8" s="182" t="n"/>
      <c r="I8" s="182" t="inlineStr">
        <is>
          <t>n</t>
        </is>
      </c>
      <c r="J8" s="182" t="inlineStr">
        <is>
          <t>OPC 40450-1 Section 11.1 CU-15</t>
        </is>
      </c>
      <c r="K8" s="182" t="n"/>
    </row>
    <row r="9" s="132">
      <c r="A9" s="186" t="n"/>
      <c r="B9" s="186" t="n"/>
      <c r="C9" s="187" t="n">
        <v>1</v>
      </c>
      <c r="D9" s="186" t="inlineStr">
        <is>
          <t>Browse 5:ResultManagement instance for GetResultIdListFiltered. Read Executable.</t>
        </is>
      </c>
      <c r="E9" s="186" t="inlineStr">
        <is>
          <t>5:ResultManagement accessible.</t>
        </is>
      </c>
      <c r="F9" s="186" t="inlineStr">
        <is>
          <t>GetResultIdListFiltered is present. Executable = True.</t>
        </is>
      </c>
      <c r="G9" s="188" t="inlineStr">
        <is>
          <t>Good</t>
        </is>
      </c>
      <c r="H9" s="188" t="inlineStr">
        <is>
          <t>Good</t>
        </is>
      </c>
      <c r="I9" s="186" t="n"/>
      <c r="J9" s="186" t="inlineStr">
        <is>
          <t>OPC 40450-1 Section 7.5</t>
        </is>
      </c>
      <c r="K9" s="186" t="n"/>
    </row>
    <row r="10" ht="20" customHeight="1" s="132">
      <c r="A10" s="180" t="inlineStr">
        <is>
          <t>y</t>
        </is>
      </c>
      <c r="B10" s="180" t="n">
        <v>3</v>
      </c>
      <c r="C10" s="180" t="n">
        <v>0</v>
      </c>
      <c r="D10" s="181" t="inlineStr">
        <is>
          <t>Filter by SequenceNumber exact single match</t>
        </is>
      </c>
      <c r="E10" s="182" t="n"/>
      <c r="F10" s="182" t="n"/>
      <c r="G10" s="182" t="n"/>
      <c r="H10" s="182" t="n"/>
      <c r="I10" s="182" t="inlineStr">
        <is>
          <t>n</t>
        </is>
      </c>
      <c r="J10" s="182" t="inlineStr">
        <is>
          <t>OPC 40450-1 Section 11.1 CU-15</t>
        </is>
      </c>
      <c r="K10" s="182" t="n"/>
    </row>
    <row r="11" s="132">
      <c r="A11" s="183" t="n"/>
      <c r="B11" s="183" t="n"/>
      <c r="C11" s="184" t="n">
        <v>1</v>
      </c>
      <c r="D11" s="183" t="inlineStr">
        <is>
          <t>Call GetLatestResult to obtain the current SequenceNumber (SN_N). Call GetResultIdListFiltered with a ContentFilter matching SequenceNumber = SN_N (all other criteria unset).</t>
        </is>
      </c>
      <c r="E11" s="183" t="inlineStr">
        <is>
          <t>At least one result exists. SequenceNumber known.</t>
        </is>
      </c>
      <c r="F11" s="183" t="inlineStr">
        <is>
          <t>Method returns Good. ResultIdList contains exactly one ResultId corresponding to SequenceNumber = SN_N.</t>
        </is>
      </c>
      <c r="G11" s="185" t="inlineStr">
        <is>
          <t>Good</t>
        </is>
      </c>
      <c r="H11" s="185" t="inlineStr">
        <is>
          <t>Good</t>
        </is>
      </c>
      <c r="I11" s="183" t="n"/>
      <c r="J11" s="183" t="inlineStr">
        <is>
          <t>OPC 40450-1 Section 7.5 / Section 10.1</t>
        </is>
      </c>
      <c r="K11" s="183" t="n"/>
    </row>
    <row r="12" s="132">
      <c r="A12" s="183" t="n"/>
      <c r="B12" s="183" t="n"/>
      <c r="C12" s="184" t="n">
        <v>2</v>
      </c>
      <c r="D12" s="183" t="inlineStr">
        <is>
          <t>Call GetResultById with the returned ResultId. Verify its SequenceNumber = SN_N.</t>
        </is>
      </c>
      <c r="E12" s="183" t="inlineStr">
        <is>
          <t>ResultId from step 1 available.</t>
        </is>
      </c>
      <c r="F12" s="183" t="inlineStr">
        <is>
          <t>GetResultById returns the result. Result.ResultMetaData.SequenceNumber = SN_N.</t>
        </is>
      </c>
      <c r="G12" s="185" t="inlineStr">
        <is>
          <t>Good</t>
        </is>
      </c>
      <c r="H12" s="185" t="inlineStr">
        <is>
          <t>Good</t>
        </is>
      </c>
      <c r="I12" s="183" t="n"/>
      <c r="J12" s="183" t="inlineStr">
        <is>
          <t>OPC 40450-1 Section 7.5</t>
        </is>
      </c>
      <c r="K12" s="183" t="n"/>
    </row>
    <row r="13" ht="20" customHeight="1" s="132">
      <c r="A13" s="180" t="inlineStr">
        <is>
          <t>y</t>
        </is>
      </c>
      <c r="B13" s="180" t="n">
        <v>4</v>
      </c>
      <c r="C13" s="180" t="n">
        <v>0</v>
      </c>
      <c r="D13" s="181" t="inlineStr">
        <is>
          <t>Filter by SequenceNumber range [SN_N-2, SN_N] returning multiple results</t>
        </is>
      </c>
      <c r="E13" s="182" t="n"/>
      <c r="F13" s="182" t="n"/>
      <c r="G13" s="182" t="n"/>
      <c r="H13" s="182" t="n"/>
      <c r="I13" s="182" t="inlineStr">
        <is>
          <t>n</t>
        </is>
      </c>
      <c r="J13" s="182" t="inlineStr">
        <is>
          <t>OPC 40450-1 Section 11.1 CU-15</t>
        </is>
      </c>
      <c r="K13" s="182" t="n"/>
    </row>
    <row r="14" s="132">
      <c r="A14" s="186" t="n"/>
      <c r="B14" s="186" t="n"/>
      <c r="C14" s="187" t="n">
        <v>1</v>
      </c>
      <c r="D14" s="186" t="inlineStr">
        <is>
          <t>Ensure at least 3 results exist (SequenceNumbers SN_N-2, SN_N-1, SN_N). Call GetResultIdListFiltered with a ContentFilter matching SequenceNumber &gt;= SN_N-2 AND SequenceNumber &lt;= SN_N.</t>
        </is>
      </c>
      <c r="E14" s="186" t="inlineStr">
        <is>
          <t>3+ results exist. SequenceNumbers known.</t>
        </is>
      </c>
      <c r="F14" s="186" t="inlineStr">
        <is>
          <t>Method returns Good. ResultIdList contains 3 ResultIds.</t>
        </is>
      </c>
      <c r="G14" s="188" t="inlineStr">
        <is>
          <t>Good</t>
        </is>
      </c>
      <c r="H14" s="188" t="inlineStr">
        <is>
          <t>Good</t>
        </is>
      </c>
      <c r="I14" s="186" t="n"/>
      <c r="J14" s="186" t="inlineStr">
        <is>
          <t>OPC 40450-1 Section 7.5</t>
        </is>
      </c>
      <c r="K14" s="186" t="n"/>
    </row>
    <row r="15" s="132">
      <c r="A15" s="186" t="n"/>
      <c r="B15" s="186" t="n"/>
      <c r="C15" s="187" t="n">
        <v>2</v>
      </c>
      <c r="D15" s="186" t="inlineStr">
        <is>
          <t>For each ResultId in the list, call GetResultById and verify SequenceNumber is in [SN_N-2, SN_N].</t>
        </is>
      </c>
      <c r="E15" s="186" t="inlineStr">
        <is>
          <t>ResultIdList from step 1 available.</t>
        </is>
      </c>
      <c r="F15" s="186" t="inlineStr">
        <is>
          <t>All returned ResultIds map to results with SequenceNumber in the specified range.</t>
        </is>
      </c>
      <c r="G15" s="188" t="inlineStr">
        <is>
          <t>Good</t>
        </is>
      </c>
      <c r="H15" s="188" t="inlineStr">
        <is>
          <t>Good</t>
        </is>
      </c>
      <c r="I15" s="186" t="n"/>
      <c r="J15" s="186" t="inlineStr">
        <is>
          <t>OPC 40450-1 Section 7.5</t>
        </is>
      </c>
      <c r="K15" s="186" t="n"/>
    </row>
    <row r="16" s="132">
      <c r="A16" s="186" t="n"/>
      <c r="B16" s="186" t="n"/>
      <c r="C16" s="187" t="n">
        <v>3</v>
      </c>
      <c r="D16" s="186" t="inlineStr">
        <is>
          <t>Verify the order of ResultIds in the list (ascending or descending SequenceNumber – per server documentation).</t>
        </is>
      </c>
      <c r="E16" s="186" t="inlineStr">
        <is>
          <t>3 results retrieved.</t>
        </is>
      </c>
      <c r="F16" s="186" t="inlineStr">
        <is>
          <t>ResultIds are ordered consistently (e.g. oldest to newest = ascending SequenceNumber, per server behavior).</t>
        </is>
      </c>
      <c r="G16" s="188" t="inlineStr">
        <is>
          <t>Good</t>
        </is>
      </c>
      <c r="H16" s="188" t="inlineStr">
        <is>
          <t>Good</t>
        </is>
      </c>
      <c r="I16" s="186" t="n"/>
      <c r="J16" s="186" t="inlineStr">
        <is>
          <t>OPC 40450-1 Section 7.5</t>
        </is>
      </c>
      <c r="K16" s="186" t="inlineStr">
        <is>
          <t>Ordering policy is server-defined; verify consistency.</t>
        </is>
      </c>
    </row>
    <row r="17" ht="20" customHeight="1" s="132">
      <c r="A17" s="204" t="inlineStr">
        <is>
          <t>y</t>
        </is>
      </c>
      <c r="B17" s="204" t="n">
        <v>5</v>
      </c>
      <c r="C17" s="204" t="n">
        <v>0</v>
      </c>
      <c r="D17" s="205" t="inlineStr">
        <is>
          <t>Filter by CreationTime start time (from T1 to now)</t>
        </is>
      </c>
      <c r="E17" s="206" t="n"/>
      <c r="F17" s="206" t="n"/>
      <c r="G17" s="206" t="n"/>
      <c r="H17" s="206" t="n"/>
      <c r="I17" s="206" t="inlineStr">
        <is>
          <t>n</t>
        </is>
      </c>
      <c r="J17" s="206" t="inlineStr">
        <is>
          <t>OPC 40450-1 Section 11.1 CU-15</t>
        </is>
      </c>
      <c r="K17" s="206" t="n"/>
    </row>
    <row r="18" s="132">
      <c r="A18" s="183" t="n"/>
      <c r="B18" s="183" t="n"/>
      <c r="C18" s="184" t="n">
        <v>1</v>
      </c>
      <c r="D18" s="183" t="inlineStr">
        <is>
          <t>Record current UTC time as T1. Trigger 2 new joining operations. Call GetResultIdListFiltered with a ContentFilter matching CreationTime &gt;= T1 AND CreationTime &lt;= now+5s.</t>
        </is>
      </c>
      <c r="E18" s="183" t="inlineStr">
        <is>
          <t>2 new joining operations performed after T1.</t>
        </is>
      </c>
      <c r="F18" s="183" t="inlineStr">
        <is>
          <t>Method returns Good. ResultIdList contains at least the 2 ResultIds from operations after T1.</t>
        </is>
      </c>
      <c r="G18" s="185" t="inlineStr">
        <is>
          <t>Good</t>
        </is>
      </c>
      <c r="H18" s="185" t="inlineStr">
        <is>
          <t>Good</t>
        </is>
      </c>
      <c r="I18" s="183" t="n"/>
      <c r="J18" s="183" t="inlineStr">
        <is>
          <t>OPC 40450-1 Section 7.5</t>
        </is>
      </c>
      <c r="K18" s="183" t="n"/>
    </row>
    <row r="19" s="132">
      <c r="A19" s="183" t="n"/>
      <c r="B19" s="183" t="n"/>
      <c r="C19" s="184" t="n">
        <v>2</v>
      </c>
      <c r="D19" s="183" t="inlineStr">
        <is>
          <t>For each returned ResultId, call GetResultById and verify CreationTime &gt;= T1.</t>
        </is>
      </c>
      <c r="E19" s="183" t="inlineStr">
        <is>
          <t>ResultIds from step 1 available.</t>
        </is>
      </c>
      <c r="F19" s="183" t="inlineStr">
        <is>
          <t>All results have CreationTime &gt;= T1. No result predating T1 is included.</t>
        </is>
      </c>
      <c r="G19" s="185" t="inlineStr">
        <is>
          <t>Good</t>
        </is>
      </c>
      <c r="H19" s="185" t="inlineStr">
        <is>
          <t>Good</t>
        </is>
      </c>
      <c r="I19" s="183" t="n"/>
      <c r="J19" s="183" t="inlineStr">
        <is>
          <t>OPC 40450-1 Section 7.5 / Section 10.1</t>
        </is>
      </c>
      <c r="K19" s="183" t="n"/>
    </row>
    <row r="20" ht="20" customHeight="1" s="132">
      <c r="A20" s="204" t="inlineStr">
        <is>
          <t>y</t>
        </is>
      </c>
      <c r="B20" s="204" t="n">
        <v>6</v>
      </c>
      <c r="C20" s="204" t="n">
        <v>0</v>
      </c>
      <c r="D20" s="205" t="inlineStr">
        <is>
          <t>Filter by CreationTime range returns correct subset</t>
        </is>
      </c>
      <c r="E20" s="206" t="n"/>
      <c r="F20" s="206" t="n"/>
      <c r="G20" s="206" t="n"/>
      <c r="H20" s="206" t="n"/>
      <c r="I20" s="206" t="inlineStr">
        <is>
          <t>n</t>
        </is>
      </c>
      <c r="J20" s="206" t="inlineStr">
        <is>
          <t>OPC 40450-1 Section 11.1 CU-15</t>
        </is>
      </c>
      <c r="K20" s="206" t="n"/>
    </row>
    <row r="21" s="132">
      <c r="A21" s="186" t="n"/>
      <c r="B21" s="186" t="n"/>
      <c r="C21" s="187" t="n">
        <v>1</v>
      </c>
      <c r="D21" s="186" t="inlineStr">
        <is>
          <t>Record time T_start. Trigger 2 operations. Record time T_end. Trigger 2 more operations. Call GetResultIdListFiltered with a ContentFilter matching CreationTime &gt;= T_start AND CreationTime &lt;= T_end.</t>
        </is>
      </c>
      <c r="E21" s="186" t="inlineStr">
        <is>
          <t>4 operations performed in two time windows.</t>
        </is>
      </c>
      <c r="F21" s="186" t="inlineStr">
        <is>
          <t>Method returns Good. ResultIdList contains only the 2 results from the T_start..T_end window. Results after T_end are not included.</t>
        </is>
      </c>
      <c r="G21" s="188" t="inlineStr">
        <is>
          <t>Good</t>
        </is>
      </c>
      <c r="H21" s="188" t="inlineStr">
        <is>
          <t>Good</t>
        </is>
      </c>
      <c r="I21" s="186" t="n"/>
      <c r="J21" s="186" t="inlineStr">
        <is>
          <t>OPC 40450-1 Section 7.5</t>
        </is>
      </c>
      <c r="K21" s="186" t="n"/>
    </row>
    <row r="22" ht="20" customHeight="1" s="132">
      <c r="A22" s="180" t="inlineStr">
        <is>
          <t>y</t>
        </is>
      </c>
      <c r="B22" s="180" t="n">
        <v>7</v>
      </c>
      <c r="C22" s="180" t="n">
        <v>0</v>
      </c>
      <c r="D22" s="181" t="inlineStr">
        <is>
          <t>Filter returns empty list when no results match the criteria</t>
        </is>
      </c>
      <c r="E22" s="182" t="n"/>
      <c r="F22" s="182" t="n"/>
      <c r="G22" s="182" t="n"/>
      <c r="H22" s="182" t="n"/>
      <c r="I22" s="182" t="inlineStr">
        <is>
          <t>n</t>
        </is>
      </c>
      <c r="J22" s="182" t="inlineStr">
        <is>
          <t>OPC 40450-1 Section 11.1 CU-15</t>
        </is>
      </c>
      <c r="K22" s="182" t="n"/>
    </row>
    <row r="23" s="132">
      <c r="A23" s="183" t="n"/>
      <c r="B23" s="183" t="n"/>
      <c r="C23" s="184" t="n">
        <v>1</v>
      </c>
      <c r="D23" s="183" t="inlineStr">
        <is>
          <t>Call GetResultIdListFiltered with a ContentFilter matching CreationTime in a very old window (current UTC - 1 year plus/minus 1 second) unlikely to contain any results.</t>
        </is>
      </c>
      <c r="E23" s="183" t="inlineStr">
        <is>
          <t>Server accessible; no results from 1 year ago expected.</t>
        </is>
      </c>
      <c r="F23" s="183" t="inlineStr">
        <is>
          <t>Method returns Good. ResultIdList is an empty array [].</t>
        </is>
      </c>
      <c r="G23" s="185" t="inlineStr">
        <is>
          <t>Good</t>
        </is>
      </c>
      <c r="H23" s="185" t="inlineStr">
        <is>
          <t>Good</t>
        </is>
      </c>
      <c r="I23" s="183" t="n"/>
      <c r="J23" s="183" t="inlineStr">
        <is>
          <t>OPC 40450-1 Section 7.5</t>
        </is>
      </c>
      <c r="K23" s="183" t="inlineStr">
        <is>
          <t>Empty result set is valid – not an error.</t>
        </is>
      </c>
    </row>
    <row r="24" ht="20" customHeight="1" s="132">
      <c r="A24" s="180" t="inlineStr">
        <is>
          <t>y</t>
        </is>
      </c>
      <c r="B24" s="180" t="n">
        <v>8</v>
      </c>
      <c r="C24" s="180" t="n">
        <v>0</v>
      </c>
      <c r="D24" s="181" t="inlineStr">
        <is>
          <t>Verify all returned ResultIds are retrievable via GetResultById</t>
        </is>
      </c>
      <c r="E24" s="182" t="n"/>
      <c r="F24" s="182" t="n"/>
      <c r="G24" s="182" t="n"/>
      <c r="H24" s="182" t="n"/>
      <c r="I24" s="182" t="inlineStr">
        <is>
          <t>n</t>
        </is>
      </c>
      <c r="J24" s="182" t="inlineStr">
        <is>
          <t>OPC 40450-1 Section 11.1 CU-15</t>
        </is>
      </c>
      <c r="K24" s="182" t="n"/>
    </row>
    <row r="25" s="132">
      <c r="A25" s="186" t="n"/>
      <c r="B25" s="186" t="n"/>
      <c r="C25" s="187" t="n">
        <v>1</v>
      </c>
      <c r="D25" s="186" t="inlineStr">
        <is>
          <t>Call GetResultIdListFiltered with a filter that returns at least 3 results. For each ResultId in the output, call GetResultById.</t>
        </is>
      </c>
      <c r="E25" s="186" t="inlineStr">
        <is>
          <t>3+ results in the filtered range.</t>
        </is>
      </c>
      <c r="F25" s="186" t="inlineStr">
        <is>
          <t>Every ResultId from the GetResultIdListFiltered output is successfully retrieved via GetResultById returning Good. No Bad_NodeIdUnknown errors occur.</t>
        </is>
      </c>
      <c r="G25" s="188" t="inlineStr">
        <is>
          <t>Good</t>
        </is>
      </c>
      <c r="H25" s="188" t="inlineStr">
        <is>
          <t>Good</t>
        </is>
      </c>
      <c r="I25" s="186" t="n"/>
      <c r="J25" s="186" t="inlineStr">
        <is>
          <t>OPC 40450-1 Section 7.5</t>
        </is>
      </c>
      <c r="K25" s="186" t="inlineStr">
        <is>
          <t>ResultIds from the filter must be valid and retrievable.</t>
        </is>
      </c>
    </row>
    <row r="26" ht="20" customHeight="1" s="132">
      <c r="A26" s="180" t="inlineStr">
        <is>
          <t>y</t>
        </is>
      </c>
      <c r="B26" s="180" t="n">
        <v>9</v>
      </c>
      <c r="C26" s="180" t="n">
        <v>0</v>
      </c>
      <c r="D26" s="181" t="inlineStr">
        <is>
          <t>Filter by Classifications[] – restrict to SINGLE_RESULT only</t>
        </is>
      </c>
      <c r="E26" s="182" t="n"/>
      <c r="F26" s="182" t="n"/>
      <c r="G26" s="182" t="n"/>
      <c r="H26" s="182" t="n"/>
      <c r="I26" s="182" t="inlineStr">
        <is>
          <t>n</t>
        </is>
      </c>
      <c r="J26" s="182" t="inlineStr">
        <is>
          <t>OPC 40450-1 Section 11.1 CU-15</t>
        </is>
      </c>
      <c r="K26" s="182" t="n"/>
    </row>
    <row r="27" s="132">
      <c r="A27" s="183" t="n"/>
      <c r="B27" s="183" t="n"/>
      <c r="C27" s="184" t="n">
        <v>1</v>
      </c>
      <c r="D27" s="183" t="inlineStr">
        <is>
          <t>Ensure the server has at least one SINGLE_RESULT and one BATCH_RESULT. Call GetResultIdListFiltered with a ContentFilter matching Classification = 1 (SINGLE_RESULT only).</t>
        </is>
      </c>
      <c r="E27" s="183" t="inlineStr">
        <is>
          <t>Mixed result types available.</t>
        </is>
      </c>
      <c r="F27" s="183" t="inlineStr">
        <is>
          <t>Method returns Good. All ResultIds in the output correspond to results with Classification = 1 (SINGLE_RESULT). BATCH_RESULT results are excluded.</t>
        </is>
      </c>
      <c r="G27" s="185" t="inlineStr">
        <is>
          <t>Good</t>
        </is>
      </c>
      <c r="H27" s="185" t="inlineStr">
        <is>
          <t>Good</t>
        </is>
      </c>
      <c r="I27" s="183" t="n"/>
      <c r="J27" s="183" t="inlineStr">
        <is>
          <t>OPC 40450-1 Section 7.5</t>
        </is>
      </c>
      <c r="K27" s="183" t="inlineStr">
        <is>
          <t>Extended ContentFilter coverage - Classification filtering is not the minimum CU requirement; SequenceNumber and CreationTime are minimum.</t>
        </is>
      </c>
    </row>
    <row r="28" ht="20" customHeight="1" s="132">
      <c r="A28" s="180" t="inlineStr">
        <is>
          <t>y</t>
        </is>
      </c>
      <c r="B28" s="180" t="n">
        <v>10</v>
      </c>
      <c r="C28" s="180" t="n">
        <v>0</v>
      </c>
      <c r="D28" s="181" t="inlineStr">
        <is>
          <t>Filter by ResultEvaluations[] – restrict to NotOK results only</t>
        </is>
      </c>
      <c r="E28" s="182" t="n"/>
      <c r="F28" s="182" t="n"/>
      <c r="G28" s="182" t="n"/>
      <c r="H28" s="182" t="n"/>
      <c r="I28" s="182" t="inlineStr">
        <is>
          <t>n</t>
        </is>
      </c>
      <c r="J28" s="182" t="inlineStr">
        <is>
          <t>OPC 40450-1 Section 11.1 CU-15</t>
        </is>
      </c>
      <c r="K28" s="182" t="n"/>
    </row>
    <row r="29" s="132">
      <c r="A29" s="186" t="n"/>
      <c r="B29" s="186" t="n"/>
      <c r="C29" s="187" t="n">
        <v>1</v>
      </c>
      <c r="D29" s="186" t="inlineStr">
        <is>
          <t>Ensure at least one OK (1) and one NotOK (2) result exist. Call GetResultIdListFiltered with a ContentFilter matching ResultEvaluation = NotOK (2).</t>
        </is>
      </c>
      <c r="E29" s="186" t="inlineStr">
        <is>
          <t>OK and NotOK results available.</t>
        </is>
      </c>
      <c r="F29" s="186" t="inlineStr">
        <is>
          <t>Method returns Good. All ResultIds in the output correspond to results with ResultEvaluation = NotOK (2). OK results are excluded.</t>
        </is>
      </c>
      <c r="G29" s="188" t="inlineStr">
        <is>
          <t>Good</t>
        </is>
      </c>
      <c r="H29" s="188" t="inlineStr">
        <is>
          <t>Good</t>
        </is>
      </c>
      <c r="I29" s="186" t="n"/>
      <c r="J29" s="186" t="inlineStr">
        <is>
          <t>OPC 40450-1 Section 7.5</t>
        </is>
      </c>
      <c r="K29" s="186" t="inlineStr">
        <is>
          <t>Extended ContentFilter coverage - ResultEvaluation filtering is not the minimum CU requirement; SequenceNumber and CreationTime are minimum.</t>
        </is>
      </c>
    </row>
    <row r="30" ht="20" customHeight="1" s="132">
      <c r="A30" s="180" t="inlineStr">
        <is>
          <t>y</t>
        </is>
      </c>
      <c r="B30" s="180" t="n">
        <v>11</v>
      </c>
      <c r="C30" s="180" t="n">
        <v>0</v>
      </c>
      <c r="D30" s="181" t="inlineStr">
        <is>
          <t>Combine SequenceNumber and CreationTime filter (AND semantics)</t>
        </is>
      </c>
      <c r="E30" s="182" t="n"/>
      <c r="F30" s="182" t="n"/>
      <c r="G30" s="182" t="n"/>
      <c r="H30" s="182" t="n"/>
      <c r="I30" s="182" t="inlineStr">
        <is>
          <t>n</t>
        </is>
      </c>
      <c r="J30" s="182" t="inlineStr">
        <is>
          <t>OPC 40450-1 Section 11.1 CU-15</t>
        </is>
      </c>
      <c r="K30" s="182" t="n"/>
    </row>
    <row r="31" s="132">
      <c r="A31" s="183" t="n"/>
      <c r="B31" s="183" t="n"/>
      <c r="C31" s="184" t="n">
        <v>1</v>
      </c>
      <c r="D31" s="183" t="inlineStr">
        <is>
          <t>Determine a SequenceNumber range [SN_A, SN_B] and a CreationTime range [T1, T2] that partially overlap. Call GetResultIdListFiltered with a ContentFilter combining both criteria.</t>
        </is>
      </c>
      <c r="E31" s="183" t="inlineStr">
        <is>
          <t>Overlapping result set exists.</t>
        </is>
      </c>
      <c r="F31" s="183" t="inlineStr">
        <is>
          <t>Method returns Good. ResultIdList contains only results satisfying BOTH the SequenceNumber range AND the CreationTime range (i.e. intersection, not union).</t>
        </is>
      </c>
      <c r="G31" s="185" t="inlineStr">
        <is>
          <t>Good</t>
        </is>
      </c>
      <c r="H31" s="185" t="inlineStr">
        <is>
          <t>Good</t>
        </is>
      </c>
      <c r="I31" s="183" t="n"/>
      <c r="J31" s="183" t="inlineStr">
        <is>
          <t>OPC 40450-1 Section 7.5</t>
        </is>
      </c>
      <c r="K31" s="183" t="inlineStr">
        <is>
          <t>Multiple filter criteria are ANDed together.</t>
        </is>
      </c>
    </row>
    <row r="32" ht="20" customHeight="1" s="132">
      <c r="A32" s="189" t="inlineStr">
        <is>
          <t>Error Test Cases</t>
        </is>
      </c>
      <c r="B32" s="190" t="n"/>
      <c r="C32" s="190" t="n"/>
      <c r="D32" s="190" t="n"/>
      <c r="E32" s="190" t="n"/>
      <c r="F32" s="190" t="n"/>
      <c r="G32" s="190" t="n"/>
      <c r="H32" s="190" t="n"/>
      <c r="I32" s="190" t="n"/>
      <c r="J32" s="190" t="n"/>
      <c r="K32" s="190" t="n"/>
    </row>
    <row r="33" ht="20" customFormat="1" customHeight="1" s="138">
      <c r="A33" s="191" t="inlineStr">
        <is>
          <t>n</t>
        </is>
      </c>
      <c r="B33" s="191" t="n">
        <v>1</v>
      </c>
      <c r="C33" s="191" t="n">
        <v>0</v>
      </c>
      <c r="D33" s="192" t="inlineStr">
        <is>
          <t>Call with inverted CreationTime ContentFilter range</t>
        </is>
      </c>
      <c r="E33" s="193" t="n"/>
      <c r="F33" s="193" t="n"/>
      <c r="G33" s="193" t="n"/>
      <c r="H33" s="193" t="n"/>
      <c r="I33" s="193" t="inlineStr">
        <is>
          <t>n</t>
        </is>
      </c>
      <c r="J33" s="193" t="inlineStr">
        <is>
          <t>OPC 40450-1 Section 11.1 CU-15</t>
        </is>
      </c>
      <c r="K33" s="193" t="n"/>
    </row>
    <row r="34" s="132">
      <c r="A34" s="183" t="n"/>
      <c r="B34" s="183" t="n"/>
      <c r="C34" s="184" t="n">
        <v>1</v>
      </c>
      <c r="D34" s="183" t="inlineStr">
        <is>
          <t>Call GetResultIdListFiltered with a ContentFilter matching CreationTime &gt;= now AND CreationTime &lt;= now - 1 hour.</t>
        </is>
      </c>
      <c r="E34" s="183" t="inlineStr">
        <is>
          <t>GetResultIdListFiltered available.</t>
        </is>
      </c>
      <c r="F34" s="183" t="inlineStr">
        <is>
          <t>Method returns Bad_InvalidArgument or an empty ResultIdList. Server handles the inverted CreationTime range gracefully without crashing.</t>
        </is>
      </c>
      <c r="G34" s="185" t="inlineStr">
        <is>
          <t>Good</t>
        </is>
      </c>
      <c r="H34" s="194" t="inlineStr">
        <is>
          <t>Bad_InvalidArgument or Good with empty ResultIdList</t>
        </is>
      </c>
      <c r="I34" s="183" t="n"/>
      <c r="J34" s="183" t="inlineStr">
        <is>
          <t>OPC 40450-1 Section 7.5</t>
        </is>
      </c>
      <c r="K34" s="183" t="inlineStr">
        <is>
          <t>Inverted CreationTime range expressed as ContentFilter criteria is invalid or unsatisfiable.</t>
        </is>
      </c>
    </row>
    <row r="35" ht="20" customHeight="1" s="132">
      <c r="A35" s="191" t="inlineStr">
        <is>
          <t>n</t>
        </is>
      </c>
      <c r="B35" s="191" t="n">
        <v>2</v>
      </c>
      <c r="C35" s="191" t="n">
        <v>0</v>
      </c>
      <c r="D35" s="192" t="inlineStr">
        <is>
          <t>Call GetResultIdListFiltered with MaxResults=2; verify at most 2 results returned</t>
        </is>
      </c>
      <c r="E35" s="193" t="n"/>
      <c r="F35" s="193" t="n"/>
      <c r="G35" s="193" t="n"/>
      <c r="H35" s="193" t="n"/>
      <c r="I35" s="193" t="inlineStr">
        <is>
          <t>n</t>
        </is>
      </c>
      <c r="J35" s="193" t="inlineStr">
        <is>
          <t>OPC 40450-1 Section 11.1 CU-15</t>
        </is>
      </c>
      <c r="K35" s="193" t="n"/>
    </row>
    <row r="36" s="132">
      <c r="A36" s="186" t="n"/>
      <c r="B36" s="186" t="n"/>
      <c r="C36" s="187" t="n">
        <v>1</v>
      </c>
      <c r="D36" s="186" t="inlineStr">
        <is>
          <t>Ensure at least 3 results exist on the server. Call GetResultIdListFiltered with Filter=null, OrderedBy=null, MaxResults=2, Timeout=5000.</t>
        </is>
      </c>
      <c r="E36" s="186" t="inlineStr">
        <is>
          <t>GetResultIdListFiltered available; at least 3 results stored on the server.</t>
        </is>
      </c>
      <c r="F36" s="186" t="inlineStr">
        <is>
          <t>Method returns Good. ResultIdList contains at most 2 ResultIds (MaxResults limit is enforced by the server).</t>
        </is>
      </c>
      <c r="G36" s="188" t="inlineStr">
        <is>
          <t>Good</t>
        </is>
      </c>
      <c r="H36" s="195" t="inlineStr">
        <is>
          <t>Good; ResultIdList.Length ≤ 2</t>
        </is>
      </c>
      <c r="I36" s="186" t="n"/>
      <c r="J36" s="186" t="inlineStr">
        <is>
          <t>OPC 40450-1 Section 7.5</t>
        </is>
      </c>
      <c r="K36" s="186" t="n"/>
    </row>
    <row r="37" ht="20" customHeight="1" s="132">
      <c r="A37" s="191" t="inlineStr">
        <is>
          <t>n</t>
        </is>
      </c>
      <c r="B37" s="191" t="n">
        <v>3</v>
      </c>
      <c r="C37" s="191" t="n">
        <v>0</v>
      </c>
      <c r="D37" s="192" t="inlineStr">
        <is>
          <t>Verify UserAccessLevel restriction</t>
        </is>
      </c>
      <c r="E37" s="193" t="n"/>
      <c r="F37" s="193" t="n"/>
      <c r="G37" s="193" t="n"/>
      <c r="H37" s="193" t="n"/>
      <c r="I37" s="193" t="inlineStr">
        <is>
          <t>n</t>
        </is>
      </c>
      <c r="J37" s="193" t="inlineStr">
        <is>
          <t>OPC 40450-1 Section 11.1 CU-15</t>
        </is>
      </c>
      <c r="K37" s="193" t="n"/>
    </row>
    <row r="38" s="132">
      <c r="A38" s="183" t="n"/>
      <c r="B38" s="183" t="n"/>
      <c r="C38" s="184" t="n">
        <v>1</v>
      </c>
      <c r="D38" s="183" t="inlineStr">
        <is>
          <t>Establish a restricted OPC UA session. Read UserExecutable of GetResultIdListFiltered.</t>
        </is>
      </c>
      <c r="E38" s="183" t="inlineStr">
        <is>
          <t>Access-controlled session available.</t>
        </is>
      </c>
      <c r="F38" s="183" t="inlineStr">
        <is>
          <t>UserExecutable = False for restricted user.</t>
        </is>
      </c>
      <c r="G38" s="185" t="inlineStr">
        <is>
          <t>Good</t>
        </is>
      </c>
      <c r="H38" s="185" t="inlineStr">
        <is>
          <t>Good</t>
        </is>
      </c>
      <c r="I38" s="183" t="n"/>
      <c r="J38" s="183" t="inlineStr">
        <is>
          <t>OPC 10000-3 Section 5.6.5</t>
        </is>
      </c>
      <c r="K38" s="183" t="n"/>
    </row>
    <row r="39" s="132">
      <c r="A39" s="183" t="n"/>
      <c r="B39" s="183" t="n"/>
      <c r="C39" s="184" t="n">
        <v>2</v>
      </c>
      <c r="D39" s="183" t="inlineStr">
        <is>
          <t>Attempt to call GetResultIdListFiltered from the restricted session.</t>
        </is>
      </c>
      <c r="E39" s="183" t="inlineStr">
        <is>
          <t>UserExecutable = False.</t>
        </is>
      </c>
      <c r="F39" s="183" t="inlineStr">
        <is>
          <t>Method returns Bad_UserAccessDenied.</t>
        </is>
      </c>
      <c r="G39" s="185" t="inlineStr">
        <is>
          <t>Good</t>
        </is>
      </c>
      <c r="H39" s="194" t="inlineStr">
        <is>
          <t>Bad_UserAccessDenied</t>
        </is>
      </c>
      <c r="I39" s="183" t="n"/>
      <c r="J39" s="183" t="inlineStr">
        <is>
          <t>OPC 10000-4 Section 5.14.2</t>
        </is>
      </c>
      <c r="K39" s="183" t="n"/>
    </row>
    <row r="40" ht="20" customHeight="1" s="132">
      <c r="A40" s="191" t="inlineStr">
        <is>
          <t>n</t>
        </is>
      </c>
      <c r="B40" s="191" t="n">
        <v>4</v>
      </c>
      <c r="C40" s="191" t="n">
        <v>0</v>
      </c>
      <c r="D40" s="192" t="inlineStr">
        <is>
          <t>Verify GetResultIdListFiltered handles an inverted SequenceNumber ContentFilter range</t>
        </is>
      </c>
      <c r="E40" s="193" t="n"/>
      <c r="F40" s="193" t="n"/>
      <c r="G40" s="193" t="n"/>
      <c r="H40" s="193" t="n"/>
      <c r="I40" s="193" t="inlineStr">
        <is>
          <t>n</t>
        </is>
      </c>
      <c r="J40" s="193" t="inlineStr">
        <is>
          <t>OPC 40450-1 Section 11.1 CU-15</t>
        </is>
      </c>
      <c r="K40" s="193" t="n"/>
    </row>
    <row r="41" s="132">
      <c r="A41" s="186" t="n"/>
      <c r="B41" s="186" t="n"/>
      <c r="C41" s="187" t="n">
        <v>1</v>
      </c>
      <c r="D41" s="186" t="inlineStr">
        <is>
          <t>Call GetResultIdListFiltered with a ContentFilter matching SequenceNumber &gt;= 9999 AND SequenceNumber &lt;= 1.</t>
        </is>
      </c>
      <c r="E41" s="186" t="inlineStr">
        <is>
          <t>GetResultIdListFiltered method available; at least 3 results stored.</t>
        </is>
      </c>
      <c r="F41" s="186" t="inlineStr">
        <is>
          <t>Method returns Bad_InvalidArgument or an empty ResultIdList. Server must not return results for the inverted range.</t>
        </is>
      </c>
      <c r="G41" s="188" t="inlineStr">
        <is>
          <t>Good</t>
        </is>
      </c>
      <c r="H41" s="195" t="inlineStr">
        <is>
          <t>Bad_InvalidArgument or Good with empty ResultIdList</t>
        </is>
      </c>
      <c r="I41" s="186" t="n"/>
      <c r="J41" s="186" t="inlineStr">
        <is>
          <t>OPC 40450-1 Section 7.5</t>
        </is>
      </c>
      <c r="K41" s="186" t="inlineStr">
        <is>
          <t>Inverted SequenceNumber range expressed as ContentFilter criteria is invalid or unsatisfiable.</t>
        </is>
      </c>
    </row>
    <row r="42" ht="20" customHeight="1" s="132">
      <c r="A42" s="191" t="inlineStr">
        <is>
          <t>n</t>
        </is>
      </c>
      <c r="B42" s="191" t="n">
        <v>5</v>
      </c>
      <c r="C42" s="191" t="n">
        <v>0</v>
      </c>
      <c r="D42" s="192" t="inlineStr">
        <is>
          <t>Call GetResultIdListFiltered with inverted CreationTime ContentFilter range</t>
        </is>
      </c>
      <c r="E42" s="193" t="n"/>
      <c r="F42" s="193" t="n"/>
      <c r="G42" s="193" t="n"/>
      <c r="H42" s="193" t="n"/>
      <c r="I42" s="193" t="inlineStr">
        <is>
          <t>n</t>
        </is>
      </c>
      <c r="J42" s="193" t="inlineStr">
        <is>
          <t>OPC 40450-1 Section 11.1 CU-15</t>
        </is>
      </c>
      <c r="K42" s="193" t="n"/>
    </row>
    <row r="43" s="132">
      <c r="A43" s="183" t="n"/>
      <c r="B43" s="183" t="n"/>
      <c r="C43" s="184" t="n">
        <v>1</v>
      </c>
      <c r="D43" s="183" t="inlineStr">
        <is>
          <t>Call GetResultIdListFiltered with a ContentFilter matching CreationTime &gt;= now AND CreationTime &lt;= yesterday.</t>
        </is>
      </c>
      <c r="E43" s="183" t="inlineStr">
        <is>
          <t>Server claims this Conformance Unit; no additional runtime setup is needed for this step.</t>
        </is>
      </c>
      <c r="F43" s="183" t="inlineStr">
        <is>
          <t>Method returns Bad_InvalidArgument or an empty ResultIdList. No matching results are returned.</t>
        </is>
      </c>
      <c r="G43" s="194" t="inlineStr">
        <is>
          <t>Good</t>
        </is>
      </c>
      <c r="H43" s="184" t="inlineStr">
        <is>
          <t>Bad_InvalidArgument or Good with empty ResultIdList</t>
        </is>
      </c>
      <c r="I43" s="183" t="n"/>
      <c r="J43" s="202" t="inlineStr">
        <is>
          <t>OPC 40450-1 Section 7.5</t>
        </is>
      </c>
      <c r="K43" s="183" t="inlineStr">
        <is>
          <t>Inverted CreationTime range expressed as ContentFilter criteria is invalid or unsatisfiable.</t>
        </is>
      </c>
    </row>
    <row r="44" ht="20" customHeight="1" s="132">
      <c r="A44" s="191" t="inlineStr">
        <is>
          <t>n</t>
        </is>
      </c>
      <c r="B44" s="191" t="n">
        <v>6</v>
      </c>
      <c r="C44" s="191" t="n">
        <v>0</v>
      </c>
      <c r="D44" s="192" t="inlineStr">
        <is>
          <t>Call GetResultIdListFiltered with inverted SequenceNumber ContentFilter range</t>
        </is>
      </c>
      <c r="E44" s="193" t="n"/>
      <c r="F44" s="193" t="n"/>
      <c r="G44" s="193" t="n"/>
      <c r="H44" s="193" t="n"/>
      <c r="I44" s="193" t="inlineStr">
        <is>
          <t>n</t>
        </is>
      </c>
      <c r="J44" s="193" t="inlineStr">
        <is>
          <t>OPC 40450-1 Section 11.1 CU-15</t>
        </is>
      </c>
      <c r="K44" s="193" t="n"/>
    </row>
    <row r="45" s="132">
      <c r="A45" s="186" t="n"/>
      <c r="B45" s="186" t="n"/>
      <c r="C45" s="187" t="n">
        <v>1</v>
      </c>
      <c r="D45" s="186" t="inlineStr">
        <is>
          <t>Call GetResultIdListFiltered with a ContentFilter matching SequenceNumber &gt;= 100 AND SequenceNumber &lt;= 1.</t>
        </is>
      </c>
      <c r="E45" s="186" t="inlineStr">
        <is>
          <t>Server claims this Conformance Unit; no additional runtime setup is needed for this step.</t>
        </is>
      </c>
      <c r="F45" s="186" t="inlineStr">
        <is>
          <t>Method returns Bad_InvalidArgument or an empty ResultIdList. No matching results are returned.</t>
        </is>
      </c>
      <c r="G45" s="195" t="inlineStr">
        <is>
          <t>Good</t>
        </is>
      </c>
      <c r="H45" s="187" t="inlineStr">
        <is>
          <t>Bad_InvalidArgument or Good with empty ResultIdList</t>
        </is>
      </c>
      <c r="I45" s="186" t="n"/>
      <c r="J45" s="203" t="inlineStr">
        <is>
          <t>OPC 40450-1 Section 7.5</t>
        </is>
      </c>
      <c r="K45" s="186" t="inlineStr">
        <is>
          <t>Inverted SequenceNumber range expressed as ContentFilter criteria is invalid or unsatisfiable.</t>
        </is>
      </c>
    </row>
    <row r="46" ht="20" customHeight="1" s="132">
      <c r="A46" s="191" t="inlineStr">
        <is>
          <t>n</t>
        </is>
      </c>
      <c r="B46" s="191" t="n">
        <v>7</v>
      </c>
      <c r="C46" s="191" t="n">
        <v>0</v>
      </c>
      <c r="D46" s="192" t="inlineStr">
        <is>
          <t>Call GetResultIdListFiltered with invalid Classification ContentFilter operand</t>
        </is>
      </c>
      <c r="E46" s="193" t="n"/>
      <c r="F46" s="193" t="n"/>
      <c r="G46" s="193" t="n"/>
      <c r="H46" s="193" t="n"/>
      <c r="I46" s="193" t="inlineStr">
        <is>
          <t>n</t>
        </is>
      </c>
      <c r="J46" s="193" t="inlineStr">
        <is>
          <t>OPC 40450-1 Section 11.1 CU-15</t>
        </is>
      </c>
      <c r="K46" s="193" t="n"/>
    </row>
    <row r="47" s="132">
      <c r="A47" s="183" t="n"/>
      <c r="B47" s="183" t="n"/>
      <c r="C47" s="184" t="n">
        <v>1</v>
      </c>
      <c r="D47" s="183" t="inlineStr">
        <is>
          <t>Call GetResultIdListFiltered with a ContentFilter matching Classification = 255.</t>
        </is>
      </c>
      <c r="E47" s="183" t="inlineStr">
        <is>
          <t>Server claims this Conformance Unit; no additional runtime setup is needed for this step.</t>
        </is>
      </c>
      <c r="F47" s="183" t="inlineStr">
        <is>
          <t>Method returns Bad_InvalidArgument, or returns an empty ResultIdList without matching invalid classification values.</t>
        </is>
      </c>
      <c r="G47" s="194" t="inlineStr">
        <is>
          <t>Good</t>
        </is>
      </c>
      <c r="H47" s="184" t="inlineStr">
        <is>
          <t>Bad_InvalidArgument or Good with empty ResultIdList</t>
        </is>
      </c>
      <c r="I47" s="183" t="n"/>
      <c r="J47" s="202" t="inlineStr">
        <is>
          <t>OPC 40450-1 Section 7.5</t>
        </is>
      </c>
      <c r="K47" s="183" t="inlineStr">
        <is>
          <t>Classification valid range is 0-7; 255 is invalid.</t>
        </is>
      </c>
    </row>
  </sheetData>
  <mergeCells count="3">
    <mergeCell ref="C2:K2"/>
    <mergeCell ref="A1:K1"/>
    <mergeCell ref="A2:B2"/>
  </mergeCells>
  <pageMargins left="0.7" right="0.7" top="0.75" bottom="0.75" header="0.3" footer="0.3"/>
</worksheet>
</file>

<file path=xl/worksheets/sheet22.xml><?xml version="1.0" encoding="utf-8"?>
<worksheet xmlns="http://schemas.openxmlformats.org/spreadsheetml/2006/main">
  <sheetPr codeName="Sheet18">
    <tabColor rgb="FF2E75B6"/>
    <outlinePr summaryBelow="1" summaryRight="1"/>
    <pageSetUpPr/>
  </sheetPr>
  <dimension ref="A1:N3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CU-16: IJT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CU-16 — IJT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JoiningSystemResultType Variable node exists in address space</t>
        </is>
      </c>
      <c r="E4" s="58" t="n"/>
      <c r="F4" s="58" t="n"/>
      <c r="G4" s="58" t="n"/>
      <c r="H4" s="58" t="n"/>
      <c r="I4" s="58" t="inlineStr">
        <is>
          <t>n</t>
        </is>
      </c>
      <c r="J4" s="58" t="inlineStr">
        <is>
          <t>OPC 40450-1 Section 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the JoiningSystemType instance. Locate child Variables of TypeDefinition JoiningSystemResultType (5:ResultDataType Variable).</t>
        </is>
      </c>
      <c r="E5" s="61" t="inlineStr">
        <is>
          <t>JoiningSystemType instance accessible. OPC UA session established.</t>
        </is>
      </c>
      <c r="F5" s="61" t="inlineStr">
        <is>
          <t>At least one Variable of TypeDefinition JoiningSystemResultType is present as a child of the JoiningSystemType instance. NodeClass = Variable.</t>
        </is>
      </c>
      <c r="G5" s="61" t="inlineStr">
        <is>
          <t>Good</t>
        </is>
      </c>
      <c r="H5" s="61" t="inlineStr">
        <is>
          <t>Good</t>
        </is>
      </c>
      <c r="I5" s="61" t="n"/>
      <c r="J5" s="61" t="inlineStr">
        <is>
          <t>OPC 40450-1 Section 8 / OPC 40001-101 Section 5</t>
        </is>
      </c>
      <c r="K5" s="62" t="n"/>
    </row>
    <row r="6" ht="25.8" customHeight="1" s="132">
      <c r="A6" s="63" t="n"/>
      <c r="B6" s="64" t="n"/>
      <c r="C6" s="65" t="n">
        <v>2</v>
      </c>
      <c r="D6" s="65" t="inlineStr">
        <is>
          <t>Read the NodeClass attribute of the located ResultVariable.</t>
        </is>
      </c>
      <c r="E6" s="65" t="inlineStr">
        <is>
          <t>ResultVariable NodeId known from Step 1.</t>
        </is>
      </c>
      <c r="F6" s="65" t="inlineStr">
        <is>
          <t>NodeClass = Variable (value 2 per OPC 10000-3). DataType = 5:ResultDataType (ExtensionObject).</t>
        </is>
      </c>
      <c r="G6" s="65" t="inlineStr">
        <is>
          <t>Good</t>
        </is>
      </c>
      <c r="H6" s="65" t="inlineStr">
        <is>
          <t>Good</t>
        </is>
      </c>
      <c r="I6" s="65" t="n"/>
      <c r="J6" s="65" t="inlineStr">
        <is>
          <t>OPC 10000-4 Section 5.10.3 / OPC 40450-1 Section 8</t>
        </is>
      </c>
      <c r="K6" s="66" t="n"/>
    </row>
    <row r="7">
      <c r="A7" s="67" t="inlineStr">
        <is>
          <t>y</t>
        </is>
      </c>
      <c r="B7" s="67" t="n">
        <v>2</v>
      </c>
      <c r="C7" s="67" t="n">
        <v>0</v>
      </c>
      <c r="D7" s="67" t="inlineStr">
        <is>
          <t>Verify ResultVariable DataType and ValueRank attributes</t>
        </is>
      </c>
      <c r="E7" s="67" t="n"/>
      <c r="F7" s="67" t="n"/>
      <c r="G7" s="67" t="n"/>
      <c r="H7" s="67" t="n"/>
      <c r="I7" s="67" t="inlineStr">
        <is>
          <t>n</t>
        </is>
      </c>
      <c r="J7" s="67" t="inlineStr">
        <is>
          <t>OPC 40450-1 Section 8 / OPC 10000-3</t>
        </is>
      </c>
      <c r="K7" s="67" t="n"/>
    </row>
    <row r="8" ht="25.8" customHeight="1" s="132">
      <c r="A8" s="61" t="n"/>
      <c r="B8" s="61" t="n"/>
      <c r="C8" s="61" t="n">
        <v>1</v>
      </c>
      <c r="D8" s="61" t="inlineStr">
        <is>
          <t>Read the DataType attribute of the ResultVariable node.</t>
        </is>
      </c>
      <c r="E8" s="61" t="inlineStr">
        <is>
          <t>ResultVariable NodeId known.</t>
        </is>
      </c>
      <c r="F8" s="61" t="inlineStr">
        <is>
          <t>DataType NodeId resolves to 5:ResultDataType. This confirms the Variable is typed to hold OPC 40001-101 result structures.</t>
        </is>
      </c>
      <c r="G8" s="61" t="inlineStr">
        <is>
          <t>Good</t>
        </is>
      </c>
      <c r="H8" s="61" t="inlineStr">
        <is>
          <t>Good</t>
        </is>
      </c>
      <c r="I8" s="61" t="n"/>
      <c r="J8" s="61" t="inlineStr">
        <is>
          <t>OPC 40001-101 / OPC 40450-1 Section 8</t>
        </is>
      </c>
      <c r="K8" s="61" t="n"/>
    </row>
    <row r="9" ht="25.8" customHeight="1" s="132">
      <c r="A9" s="61" t="n"/>
      <c r="B9" s="61" t="n"/>
      <c r="C9" s="61" t="n">
        <v>2</v>
      </c>
      <c r="D9" s="61" t="inlineStr">
        <is>
          <t>Read the ValueRank attribute of the ResultVariable node.</t>
        </is>
      </c>
      <c r="E9" s="61" t="inlineStr">
        <is>
          <t>Same node.</t>
        </is>
      </c>
      <c r="F9" s="61" t="inlineStr">
        <is>
          <t>ValueRank = -1 (Scalar) or -2 (Any). The Variable holds a single 5:ResultDataType ExtensionObject, not an array.</t>
        </is>
      </c>
      <c r="G9" s="61" t="inlineStr">
        <is>
          <t>Good</t>
        </is>
      </c>
      <c r="H9" s="61" t="inlineStr">
        <is>
          <t>Good</t>
        </is>
      </c>
      <c r="I9" s="61" t="n"/>
      <c r="J9" s="61" t="inlineStr">
        <is>
          <t>OPC 10000-3 Section 5.6.2 / OPC 40450-1 Section 8</t>
        </is>
      </c>
      <c r="K9" s="61" t="n"/>
    </row>
    <row r="10">
      <c r="A10" s="67" t="inlineStr">
        <is>
          <t>y</t>
        </is>
      </c>
      <c r="B10" s="67" t="n">
        <v>3</v>
      </c>
      <c r="C10" s="67" t="n">
        <v>0</v>
      </c>
      <c r="D10" s="67" t="inlineStr">
        <is>
          <t>Verify ResultVariable value contains valid JoiningResultMetaDataType</t>
        </is>
      </c>
      <c r="E10" s="67" t="n"/>
      <c r="F10" s="67" t="n"/>
      <c r="G10" s="67" t="n"/>
      <c r="H10" s="67" t="n"/>
      <c r="I10" s="67" t="inlineStr">
        <is>
          <t>n</t>
        </is>
      </c>
      <c r="J10" s="67" t="inlineStr">
        <is>
          <t>OPC 40450-1 Section 8 / OPC 40001-101</t>
        </is>
      </c>
      <c r="K10" s="67" t="n"/>
    </row>
    <row r="11" ht="38.7" customHeight="1" s="132">
      <c r="A11" s="61" t="n"/>
      <c r="B11" s="61" t="n"/>
      <c r="C11" s="61" t="n">
        <v>1</v>
      </c>
      <c r="D11" s="61" t="inlineStr">
        <is>
          <t>Read the Value of the ResultVariable. Decode the 5:ResultDataType ExtensionObject and inspect ResultMetaData.</t>
        </is>
      </c>
      <c r="E11" s="61" t="inlineStr">
        <is>
          <t>At least one joining operation completed. ResultVariable updated.</t>
        </is>
      </c>
      <c r="F11" s="61" t="inlineStr">
        <is>
          <t>ResultMetaData is a JoiningResultMetaDataType structure (subtype of 5:ResultMetaDataType). ResultId is a non-empty TrimmedString. Classification is a valid Byte value (1–7).</t>
        </is>
      </c>
      <c r="G11" s="61" t="inlineStr">
        <is>
          <t>Good</t>
        </is>
      </c>
      <c r="H11" s="61" t="inlineStr">
        <is>
          <t>Good</t>
        </is>
      </c>
      <c r="I11" s="61" t="n"/>
      <c r="J11" s="61" t="inlineStr">
        <is>
          <t>OPC 40450-1 Section 10 Table 208 / OPC 40001-101</t>
        </is>
      </c>
      <c r="K11" s="61" t="n"/>
    </row>
    <row r="12">
      <c r="A12" s="67" t="inlineStr">
        <is>
          <t>y</t>
        </is>
      </c>
      <c r="B12" s="67" t="n">
        <v>4</v>
      </c>
      <c r="C12" s="67" t="n">
        <v>0</v>
      </c>
      <c r="D12" s="67" t="inlineStr">
        <is>
          <t>Verify ResultVariable value is updated after a new joining operation</t>
        </is>
      </c>
      <c r="E12" s="67" t="n"/>
      <c r="F12" s="67" t="n"/>
      <c r="G12" s="67" t="n"/>
      <c r="H12" s="67" t="n"/>
      <c r="I12" s="67" t="inlineStr">
        <is>
          <t>n</t>
        </is>
      </c>
      <c r="J12" s="67" t="inlineStr">
        <is>
          <t>OPC 40450-1 Section 8</t>
        </is>
      </c>
      <c r="K12" s="67" t="n"/>
    </row>
    <row r="13">
      <c r="A13" s="61" t="n"/>
      <c r="B13" s="61" t="n"/>
      <c r="C13" s="61" t="n">
        <v>1</v>
      </c>
      <c r="D13" s="61" t="inlineStr">
        <is>
          <t>Read ResultVariable at T1. Record ResultId from ResultMetaData.</t>
        </is>
      </c>
      <c r="E13" s="61" t="inlineStr">
        <is>
          <t>Device operational. At least one result already present.</t>
        </is>
      </c>
      <c r="F13" s="61" t="inlineStr">
        <is>
          <t>Read returns Good. ResultId recorded from T1 reading.</t>
        </is>
      </c>
      <c r="G13" s="61" t="inlineStr">
        <is>
          <t>Good</t>
        </is>
      </c>
      <c r="H13" s="61" t="inlineStr">
        <is>
          <t>Good</t>
        </is>
      </c>
      <c r="I13" s="61" t="n"/>
      <c r="J13" s="61" t="inlineStr">
        <is>
          <t>OPC 40450-1 Section 8</t>
        </is>
      </c>
      <c r="K13" s="61" t="n"/>
    </row>
    <row r="14" ht="25.8" customHeight="1" s="132">
      <c r="A14" s="61" t="n"/>
      <c r="B14" s="61" t="n"/>
      <c r="C14" s="61" t="n">
        <v>2</v>
      </c>
      <c r="D14" s="61" t="inlineStr">
        <is>
          <t>Trigger a new joining operation on the device. Wait for completion.</t>
        </is>
      </c>
      <c r="E14" s="61" t="inlineStr">
        <is>
          <t>Device ready. Joining program configured and active.</t>
        </is>
      </c>
      <c r="F14" s="61" t="inlineStr">
        <is>
          <t>Joining operation completes successfully.</t>
        </is>
      </c>
      <c r="G14" s="61" t="inlineStr">
        <is>
          <t>Good</t>
        </is>
      </c>
      <c r="H14" s="61" t="inlineStr">
        <is>
          <t>Good</t>
        </is>
      </c>
      <c r="I14" s="61" t="n"/>
      <c r="J14" s="61" t="inlineStr">
        <is>
          <t>OPC 40450-1 Section 8 (device trigger — CTT=n)</t>
        </is>
      </c>
      <c r="K14" s="61" t="n"/>
    </row>
    <row r="15" ht="38.7" customHeight="1" s="132">
      <c r="A15" s="61" t="n"/>
      <c r="B15" s="61" t="n"/>
      <c r="C15" s="61" t="n">
        <v>3</v>
      </c>
      <c r="D15" s="61" t="inlineStr">
        <is>
          <t>Read ResultVariable at T2. Compare ResultId with T1.</t>
        </is>
      </c>
      <c r="E15" s="61" t="inlineStr">
        <is>
          <t>New joining operation completed in Step 2.</t>
        </is>
      </c>
      <c r="F15" s="61" t="inlineStr">
        <is>
          <t>ResultId at T2 differs from T1. The server has updated the ResultVariable with the latest result. SequenceNumber at T2 &gt; SequenceNumber at T1.</t>
        </is>
      </c>
      <c r="G15" s="61" t="inlineStr">
        <is>
          <t>Good</t>
        </is>
      </c>
      <c r="H15" s="61" t="inlineStr">
        <is>
          <t>Good</t>
        </is>
      </c>
      <c r="I15" s="61" t="n"/>
      <c r="J15" s="61" t="inlineStr">
        <is>
          <t>OPC 40450-1 Section 8 / OPC 40001-101</t>
        </is>
      </c>
      <c r="K15" s="61" t="n"/>
    </row>
    <row r="16" ht="25.8" customHeight="1" s="132">
      <c r="A16" s="67" t="inlineStr">
        <is>
          <t>n</t>
        </is>
      </c>
      <c r="B16" s="67" t="n">
        <v>5</v>
      </c>
      <c r="C16" s="67" t="n">
        <v>0</v>
      </c>
      <c r="D16" s="67" t="inlineStr">
        <is>
          <t>Verify ResultVariable exposes same result as most recent event notification</t>
        </is>
      </c>
      <c r="E16" s="67" t="n"/>
      <c r="F16" s="67" t="n"/>
      <c r="G16" s="67" t="n"/>
      <c r="H16" s="67" t="n"/>
      <c r="I16" s="67" t="inlineStr">
        <is>
          <t>n</t>
        </is>
      </c>
      <c r="J16" s="67" t="inlineStr">
        <is>
          <t>OPC 40450-1 Section 8 / OPC 40001-101</t>
        </is>
      </c>
      <c r="K16" s="67" t="n"/>
    </row>
    <row r="17" ht="38.7" customHeight="1" s="132">
      <c r="A17" s="61" t="n"/>
      <c r="B17" s="61" t="n"/>
      <c r="C17" s="61" t="n">
        <v>1</v>
      </c>
      <c r="D17" s="61" t="inlineStr">
        <is>
          <t>Create a Subscription with a MonitoredItem on JoiningSystemResultReadyEventType. Trigger a joining operation and capture the event notification Result.ResultMetaData.ResultId.</t>
        </is>
      </c>
      <c r="E17" s="61" t="inlineStr">
        <is>
          <t>Subscription and MonitoredItem created. Device operational.</t>
        </is>
      </c>
      <c r="F17" s="61" t="inlineStr">
        <is>
          <t>Event notification received with ResultId of the new result.</t>
        </is>
      </c>
      <c r="G17" s="61" t="inlineStr">
        <is>
          <t>Good</t>
        </is>
      </c>
      <c r="H17" s="61" t="inlineStr">
        <is>
          <t>Good</t>
        </is>
      </c>
      <c r="I17" s="61" t="n"/>
      <c r="J17" s="61" t="inlineStr">
        <is>
          <t>OPC 40450-1 Section 8 / OPC 10000-4 Section 5.12</t>
        </is>
      </c>
      <c r="K17" s="61" t="n"/>
    </row>
    <row r="18" ht="38.7" customHeight="1" s="132">
      <c r="A18" s="61" t="n"/>
      <c r="B18" s="61" t="n"/>
      <c r="C18" s="61" t="n">
        <v>2</v>
      </c>
      <c r="D18" s="61" t="inlineStr">
        <is>
          <t>Read ResultVariable value. Extract ResultId from ResultMetaData.</t>
        </is>
      </c>
      <c r="E18" s="61" t="inlineStr">
        <is>
          <t>Joining operation completed. Event captured in Step 1.</t>
        </is>
      </c>
      <c r="F18" s="61" t="inlineStr">
        <is>
          <t>ResultId from ResultVariable matches ResultId from event notification. Both reflect the same most recent result. Consistency confirmed.</t>
        </is>
      </c>
      <c r="G18" s="61" t="inlineStr">
        <is>
          <t>Good</t>
        </is>
      </c>
      <c r="H18" s="61" t="inlineStr">
        <is>
          <t>Good</t>
        </is>
      </c>
      <c r="I18" s="61" t="n"/>
      <c r="J18" s="61" t="inlineStr">
        <is>
          <t>OPC 40450-1 Section 8</t>
        </is>
      </c>
      <c r="K18" s="61" t="n"/>
    </row>
    <row r="19">
      <c r="A19" s="67" t="inlineStr">
        <is>
          <t>y</t>
        </is>
      </c>
      <c r="B19" s="67" t="n">
        <v>6</v>
      </c>
      <c r="C19" s="67" t="n">
        <v>0</v>
      </c>
      <c r="D19" s="67" t="inlineStr">
        <is>
          <t>Verify ResultVariable includes non-null ResultContent</t>
        </is>
      </c>
      <c r="E19" s="67" t="n"/>
      <c r="F19" s="67" t="n"/>
      <c r="G19" s="67" t="n"/>
      <c r="H19" s="67" t="n"/>
      <c r="I19" s="67" t="inlineStr">
        <is>
          <t>n</t>
        </is>
      </c>
      <c r="J19" s="67" t="inlineStr">
        <is>
          <t>OPC 40450-1 Section 8 / OPC 40001-101</t>
        </is>
      </c>
      <c r="K19" s="67" t="n"/>
    </row>
    <row r="20" ht="38.7" customHeight="1" s="132">
      <c r="A20" s="61" t="n"/>
      <c r="B20" s="61" t="n"/>
      <c r="C20" s="61" t="n">
        <v>1</v>
      </c>
      <c r="D20" s="61" t="inlineStr">
        <is>
          <t>Read ResultVariable. Decode 5:ResultDataType and access ResultContent field.</t>
        </is>
      </c>
      <c r="E20" s="61" t="inlineStr">
        <is>
          <t>At least one SINGLE_RESULT available.</t>
        </is>
      </c>
      <c r="F20" s="61" t="inlineStr">
        <is>
          <t>ResultContent is not null and not an empty ExtensionObject. For Classification=SINGLE_RESULT, ResultContent decodes as JoiningResultDataType with non-null OverallResultValues[].</t>
        </is>
      </c>
      <c r="G20" s="61" t="inlineStr">
        <is>
          <t>Good</t>
        </is>
      </c>
      <c r="H20" s="61" t="inlineStr">
        <is>
          <t>Good</t>
        </is>
      </c>
      <c r="I20" s="61" t="n"/>
      <c r="J20" s="61" t="inlineStr">
        <is>
          <t>OPC 40450-1 Section 10 Table 210</t>
        </is>
      </c>
      <c r="K20" s="61" t="n"/>
    </row>
    <row r="21" ht="25.8" customHeight="1" s="132">
      <c r="A21" s="67" t="inlineStr">
        <is>
          <t>y</t>
        </is>
      </c>
      <c r="B21" s="67" t="n">
        <v>7</v>
      </c>
      <c r="C21" s="67" t="n">
        <v>0</v>
      </c>
      <c r="D21" s="67" t="inlineStr">
        <is>
          <t>Inspect ResultVariable access attributes and effective write capability</t>
        </is>
      </c>
      <c r="E21" s="67" t="n"/>
      <c r="F21" s="67" t="n"/>
      <c r="G21" s="67" t="n"/>
      <c r="H21" s="67" t="n"/>
      <c r="I21" s="67" t="inlineStr">
        <is>
          <t>n</t>
        </is>
      </c>
      <c r="J21" s="67" t="inlineStr">
        <is>
          <t>OPC 10000-4 Section 5.10.3 / OPC 40450-1 Section 8</t>
        </is>
      </c>
      <c r="K21" s="67" t="n"/>
    </row>
    <row r="22" ht="38.7" customHeight="1" s="132">
      <c r="A22" s="61" t="n"/>
      <c r="B22" s="61" t="n"/>
      <c r="C22" s="61" t="n">
        <v>1</v>
      </c>
      <c r="D22" s="61" t="inlineStr">
        <is>
          <t>Read the AccessLevel and UserAccessLevel attributes of the ResultVariable node.</t>
        </is>
      </c>
      <c r="E22" s="61" t="inlineStr">
        <is>
          <t>ResultVariable NodeId known. OPC UA session established.</t>
        </is>
      </c>
      <c r="F22" s="61" t="inlineStr">
        <is>
          <t>CurrentRead is available. Record AccessLevel, UserAccessLevel, and AccessLevelEx when available. If no effective write is declared, write-rejection tests may be executed. If effective write is exposed, do not fail the CU solely for writable access unless an explicit source rule forbids it.</t>
        </is>
      </c>
      <c r="G22" s="61" t="inlineStr">
        <is>
          <t>Good</t>
        </is>
      </c>
      <c r="H22" s="61" t="inlineStr">
        <is>
          <t>Good</t>
        </is>
      </c>
      <c r="I22" s="61" t="n"/>
      <c r="J22" s="61" t="inlineStr">
        <is>
          <t>OPC 10000-3 Section 5.6.2</t>
        </is>
      </c>
      <c r="K22" s="61" t="n"/>
    </row>
    <row r="23" ht="38.7" customHeight="1" s="132">
      <c r="A23" s="68" t="inlineStr">
        <is>
          <t>Error Test Cases</t>
        </is>
      </c>
      <c r="B23" s="68" t="n"/>
      <c r="C23" s="68" t="n"/>
      <c r="D23" s="68" t="n"/>
      <c r="E23" s="68" t="n"/>
      <c r="F23" s="68" t="n"/>
      <c r="G23" s="68" t="n"/>
      <c r="H23" s="68" t="n"/>
      <c r="I23" s="68" t="n"/>
      <c r="J23" s="68" t="n"/>
      <c r="K23" s="68" t="n"/>
    </row>
    <row r="24" ht="25.8" customHeight="1" s="132">
      <c r="A24" s="69" t="inlineStr">
        <is>
          <t>n</t>
        </is>
      </c>
      <c r="B24" s="69" t="n">
        <v>1</v>
      </c>
      <c r="C24" s="69" t="n">
        <v>0</v>
      </c>
      <c r="D24" s="69" t="inlineStr">
        <is>
          <t>Verify Write to ResultVariable returns Bad_NotWritable</t>
        </is>
      </c>
      <c r="E24" s="69" t="n"/>
      <c r="F24" s="69" t="n"/>
      <c r="G24" s="69" t="n"/>
      <c r="H24" s="69" t="n"/>
      <c r="I24" s="69" t="inlineStr">
        <is>
          <t>n</t>
        </is>
      </c>
      <c r="J24" s="69" t="inlineStr">
        <is>
          <t>OPC 10000-4 Section 5.10.4 / OPC 40450-1 Section 8</t>
        </is>
      </c>
      <c r="K24" s="69" t="n"/>
    </row>
    <row r="25" ht="38.7" customHeight="1" s="132">
      <c r="A25" s="61" t="n"/>
      <c r="B25" s="61" t="n"/>
      <c r="C25" s="61" t="n">
        <v>1</v>
      </c>
      <c r="D25" s="61" t="inlineStr">
        <is>
          <t>Attempt to Write a null ExtensionObject value to the ResultVariable.</t>
        </is>
      </c>
      <c r="E25" s="61" t="inlineStr">
        <is>
          <t>ResultVariable NodeId known. OPC UA session with write credentials.</t>
        </is>
      </c>
      <c r="F25" s="61" t="inlineStr">
        <is>
          <t>Write Service returns Good at service level. OperationResults contains Bad_NotWritable. ResultVariable value is unchanged after the attempt.</t>
        </is>
      </c>
      <c r="G25" s="61" t="inlineStr">
        <is>
          <t>Good</t>
        </is>
      </c>
      <c r="H25" s="61" t="inlineStr">
        <is>
          <t>Bad_NotWritable</t>
        </is>
      </c>
      <c r="I25" s="61" t="n"/>
      <c r="J25" s="61" t="inlineStr">
        <is>
          <t>OPC 10000-4 Section 5.10.4</t>
        </is>
      </c>
      <c r="K25" s="61" t="n"/>
    </row>
    <row r="26" ht="25.8" customHeight="1" s="132">
      <c r="A26" s="69" t="inlineStr">
        <is>
          <t>n</t>
        </is>
      </c>
      <c r="B26" s="69" t="n">
        <v>2</v>
      </c>
      <c r="C26" s="69" t="n">
        <v>0</v>
      </c>
      <c r="D26" s="69" t="inlineStr">
        <is>
          <t>Verify server returns Bad_NodeIdUnknown for ResultVariable read with invalid NodeId</t>
        </is>
      </c>
      <c r="E26" s="69" t="n"/>
      <c r="F26" s="69" t="n"/>
      <c r="G26" s="69" t="n"/>
      <c r="H26" s="69" t="n"/>
      <c r="I26" s="69" t="inlineStr">
        <is>
          <t>n</t>
        </is>
      </c>
      <c r="J26" s="69" t="inlineStr">
        <is>
          <t>OPC 10000-4 Section 5.10.2</t>
        </is>
      </c>
      <c r="K26" s="69" t="n"/>
    </row>
    <row r="27" ht="38.7" customHeight="1" s="132">
      <c r="A27" s="61" t="n"/>
      <c r="B27" s="61" t="n"/>
      <c r="C27" s="61" t="n">
        <v>1</v>
      </c>
      <c r="D27" s="61" t="inlineStr">
        <is>
          <t>Attempt to Read a Variable using a fabricated NodeId (e.g. ns=1;i=999999) not present in the address space.</t>
        </is>
      </c>
      <c r="E27" s="61" t="inlineStr">
        <is>
          <t>OPC UA session established.</t>
        </is>
      </c>
      <c r="F27" s="61" t="inlineStr">
        <is>
          <t>Read Service returns Good at service level. DataValue StatusCode = Bad_NodeIdUnknown. No value is returned for the invalid NodeId.</t>
        </is>
      </c>
      <c r="G27" s="61" t="inlineStr">
        <is>
          <t>Good</t>
        </is>
      </c>
      <c r="H27" s="61" t="inlineStr">
        <is>
          <t>Bad_NodeIdUnknown</t>
        </is>
      </c>
      <c r="I27" s="61" t="n"/>
      <c r="J27" s="61" t="inlineStr">
        <is>
          <t>OPC 10000-4 Section 5.10.2</t>
        </is>
      </c>
      <c r="K27" s="61" t="n"/>
    </row>
    <row r="28">
      <c r="A28" s="110" t="inlineStr">
        <is>
          <t>n</t>
        </is>
      </c>
      <c r="B28" s="110" t="n">
        <v>3</v>
      </c>
      <c r="C28" s="110" t="n">
        <v>0</v>
      </c>
      <c r="D28" s="110" t="inlineStr">
        <is>
          <t>Verify ResultVariable write rejection when effective access is non-writable</t>
        </is>
      </c>
      <c r="E28" s="110" t="n"/>
      <c r="F28" s="110" t="n"/>
      <c r="G28" s="110" t="n"/>
      <c r="H28" s="110" t="n"/>
      <c r="I28" s="110" t="inlineStr">
        <is>
          <t>n</t>
        </is>
      </c>
      <c r="J28" s="110" t="inlineStr">
        <is>
          <t>OPC 40450-1 Section 11.1 CU-16</t>
        </is>
      </c>
      <c r="K28" s="110" t="n"/>
    </row>
    <row r="29" ht="25.8" customHeight="1" s="132">
      <c r="A29" s="111" t="n"/>
      <c r="B29" s="111" t="n"/>
      <c r="C29" s="111" t="n">
        <v>1</v>
      </c>
      <c r="D29" s="111" t="inlineStr">
        <is>
          <t>Read UserAccessLevel and AccessLevelEx when available. Determine whether effective write access is declared before attempting Write.</t>
        </is>
      </c>
      <c r="E29" s="111" t="inlineStr">
        <is>
          <t>Server claims this Conformance Unit; no additional runtime setup is needed for this step.</t>
        </is>
      </c>
      <c r="F29" s="111" t="inlineStr">
        <is>
          <t>Read UserAccessLevel and AccessLevelEx when available. If no effective write is declared, a write attempt returns Bad_NotWritable or Bad_UserAccessDenied and the value remains unchanged. If effective write is exposed, record the access policy and do not fail solely for writable access.</t>
        </is>
      </c>
      <c r="G29" s="111" t="inlineStr">
        <is>
          <t>Good</t>
        </is>
      </c>
      <c r="H29" s="111" t="n"/>
      <c r="I29" s="111" t="n"/>
      <c r="J29" s="111" t="inlineStr">
        <is>
          <t>OPC 40450-1 Section 11.1 CU-16</t>
        </is>
      </c>
      <c r="K29" s="111" t="inlineStr">
        <is>
          <t>Requirement source: OPC 40450-1 Section 7.5 - ResultVariable is server-managed in normal IJT client workflows; access-bit policy must still be evaluated from the server attributes.</t>
        </is>
      </c>
    </row>
    <row r="30">
      <c r="A30" s="110" t="inlineStr">
        <is>
          <t>n</t>
        </is>
      </c>
      <c r="B30" s="110" t="n">
        <v>4</v>
      </c>
      <c r="C30" s="110" t="n">
        <v>0</v>
      </c>
      <c r="D30" s="110" t="inlineStr">
        <is>
          <t>Verify ResultVariable DataType is 5:ResultDataType</t>
        </is>
      </c>
      <c r="E30" s="110" t="n"/>
      <c r="F30" s="110" t="n"/>
      <c r="G30" s="110" t="n"/>
      <c r="H30" s="110" t="n"/>
      <c r="I30" s="110" t="inlineStr">
        <is>
          <t>n</t>
        </is>
      </c>
      <c r="J30" s="110" t="inlineStr">
        <is>
          <t>OPC 40450-1 Section 11.1 CU-16</t>
        </is>
      </c>
      <c r="K30" s="110" t="n"/>
    </row>
    <row r="31" ht="25.8" customHeight="1" s="132">
      <c r="A31" s="111" t="n"/>
      <c r="B31" s="111" t="n"/>
      <c r="C31" s="111" t="n">
        <v>1</v>
      </c>
      <c r="D31" s="111" t="inlineStr">
        <is>
          <t>Read DataType attribute of ResultVariable node.</t>
        </is>
      </c>
      <c r="E31" s="111" t="inlineStr">
        <is>
          <t>Server claims this Conformance Unit; no additional runtime setup is needed for this step.</t>
        </is>
      </c>
      <c r="F31" s="111" t="inlineStr">
        <is>
          <t>DataType matches ResultDataType NodeId in IJT namespace.</t>
        </is>
      </c>
      <c r="G31" s="111" t="inlineStr">
        <is>
          <t>Good</t>
        </is>
      </c>
      <c r="H31" s="111" t="n"/>
      <c r="I31" s="111" t="n"/>
      <c r="J31" s="111" t="inlineStr">
        <is>
          <t>OPC 40450-1 Section 11.1 CU-16</t>
        </is>
      </c>
      <c r="K31" s="111" t="inlineStr">
        <is>
          <t>Requirement source: OPC 40450-1 Section 7.5 - ResultVariable is of 5:ResultDataType.</t>
        </is>
      </c>
    </row>
    <row r="32">
      <c r="A32" s="110" t="inlineStr">
        <is>
          <t>n</t>
        </is>
      </c>
      <c r="B32" s="110" t="n">
        <v>5</v>
      </c>
      <c r="C32" s="110" t="n">
        <v>0</v>
      </c>
      <c r="D32" s="110" t="inlineStr">
        <is>
          <t>Verify ResultVariable updates when new result is generated</t>
        </is>
      </c>
      <c r="E32" s="110" t="n"/>
      <c r="F32" s="110" t="n"/>
      <c r="G32" s="110" t="n"/>
      <c r="H32" s="110" t="n"/>
      <c r="I32" s="110" t="inlineStr">
        <is>
          <t>n</t>
        </is>
      </c>
      <c r="J32" s="110" t="inlineStr">
        <is>
          <t>OPC 40450-1 Section 11.1 CU-16</t>
        </is>
      </c>
      <c r="K32" s="110" t="n"/>
    </row>
    <row r="33" ht="25.8" customHeight="1" s="132">
      <c r="A33" s="111" t="n"/>
      <c r="B33" s="111" t="n"/>
      <c r="C33" s="111" t="n">
        <v>1</v>
      </c>
      <c r="D33" s="111" t="inlineStr">
        <is>
          <t>Subscribe monitoring ResultVariable for value changes. Trigger joining operation.</t>
        </is>
      </c>
      <c r="E33" s="111" t="inlineStr">
        <is>
          <t>Server claims this Conformance Unit; no additional runtime setup is needed for this step.</t>
        </is>
      </c>
      <c r="F33" s="111" t="inlineStr">
        <is>
          <t>DataChangeNotification received. New Value matches latest result.</t>
        </is>
      </c>
      <c r="G33" s="111" t="inlineStr">
        <is>
          <t>Good</t>
        </is>
      </c>
      <c r="H33" s="111" t="n"/>
      <c r="I33" s="111" t="n"/>
      <c r="J33" s="111" t="inlineStr">
        <is>
          <t>OPC 40450-1 Section 11.1 CU-16</t>
        </is>
      </c>
      <c r="K33" s="111" t="inlineStr">
        <is>
          <t>Requirement source: OPC 40450-1 Section 7.5 - ResultVariable must update with new result.</t>
        </is>
      </c>
    </row>
  </sheetData>
  <mergeCells count="2">
    <mergeCell ref="A1:K1"/>
    <mergeCell ref="C2:J2"/>
  </mergeCells>
  <pageMargins left="0.7" right="0.7" top="0.75" bottom="0.75" header="0.3" footer="0.3"/>
</worksheet>
</file>

<file path=xl/worksheets/sheet23.xml><?xml version="1.0" encoding="utf-8"?>
<worksheet xmlns="http://schemas.openxmlformats.org/spreadsheetml/2006/main">
  <sheetPr codeName="Sheet19">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CU-17: IJT Result Internal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CU-17 — IJT Result Internal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exists and is non-empty in a result</t>
        </is>
      </c>
      <c r="E4" s="58" t="n"/>
      <c r="F4" s="58" t="n"/>
      <c r="G4" s="58" t="n"/>
      <c r="H4" s="58" t="n"/>
      <c r="I4" s="58" t="inlineStr">
        <is>
          <t>n</t>
        </is>
      </c>
      <c r="J4" s="58" t="inlineStr">
        <is>
          <t>OPC 40450-1 Section 10 Table 208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Observe a ResultDataType via ResultManagement/Results/Result or JoiningSystemResultReadyEventType. Inspect ResultMetaData.AssociatedEntities[].</t>
        </is>
      </c>
      <c r="E5" s="61" t="inlineStr">
        <is>
          <t>At least one completed joining result available.</t>
        </is>
      </c>
      <c r="F5" s="61" t="inlineStr">
        <is>
          <t>AssociatedEntities is an array of EntityDataType. Array contains at least one entry. Each entry has a non-empty EntityId (TrimmedString).</t>
        </is>
      </c>
      <c r="G5" s="61" t="inlineStr">
        <is>
          <t>Good</t>
        </is>
      </c>
      <c r="H5" s="61" t="inlineStr">
        <is>
          <t>Good</t>
        </is>
      </c>
      <c r="I5" s="61" t="n"/>
      <c r="J5" s="61" t="inlineStr">
        <is>
          <t>OPC 40450-1 Section 10 Table 226</t>
        </is>
      </c>
      <c r="K5" s="62" t="n"/>
    </row>
    <row r="6">
      <c r="A6" s="70" t="inlineStr">
        <is>
          <t>y</t>
        </is>
      </c>
      <c r="B6" s="71" t="n">
        <v>2</v>
      </c>
      <c r="C6" s="72" t="n">
        <v>0</v>
      </c>
      <c r="D6" s="72" t="inlineStr">
        <is>
          <t>Verify at least one entity with EntityType = CONTROLLER (3) is present</t>
        </is>
      </c>
      <c r="E6" s="72" t="n"/>
      <c r="F6" s="72" t="n"/>
      <c r="G6" s="72" t="n"/>
      <c r="H6" s="72" t="n"/>
      <c r="I6" s="72" t="inlineStr">
        <is>
          <t>n</t>
        </is>
      </c>
      <c r="J6" s="72" t="inlineStr">
        <is>
          <t>OPC 40450-1 Section 10 Table 226</t>
        </is>
      </c>
      <c r="K6" s="73" t="n"/>
    </row>
    <row r="7" ht="51.6" customHeight="1" s="132">
      <c r="A7" s="61" t="n"/>
      <c r="B7" s="61" t="n"/>
      <c r="C7" s="61" t="n">
        <v>1</v>
      </c>
      <c r="D7" s="61" t="inlineStr">
        <is>
          <t>Inspect AssociatedEntities[] from a result. Filter entries where EntityType = 3 (CONTROLLER).</t>
        </is>
      </c>
      <c r="E7" s="61" t="inlineStr">
        <is>
          <t>AssociatedEntities[] from a completed result available.</t>
        </is>
      </c>
      <c r="F7" s="61" t="inlineStr">
        <is>
          <t>At least one EntityDataType entry has EntityType = 3 (CONTROLLER). This identifies the controller on which the OPC UA Server is running. EntityId is a non-empty, non-whitespace TrimmedString.</t>
        </is>
      </c>
      <c r="G7" s="61" t="inlineStr">
        <is>
          <t>Good</t>
        </is>
      </c>
      <c r="H7" s="61" t="inlineStr">
        <is>
          <t>Good</t>
        </is>
      </c>
      <c r="I7" s="61" t="n"/>
      <c r="J7" s="61" t="inlineStr">
        <is>
          <t>OPC 40450-1 Section 11 (CU-17) / Table 226</t>
        </is>
      </c>
      <c r="K7" s="61" t="n"/>
    </row>
    <row r="8">
      <c r="A8" s="67" t="inlineStr">
        <is>
          <t>y</t>
        </is>
      </c>
      <c r="B8" s="67" t="n">
        <v>3</v>
      </c>
      <c r="C8" s="67" t="n">
        <v>0</v>
      </c>
      <c r="D8" s="67" t="inlineStr">
        <is>
          <t>Verify at least one entity with EntityType = TOOL (4) is present</t>
        </is>
      </c>
      <c r="E8" s="67" t="n"/>
      <c r="F8" s="67" t="n"/>
      <c r="G8" s="67" t="n"/>
      <c r="H8" s="67" t="n"/>
      <c r="I8" s="67" t="inlineStr">
        <is>
          <t>n</t>
        </is>
      </c>
      <c r="J8" s="67" t="inlineStr">
        <is>
          <t>OPC 40450-1 Section 10 Table 226</t>
        </is>
      </c>
      <c r="K8" s="67" t="n"/>
    </row>
    <row r="9" ht="38.7" customHeight="1" s="132">
      <c r="A9" s="61" t="n"/>
      <c r="B9" s="61" t="n"/>
      <c r="C9" s="61" t="n">
        <v>1</v>
      </c>
      <c r="D9" s="61" t="inlineStr">
        <is>
          <t>Inspect AssociatedEntities[] from a result. Filter entries where EntityType = 4 (TOOL).</t>
        </is>
      </c>
      <c r="E9" s="61" t="inlineStr">
        <is>
          <t>AssociatedEntities[] from a completed result available.</t>
        </is>
      </c>
      <c r="F9" s="61" t="inlineStr">
        <is>
          <t>At least one EntityDataType entry has EntityType = 4 (TOOL). This identifies the tool that performed the joining operation. EntityId is non-empty.</t>
        </is>
      </c>
      <c r="G9" s="61" t="inlineStr">
        <is>
          <t>Good</t>
        </is>
      </c>
      <c r="H9" s="61" t="inlineStr">
        <is>
          <t>Good</t>
        </is>
      </c>
      <c r="I9" s="61" t="n"/>
      <c r="J9" s="61" t="inlineStr">
        <is>
          <t>OPC 40450-1 Section 11 (CU-17) / Table 226</t>
        </is>
      </c>
      <c r="K9" s="61" t="n"/>
    </row>
    <row r="10">
      <c r="A10" s="67" t="inlineStr">
        <is>
          <t>y</t>
        </is>
      </c>
      <c r="B10" s="67" t="n">
        <v>4</v>
      </c>
      <c r="C10" s="67" t="n">
        <v>0</v>
      </c>
      <c r="D10" s="67" t="inlineStr">
        <is>
          <t>Verify CONTROLLER entity EntityId is consistent across multiple results</t>
        </is>
      </c>
      <c r="E10" s="67" t="n"/>
      <c r="F10" s="67" t="n"/>
      <c r="G10" s="67" t="n"/>
      <c r="H10" s="67" t="n"/>
      <c r="I10" s="67" t="inlineStr">
        <is>
          <t>n</t>
        </is>
      </c>
      <c r="J10" s="67" t="inlineStr">
        <is>
          <t>OPC 40450-1 Section 10 Table 226</t>
        </is>
      </c>
      <c r="K10" s="67" t="n"/>
    </row>
    <row r="11" ht="38.7" customHeight="1" s="132">
      <c r="A11" s="61" t="n"/>
      <c r="B11" s="61" t="n"/>
      <c r="C11" s="61" t="n">
        <v>1</v>
      </c>
      <c r="D11" s="61" t="inlineStr">
        <is>
          <t>Collect 5 ResultDataType values from result variables or result-ready events. Inspect AssociatedEntities[EntityType=3].EntityId for each.</t>
        </is>
      </c>
      <c r="E11" s="61" t="inlineStr">
        <is>
          <t>At least 5 completed results from the same device session available.</t>
        </is>
      </c>
      <c r="F11" s="61" t="inlineStr">
        <is>
          <t>EntityId of the CONTROLLER entity is the same value across all 5 results. The controller identity does not change between operations on the same device.</t>
        </is>
      </c>
      <c r="G11" s="61" t="inlineStr">
        <is>
          <t>Good</t>
        </is>
      </c>
      <c r="H11" s="61" t="inlineStr">
        <is>
          <t>Good</t>
        </is>
      </c>
      <c r="I11" s="61" t="n"/>
      <c r="J11" s="61" t="inlineStr">
        <is>
          <t>OPC 40450-1 Section 11 (CU-17)</t>
        </is>
      </c>
      <c r="K11" s="61" t="n"/>
    </row>
    <row r="12">
      <c r="A12" s="67" t="inlineStr">
        <is>
          <t>y</t>
        </is>
      </c>
      <c r="B12" s="67" t="n">
        <v>5</v>
      </c>
      <c r="C12" s="67" t="n">
        <v>0</v>
      </c>
      <c r="D12" s="67" t="inlineStr">
        <is>
          <t>Verify JoiningProcess identifier is included in AssociatedEntities[]</t>
        </is>
      </c>
      <c r="E12" s="67" t="n"/>
      <c r="F12" s="67" t="n"/>
      <c r="G12" s="67" t="n"/>
      <c r="H12" s="67" t="n"/>
      <c r="I12" s="67" t="inlineStr">
        <is>
          <t>n</t>
        </is>
      </c>
      <c r="J12" s="67" t="inlineStr">
        <is>
          <t>OPC 40450-1 Section 10 Table 226</t>
        </is>
      </c>
      <c r="K12" s="67" t="n"/>
    </row>
    <row r="13" ht="38.7" customHeight="1" s="132">
      <c r="A13" s="61" t="n"/>
      <c r="B13" s="61" t="n"/>
      <c r="C13" s="61" t="n">
        <v>1</v>
      </c>
      <c r="D13" s="61" t="inlineStr">
        <is>
          <t>Inspect AssociatedEntities[] from a result. Filter entries where EntityType = 26 (JOINING_PROCESS), 27 (PROGRAM), 28 (JOB) or 29 (BATCH).</t>
        </is>
      </c>
      <c r="E13" s="61" t="inlineStr">
        <is>
          <t>AssociatedEntities[] from a completed result available.</t>
        </is>
      </c>
      <c r="F13" s="61" t="inlineStr">
        <is>
          <t>At least one EntityDataType entry has EntityType in {26, 27, 28, 29}. This provides the Joining Process identifier linked to the result per the CU-17 requirement. EntityId is non-empty.</t>
        </is>
      </c>
      <c r="G13" s="61" t="inlineStr">
        <is>
          <t>Good</t>
        </is>
      </c>
      <c r="H13" s="61" t="inlineStr">
        <is>
          <t>Good</t>
        </is>
      </c>
      <c r="I13" s="61" t="n"/>
      <c r="J13" s="61" t="inlineStr">
        <is>
          <t>OPC 40450-1 Section 11 (CU-17) / Table 226</t>
        </is>
      </c>
      <c r="K13" s="61" t="inlineStr">
        <is>
          <t>EntityType 26=JOINING_PROCESS, 27=PROGRAM, 28=JOB, 29=BATCH</t>
        </is>
      </c>
    </row>
    <row r="14">
      <c r="A14" s="67" t="inlineStr">
        <is>
          <t>y</t>
        </is>
      </c>
      <c r="B14" s="67" t="n">
        <v>6</v>
      </c>
      <c r="C14" s="67" t="n">
        <v>0</v>
      </c>
      <c r="D14" s="67" t="inlineStr">
        <is>
          <t>Verify optional SERVO/MEMORY_DEVICE entities when exposed by server</t>
        </is>
      </c>
      <c r="E14" s="67" t="n"/>
      <c r="F14" s="67" t="n"/>
      <c r="G14" s="67" t="n"/>
      <c r="H14" s="67" t="n"/>
      <c r="I14" s="67" t="inlineStr">
        <is>
          <t>n</t>
        </is>
      </c>
      <c r="J14" s="67" t="inlineStr">
        <is>
          <t>OPC 40450-1 Section 11 Table 226</t>
        </is>
      </c>
      <c r="K14" s="67" t="n"/>
    </row>
    <row r="15" ht="51.6" customHeight="1" s="132">
      <c r="A15" s="61" t="n"/>
      <c r="B15" s="61" t="n"/>
      <c r="C15" s="61" t="n">
        <v>1</v>
      </c>
      <c r="D15" s="61" t="inlineStr">
        <is>
          <t>If the server exposes Servo assets (CU for Asset Management Servo claimed), inspect AssociatedEntities[] for EntityType = 5 (SERVO).</t>
        </is>
      </c>
      <c r="E15" s="61" t="inlineStr">
        <is>
          <t>Server claims CU for Asset Management Servo. Results from servo-driven joining operation available.</t>
        </is>
      </c>
      <c r="F15" s="61" t="inlineStr">
        <is>
          <t>At least one entry with EntityType = 5 (SERVO) is present in AssociatedEntities[]. EntityId is a non-empty TrimmedString.</t>
        </is>
      </c>
      <c r="G15" s="61" t="inlineStr">
        <is>
          <t>Good</t>
        </is>
      </c>
      <c r="H15" s="61" t="inlineStr">
        <is>
          <t>Good</t>
        </is>
      </c>
      <c r="I15" s="61" t="n"/>
      <c r="J15" s="61" t="inlineStr">
        <is>
          <t>OPC 40450-1 Section 11 (CU-17)</t>
        </is>
      </c>
      <c r="K15" s="61" t="n"/>
    </row>
    <row r="16">
      <c r="A16" s="67" t="inlineStr">
        <is>
          <t>y</t>
        </is>
      </c>
      <c r="B16" s="67" t="n">
        <v>7</v>
      </c>
      <c r="C16" s="67" t="n">
        <v>0</v>
      </c>
      <c r="D16" s="67" t="inlineStr">
        <is>
          <t>Verify EntityDataType.IsExternal = False for internal asset identifiers</t>
        </is>
      </c>
      <c r="E16" s="67" t="n"/>
      <c r="F16" s="67" t="n"/>
      <c r="G16" s="67" t="n"/>
      <c r="H16" s="67" t="n"/>
      <c r="I16" s="67" t="inlineStr">
        <is>
          <t>n</t>
        </is>
      </c>
      <c r="J16" s="67" t="inlineStr">
        <is>
          <t>OPC 40450-1 Section 10 Table 226</t>
        </is>
      </c>
      <c r="K16" s="67" t="n"/>
    </row>
    <row r="17" ht="38.7" customHeight="1" s="132">
      <c r="A17" s="61" t="n"/>
      <c r="B17" s="61" t="n"/>
      <c r="C17" s="61" t="n">
        <v>1</v>
      </c>
      <c r="D17" s="61" t="inlineStr">
        <is>
          <t>Inspect EntityDataType entries for CONTROLLER and TOOL entities in AssociatedEntities[].</t>
        </is>
      </c>
      <c r="E17" s="61" t="inlineStr">
        <is>
          <t>AssociatedEntities[] available from a result.</t>
        </is>
      </c>
      <c r="F17" s="61" t="inlineStr">
        <is>
          <t>For CONTROLLER and TOOL entities: IsExternal = False (or absent/null, which defaults to False). Internal asset identifiers originate from the joining system, not an external system.</t>
        </is>
      </c>
      <c r="G17" s="61" t="inlineStr">
        <is>
          <t>Good</t>
        </is>
      </c>
      <c r="H17" s="61" t="inlineStr">
        <is>
          <t>Good</t>
        </is>
      </c>
      <c r="I17" s="61" t="n"/>
      <c r="J17" s="61" t="inlineStr">
        <is>
          <t>OPC 40450-1 Section 10 Table 226</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empty AssociatedEntities[] is handled gracefully</t>
        </is>
      </c>
      <c r="E19" s="69" t="n"/>
      <c r="F19" s="69" t="n"/>
      <c r="G19" s="69" t="n"/>
      <c r="H19" s="69" t="n"/>
      <c r="I19" s="69" t="inlineStr">
        <is>
          <t>n</t>
        </is>
      </c>
      <c r="J19" s="69" t="inlineStr">
        <is>
          <t>OPC 40450-1 Section 10 Table 208</t>
        </is>
      </c>
      <c r="K19" s="69" t="n"/>
    </row>
    <row r="20" ht="38.7" customHeight="1" s="132">
      <c r="A20" s="61" t="n"/>
      <c r="B20" s="61" t="n"/>
      <c r="C20" s="61" t="n">
        <v>1</v>
      </c>
      <c r="D20" s="61" t="inlineStr">
        <is>
          <t>If available, retrieve a result where AssociatedEntities[] is empty (no entities configured). Read ResultMetaData.AssociatedEntities.</t>
        </is>
      </c>
      <c r="E20" s="61" t="inlineStr">
        <is>
          <t>A result with zero AssociatedEntities available (optional field, device may not populate it).</t>
        </is>
      </c>
      <c r="F20" s="61" t="inlineStr">
        <is>
          <t>Server returns Good. AssociatedEntities is an empty array or null (optional field). No service-level error is returned. This is a valid state per spec (field is optional).</t>
        </is>
      </c>
      <c r="G20" s="61" t="inlineStr">
        <is>
          <t>Good</t>
        </is>
      </c>
      <c r="H20" s="61" t="inlineStr">
        <is>
          <t>Good</t>
        </is>
      </c>
      <c r="I20" s="61" t="n"/>
      <c r="J20" s="61" t="inlineStr">
        <is>
          <t>OPC 40450-1 Section 10 Table 208</t>
        </is>
      </c>
      <c r="K20" s="61" t="inlineStr">
        <is>
          <t>Requires a result where AssociatedEntities[] is empty or absent.</t>
        </is>
      </c>
    </row>
    <row r="21">
      <c r="A21" s="69" t="inlineStr">
        <is>
          <t>n</t>
        </is>
      </c>
      <c r="B21" s="69" t="n">
        <v>2</v>
      </c>
      <c r="C21" s="69" t="n">
        <v>0</v>
      </c>
      <c r="D21" s="69" t="inlineStr">
        <is>
          <t>Verify EntityType value outside defined range is not present</t>
        </is>
      </c>
      <c r="E21" s="69" t="n"/>
      <c r="F21" s="69" t="n"/>
      <c r="G21" s="69" t="n"/>
      <c r="H21" s="69" t="n"/>
      <c r="I21" s="69" t="inlineStr">
        <is>
          <t>n</t>
        </is>
      </c>
      <c r="J21" s="69" t="inlineStr">
        <is>
          <t>OPC 40450-1 Section 10 Table 226</t>
        </is>
      </c>
      <c r="K21" s="69" t="n"/>
    </row>
    <row r="22" ht="51.6" customHeight="1" s="132">
      <c r="A22" s="61" t="n"/>
      <c r="B22" s="61" t="n"/>
      <c r="C22" s="61" t="n">
        <v>1</v>
      </c>
      <c r="D22" s="61" t="inlineStr">
        <is>
          <t>Inspect all EntityDataType entries in AssociatedEntities[] across 3 results. Check EntityType values.</t>
        </is>
      </c>
      <c r="E22" s="61" t="inlineStr">
        <is>
          <t>Three results with non-empty AssociatedEntities[] available.</t>
        </is>
      </c>
      <c r="F22" s="61" t="inlineStr">
        <is>
          <t>All EntityType values are in the range [-32768, 42] (vendor-specific extension &lt; 0 is allowed per spec). No EntityType value &gt; 42 is present (undefined per current spec). EntityId is non-null and non-empty for all entries.</t>
        </is>
      </c>
      <c r="G22" s="61" t="inlineStr">
        <is>
          <t>Good</t>
        </is>
      </c>
      <c r="H22" s="61" t="inlineStr">
        <is>
          <t>Good</t>
        </is>
      </c>
      <c r="I22" s="61" t="n"/>
      <c r="J22" s="61" t="inlineStr">
        <is>
          <t>OPC 40450-1 Section 10 Table 226</t>
        </is>
      </c>
      <c r="K22" s="61" t="inlineStr">
        <is>
          <t>EntityType &lt; 0 is allowed for vendor-specific extensions per spec</t>
        </is>
      </c>
    </row>
    <row r="23">
      <c r="A23" s="110" t="inlineStr">
        <is>
          <t>n</t>
        </is>
      </c>
      <c r="B23" s="110" t="n">
        <v>3</v>
      </c>
      <c r="C23" s="110" t="n">
        <v>0</v>
      </c>
      <c r="D23" s="110" t="inlineStr">
        <is>
          <t>Verify CONTROLLER entity identifier in AssociatedEntities</t>
        </is>
      </c>
      <c r="E23" s="110" t="n"/>
      <c r="F23" s="110" t="n"/>
      <c r="G23" s="110" t="n"/>
      <c r="H23" s="110" t="n"/>
      <c r="I23" s="110" t="inlineStr">
        <is>
          <t>n</t>
        </is>
      </c>
      <c r="J23" s="110" t="inlineStr">
        <is>
          <t>OPC 40450-1 Section 11.1 CU-17</t>
        </is>
      </c>
      <c r="K23" s="110" t="n"/>
    </row>
    <row r="24" ht="25.8" customHeight="1" s="132">
      <c r="A24" s="111" t="n"/>
      <c r="B24" s="111" t="n"/>
      <c r="C24" s="111" t="n">
        <v>1</v>
      </c>
      <c r="D24" s="111" t="inlineStr">
        <is>
          <t>Inspect AssociatedEntities of a result. Search for EntityType=3 (CONTROLLER).</t>
        </is>
      </c>
      <c r="E24" s="111" t="inlineStr">
        <is>
          <t>Server claims this Conformance Unit; no additional runtime setup is needed for this step.</t>
        </is>
      </c>
      <c r="F24" s="111" t="inlineStr">
        <is>
          <t>Entry with EntityType=3 found. EntityId is non-empty.</t>
        </is>
      </c>
      <c r="G24" s="111" t="inlineStr">
        <is>
          <t>Good</t>
        </is>
      </c>
      <c r="H24" s="111" t="n"/>
      <c r="I24" s="111" t="n"/>
      <c r="J24" s="111" t="inlineStr">
        <is>
          <t>OPC 40450-1 Section 11.1 CU-17</t>
        </is>
      </c>
      <c r="K24" s="111" t="inlineStr">
        <is>
          <t>Requirement source: OPC 40450-1 Section 10.3 - CONTROLLER(3) is standard internal entity.</t>
        </is>
      </c>
    </row>
    <row r="25">
      <c r="A25" s="110" t="inlineStr">
        <is>
          <t>n</t>
        </is>
      </c>
      <c r="B25" s="110" t="n">
        <v>4</v>
      </c>
      <c r="C25" s="110" t="n">
        <v>0</v>
      </c>
      <c r="D25" s="110" t="inlineStr">
        <is>
          <t>Verify TOOL entity identifier present when tool performed operation</t>
        </is>
      </c>
      <c r="E25" s="110" t="n"/>
      <c r="F25" s="110" t="n"/>
      <c r="G25" s="110" t="n"/>
      <c r="H25" s="110" t="n"/>
      <c r="I25" s="110" t="inlineStr">
        <is>
          <t>n</t>
        </is>
      </c>
      <c r="J25" s="110" t="inlineStr">
        <is>
          <t>OPC 40450-1 Section 11.1 CU-17</t>
        </is>
      </c>
      <c r="K25" s="110" t="n"/>
    </row>
    <row r="26" ht="25.8" customHeight="1" s="132">
      <c r="A26" s="111" t="n"/>
      <c r="B26" s="111" t="n"/>
      <c r="C26" s="111" t="n">
        <v>1</v>
      </c>
      <c r="D26" s="111" t="inlineStr">
        <is>
          <t>Inspect AssociatedEntities from tool-based operation. Search EntityType=4 (TOOL).</t>
        </is>
      </c>
      <c r="E26" s="111" t="inlineStr">
        <is>
          <t>Server claims this Conformance Unit; no additional runtime setup is needed for this step.</t>
        </is>
      </c>
      <c r="F26" s="111" t="inlineStr">
        <is>
          <t>Entry with EntityType=4 found. EntityId matches tool ProductInstanceUri.</t>
        </is>
      </c>
      <c r="G26" s="111" t="inlineStr">
        <is>
          <t>Good</t>
        </is>
      </c>
      <c r="H26" s="111" t="n"/>
      <c r="I26" s="111" t="n"/>
      <c r="J26" s="111" t="inlineStr">
        <is>
          <t>OPC 40450-1 Section 11.1 CU-17</t>
        </is>
      </c>
      <c r="K26" s="111" t="inlineStr">
        <is>
          <t>Requirement source: OPC 40450-1 Section 10.3 - TOOL(4) should be present when tool involved.</t>
        </is>
      </c>
    </row>
    <row r="27">
      <c r="A27" s="110" t="inlineStr">
        <is>
          <t>n</t>
        </is>
      </c>
      <c r="B27" s="110" t="n">
        <v>5</v>
      </c>
      <c r="C27" s="110" t="n">
        <v>0</v>
      </c>
      <c r="D27" s="110" t="inlineStr">
        <is>
          <t>Verify AssociatedEntities EntityId is non-empty for all internal identifiers</t>
        </is>
      </c>
      <c r="E27" s="110" t="n"/>
      <c r="F27" s="110" t="n"/>
      <c r="G27" s="110" t="n"/>
      <c r="H27" s="110" t="n"/>
      <c r="I27" s="110" t="inlineStr">
        <is>
          <t>n</t>
        </is>
      </c>
      <c r="J27" s="110" t="inlineStr">
        <is>
          <t>OPC 40450-1 Section 11.1 CU-17</t>
        </is>
      </c>
      <c r="K27" s="110" t="n"/>
    </row>
    <row r="28" ht="25.8" customHeight="1" s="132">
      <c r="A28" s="111" t="n"/>
      <c r="B28" s="111" t="n"/>
      <c r="C28" s="111" t="n">
        <v>1</v>
      </c>
      <c r="D28" s="111" t="inlineStr">
        <is>
          <t>Iterate AssociatedEntities with EntityType in 2..14. Check EntityId.</t>
        </is>
      </c>
      <c r="E28" s="111" t="inlineStr">
        <is>
          <t>Server claims this Conformance Unit; no additional runtime setup is needed for this step.</t>
        </is>
      </c>
      <c r="F28" s="111" t="inlineStr">
        <is>
          <t>Every internal entity has non-null, non-empty EntityId.</t>
        </is>
      </c>
      <c r="G28" s="111" t="inlineStr">
        <is>
          <t>Good</t>
        </is>
      </c>
      <c r="H28" s="111" t="n"/>
      <c r="I28" s="111" t="n"/>
      <c r="J28" s="111" t="inlineStr">
        <is>
          <t>OPC 40450-1 Section 11.1 CU-17</t>
        </is>
      </c>
      <c r="K28" s="111" t="inlineStr">
        <is>
          <t>Requirement source: OPC 40450-1 Section 10.3 - EntityId is Mandatory TrimmedString for internals.</t>
        </is>
      </c>
    </row>
  </sheetData>
  <mergeCells count="2">
    <mergeCell ref="A1:K1"/>
    <mergeCell ref="C2:J2"/>
  </mergeCells>
  <pageMargins left="0.7" right="0.7" top="0.75" bottom="0.75" header="0.3" footer="0.3"/>
</worksheet>
</file>

<file path=xl/worksheets/sheet24.xml><?xml version="1.0" encoding="utf-8"?>
<worksheet xmlns="http://schemas.openxmlformats.org/spreadsheetml/2006/main">
  <sheetPr codeName="Sheet27">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CU-18: IJT Result External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CU-18 — IJT Result External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contains at least one external entity type</t>
        </is>
      </c>
      <c r="E4" s="58" t="n"/>
      <c r="F4" s="58" t="n"/>
      <c r="G4" s="58" t="n"/>
      <c r="H4" s="58" t="n"/>
      <c r="I4" s="58" t="inlineStr">
        <is>
          <t>n</t>
        </is>
      </c>
      <c r="J4" s="58" t="inlineStr">
        <is>
          <t>OPC 40450-1 Section 11 (CU-25) / Table 226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Inspect ResultMetaData.AssociatedEntities[]. Filter entities where EntityType is in {20=VEHICLE, 21=PRODUCT, 22=PART, 23=JOINT, 24=MODEL, 25=ORDER}.</t>
        </is>
      </c>
      <c r="E5" s="61" t="inlineStr">
        <is>
          <t>At least one result with external product/vehicle/part identifiers configured.</t>
        </is>
      </c>
      <c r="F5" s="61" t="inlineStr">
        <is>
          <t>At least one EntityDataType entry has EntityType in {20, 21, 22, 23, 24, 25}. EntityId is non-empty TrimmedString.</t>
        </is>
      </c>
      <c r="G5" s="61" t="inlineStr">
        <is>
          <t>Good</t>
        </is>
      </c>
      <c r="H5" s="61" t="inlineStr">
        <is>
          <t>Good</t>
        </is>
      </c>
      <c r="I5" s="61" t="n"/>
      <c r="J5" s="61" t="inlineStr">
        <is>
          <t>OPC 40450-1 Section 11 (CU-25) / Table 226</t>
        </is>
      </c>
      <c r="K5" s="62" t="n"/>
    </row>
    <row r="6">
      <c r="A6" s="70" t="inlineStr">
        <is>
          <t>y</t>
        </is>
      </c>
      <c r="B6" s="71" t="n">
        <v>2</v>
      </c>
      <c r="C6" s="72" t="n">
        <v>0</v>
      </c>
      <c r="D6" s="72" t="inlineStr">
        <is>
          <t>Verify IsExternal = True for vehicle/product/part entities</t>
        </is>
      </c>
      <c r="E6" s="72" t="n"/>
      <c r="F6" s="72" t="n"/>
      <c r="G6" s="72" t="n"/>
      <c r="H6" s="72" t="n"/>
      <c r="I6" s="72" t="inlineStr">
        <is>
          <t>n</t>
        </is>
      </c>
      <c r="J6" s="72" t="inlineStr">
        <is>
          <t>OPC 40450-1 Section 10 Table 226</t>
        </is>
      </c>
      <c r="K6" s="73" t="n"/>
    </row>
    <row r="7" ht="38.7" customHeight="1" s="132">
      <c r="A7" s="61" t="n"/>
      <c r="B7" s="61" t="n"/>
      <c r="C7" s="61" t="n">
        <v>1</v>
      </c>
      <c r="D7" s="61" t="inlineStr">
        <is>
          <t>Inspect EntityDataType entries for EntityType VEHICLE (20), PRODUCT (21), or PART (22). Check IsExternal field.</t>
        </is>
      </c>
      <c r="E7" s="61" t="inlineStr">
        <is>
          <t>AssociatedEntities[] entries with external entity types.</t>
        </is>
      </c>
      <c r="F7" s="61" t="inlineStr">
        <is>
          <t>IsExternal = True for entities sourced from external systems (e.g. VIN from MES, product barcode from WMS). IsExternal = False or absent for IDs generated by the joining system itself.</t>
        </is>
      </c>
      <c r="G7" s="61" t="inlineStr">
        <is>
          <t>Good</t>
        </is>
      </c>
      <c r="H7" s="61" t="inlineStr">
        <is>
          <t>Good</t>
        </is>
      </c>
      <c r="I7" s="61" t="n"/>
      <c r="J7" s="61" t="inlineStr">
        <is>
          <t>OPC 40450-1 Section 10 Table 226</t>
        </is>
      </c>
      <c r="K7" s="61" t="inlineStr">
        <is>
          <t>IsExternal=True means EntityId was provided by an external system (e.g. MES, ERP, PLC)</t>
        </is>
      </c>
    </row>
    <row r="8" ht="25.8" customHeight="1" s="132">
      <c r="A8" s="67" t="inlineStr">
        <is>
          <t>y</t>
        </is>
      </c>
      <c r="B8" s="67" t="n">
        <v>3</v>
      </c>
      <c r="C8" s="67" t="n">
        <v>0</v>
      </c>
      <c r="D8" s="67" t="inlineStr">
        <is>
          <t>Verify JOINT entity identifier (EntityType=23) is present when joint management is active</t>
        </is>
      </c>
      <c r="E8" s="67" t="n"/>
      <c r="F8" s="67" t="n"/>
      <c r="G8" s="67" t="n"/>
      <c r="H8" s="67" t="n"/>
      <c r="I8" s="67" t="inlineStr">
        <is>
          <t>n</t>
        </is>
      </c>
      <c r="J8" s="67" t="inlineStr">
        <is>
          <t>OPC 40450-1 Section 10 Table 226</t>
        </is>
      </c>
      <c r="K8" s="67" t="n"/>
    </row>
    <row r="9" ht="38.7" customHeight="1" s="132">
      <c r="A9" s="61" t="n"/>
      <c r="B9" s="61" t="n"/>
      <c r="C9" s="61" t="n">
        <v>1</v>
      </c>
      <c r="D9" s="61" t="inlineStr">
        <is>
          <t>If the server supports Joint Management (CU for Joint Management claimed): inspect AssociatedEntities[] for EntityType = 23 (JOINT).</t>
        </is>
      </c>
      <c r="E9" s="61" t="inlineStr">
        <is>
          <t>Server claims Joint Management CU. A result from a configured joint available.</t>
        </is>
      </c>
      <c r="F9" s="61" t="inlineStr">
        <is>
          <t>At least one EntityDataType entry has EntityType = 23 (JOINT). EntityId identifies the specific joint that was tightened.</t>
        </is>
      </c>
      <c r="G9" s="61" t="inlineStr">
        <is>
          <t>Good</t>
        </is>
      </c>
      <c r="H9" s="61" t="inlineStr">
        <is>
          <t>Good</t>
        </is>
      </c>
      <c r="I9" s="61" t="n"/>
      <c r="J9" s="61" t="inlineStr">
        <is>
          <t>OPC 40450-1 Section 10 Table 226</t>
        </is>
      </c>
      <c r="K9" s="61" t="inlineStr">
        <is>
          <t>EntityType 23=JOINT; requires Joint Management support</t>
        </is>
      </c>
    </row>
    <row r="10">
      <c r="A10" s="67" t="inlineStr">
        <is>
          <t>y</t>
        </is>
      </c>
      <c r="B10" s="67" t="n">
        <v>4</v>
      </c>
      <c r="C10" s="67" t="n">
        <v>0</v>
      </c>
      <c r="D10" s="67" t="inlineStr">
        <is>
          <t>Verify multiple external entity types can coexist in the same result</t>
        </is>
      </c>
      <c r="E10" s="67" t="n"/>
      <c r="F10" s="67" t="n"/>
      <c r="G10" s="67" t="n"/>
      <c r="H10" s="67" t="n"/>
      <c r="I10" s="67" t="inlineStr">
        <is>
          <t>n</t>
        </is>
      </c>
      <c r="J10" s="67" t="inlineStr">
        <is>
          <t>OPC 40450-1 Section 10 Table 226</t>
        </is>
      </c>
      <c r="K10" s="67" t="n"/>
    </row>
    <row r="11" ht="38.7" customHeight="1" s="132">
      <c r="A11" s="61" t="n"/>
      <c r="B11" s="61" t="n"/>
      <c r="C11" s="61" t="n">
        <v>1</v>
      </c>
      <c r="D11" s="61" t="inlineStr">
        <is>
          <t>Inspect a result that includes both a PRODUCT identifier and a PART identifier. Verify both entries present simultaneously.</t>
        </is>
      </c>
      <c r="E11" s="61" t="inlineStr">
        <is>
          <t>A result where both product-level and part-level external IDs are configured.</t>
        </is>
      </c>
      <c r="F11" s="61" t="inlineStr">
        <is>
          <t>AssociatedEntities[] contains entries for both EntityType=21 (PRODUCT) and EntityType=22 (PART). Each entry has its own EntityId. Multiple external entity types in the same result are valid.</t>
        </is>
      </c>
      <c r="G11" s="61" t="inlineStr">
        <is>
          <t>Good</t>
        </is>
      </c>
      <c r="H11" s="61" t="inlineStr">
        <is>
          <t>Good</t>
        </is>
      </c>
      <c r="I11" s="61" t="n"/>
      <c r="J11" s="61" t="inlineStr">
        <is>
          <t>OPC 40450-1 Section 11 (CU-25)</t>
        </is>
      </c>
      <c r="K11" s="61" t="n"/>
    </row>
    <row r="12" ht="25.8" customHeight="1" s="132">
      <c r="A12" s="67" t="inlineStr">
        <is>
          <t>y</t>
        </is>
      </c>
      <c r="B12" s="67" t="n">
        <v>5</v>
      </c>
      <c r="C12" s="67" t="n">
        <v>0</v>
      </c>
      <c r="D12" s="67" t="inlineStr">
        <is>
          <t>Verify ORDER identifier (EntityType=25) when production order tracking is used</t>
        </is>
      </c>
      <c r="E12" s="67" t="n"/>
      <c r="F12" s="67" t="n"/>
      <c r="G12" s="67" t="n"/>
      <c r="H12" s="67" t="n"/>
      <c r="I12" s="67" t="inlineStr">
        <is>
          <t>n</t>
        </is>
      </c>
      <c r="J12" s="67" t="inlineStr">
        <is>
          <t>OPC 40450-1 Section 10 Table 226</t>
        </is>
      </c>
      <c r="K12" s="67" t="n"/>
    </row>
    <row r="13" ht="38.7" customHeight="1" s="132">
      <c r="A13" s="61" t="n"/>
      <c r="B13" s="61" t="n"/>
      <c r="C13" s="61" t="n">
        <v>1</v>
      </c>
      <c r="D13" s="61" t="inlineStr">
        <is>
          <t>If the device tracks production orders: inspect AssociatedEntities[] for EntityType = 25 (ORDER).</t>
        </is>
      </c>
      <c r="E13" s="61" t="inlineStr">
        <is>
          <t>Device configured with production order tracking. At least one result from an order-based operation.</t>
        </is>
      </c>
      <c r="F13" s="61" t="inlineStr">
        <is>
          <t>At least one EntityDataType entry has EntityType = 25 (ORDER) with non-empty EntityId.</t>
        </is>
      </c>
      <c r="G13" s="61" t="inlineStr">
        <is>
          <t>Good</t>
        </is>
      </c>
      <c r="H13" s="61" t="inlineStr">
        <is>
          <t>Good</t>
        </is>
      </c>
      <c r="I13" s="61" t="n"/>
      <c r="J13" s="61" t="inlineStr">
        <is>
          <t>OPC 40450-1 Section 11 (CU-25) / Table 226</t>
        </is>
      </c>
      <c r="K13" s="61" t="inlineStr">
        <is>
          <t>EntityType 25=ORDER; common in automotive assembly line scenarios</t>
        </is>
      </c>
    </row>
    <row r="14">
      <c r="A14" s="67" t="inlineStr">
        <is>
          <t>y</t>
        </is>
      </c>
      <c r="B14" s="67" t="n">
        <v>6</v>
      </c>
      <c r="C14" s="67" t="n">
        <v>0</v>
      </c>
      <c r="D14" s="67" t="inlineStr">
        <is>
          <t>Verify external EntityId format follows expected identifier convention</t>
        </is>
      </c>
      <c r="E14" s="67" t="n"/>
      <c r="F14" s="67" t="n"/>
      <c r="G14" s="67" t="n"/>
      <c r="H14" s="67" t="n"/>
      <c r="I14" s="67" t="inlineStr">
        <is>
          <t>n</t>
        </is>
      </c>
      <c r="J14" s="67" t="inlineStr">
        <is>
          <t>OPC 40450-1 Section 10 Table 226</t>
        </is>
      </c>
      <c r="K14" s="67" t="n"/>
    </row>
    <row r="15" ht="51.6" customHeight="1" s="132">
      <c r="A15" s="61" t="n"/>
      <c r="B15" s="61" t="n"/>
      <c r="C15" s="61" t="n">
        <v>1</v>
      </c>
      <c r="D15" s="61" t="inlineStr">
        <is>
          <t>Inspect 5 results. For each external entity (VEHICLE, PRODUCT, PART), check EntityId format.</t>
        </is>
      </c>
      <c r="E15" s="61" t="inlineStr">
        <is>
          <t>Five results with external entity identifiers.</t>
        </is>
      </c>
      <c r="F15" s="61" t="inlineStr">
        <is>
          <t>EntityId is a non-empty TrimmedString (no leading/trailing whitespace). Format is consistent across results from the same production process. (e.g. VIN is always 17 characters, production order always alphanumeric)</t>
        </is>
      </c>
      <c r="G15" s="61" t="inlineStr">
        <is>
          <t>Good</t>
        </is>
      </c>
      <c r="H15" s="61" t="inlineStr">
        <is>
          <t>Good</t>
        </is>
      </c>
      <c r="I15" s="61" t="n"/>
      <c r="J15" s="61" t="inlineStr">
        <is>
          <t>OPC 40450-1 Section 10 Table 226 TrimmedString constraint</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result with no external entities is accepted (optional field)</t>
        </is>
      </c>
      <c r="E17" s="69" t="n"/>
      <c r="F17" s="69" t="n"/>
      <c r="G17" s="69" t="n"/>
      <c r="H17" s="69" t="n"/>
      <c r="I17" s="69" t="inlineStr">
        <is>
          <t>n</t>
        </is>
      </c>
      <c r="J17" s="69" t="inlineStr">
        <is>
          <t>OPC 40450-1 Section 10 Table 208</t>
        </is>
      </c>
      <c r="K17" s="69" t="n"/>
    </row>
    <row r="18" ht="38.7" customHeight="1" s="132">
      <c r="A18" s="61" t="n"/>
      <c r="B18" s="61" t="n"/>
      <c r="C18" s="61" t="n">
        <v>1</v>
      </c>
      <c r="D18" s="61" t="inlineStr">
        <is>
          <t>Retrieve a result where AssociatedEntities[] has no external entity types (only internal/asset entities or empty).</t>
        </is>
      </c>
      <c r="E18" s="61" t="inlineStr">
        <is>
          <t>A result without external identifier assignment (device not configured for external IDs).</t>
        </is>
      </c>
      <c r="F18" s="61" t="inlineStr">
        <is>
          <t>Server returns Good. AssociatedEntities[] may be empty or contain only internal entities. Absence of external entities is valid (all AssociatedEntities fields are Optional).</t>
        </is>
      </c>
      <c r="G18" s="61" t="inlineStr">
        <is>
          <t>Good</t>
        </is>
      </c>
      <c r="H18" s="61" t="inlineStr">
        <is>
          <t>Good</t>
        </is>
      </c>
      <c r="I18" s="61" t="n"/>
      <c r="J18" s="61" t="inlineStr">
        <is>
          <t>OPC 40450-1 Section 10 Table 208</t>
        </is>
      </c>
      <c r="K18" s="61" t="n"/>
    </row>
    <row r="19" ht="25.8" customHeight="1" s="132">
      <c r="A19" s="69" t="inlineStr">
        <is>
          <t>n</t>
        </is>
      </c>
      <c r="B19" s="69" t="n">
        <v>2</v>
      </c>
      <c r="C19" s="69" t="n">
        <v>0</v>
      </c>
      <c r="D19" s="69" t="inlineStr">
        <is>
          <t>Verify EntityId is not a duplicate for different external entity types in the same result</t>
        </is>
      </c>
      <c r="E19" s="69" t="n"/>
      <c r="F19" s="69" t="n"/>
      <c r="G19" s="69" t="n"/>
      <c r="H19" s="69" t="n"/>
      <c r="I19" s="69" t="inlineStr">
        <is>
          <t>n</t>
        </is>
      </c>
      <c r="J19" s="69" t="inlineStr">
        <is>
          <t>OPC 40450-1 Section 10 Table 226</t>
        </is>
      </c>
      <c r="K19" s="69" t="n"/>
    </row>
    <row r="20" ht="51.6" customHeight="1" s="132">
      <c r="A20" s="61" t="n"/>
      <c r="B20" s="61" t="n"/>
      <c r="C20" s="61" t="n">
        <v>1</v>
      </c>
      <c r="D20" s="61" t="inlineStr">
        <is>
          <t>For a result with multiple external entity entries, check that EntityType+EntityId combinations are unique.</t>
        </is>
      </c>
      <c r="E20" s="61" t="inlineStr">
        <is>
          <t>A result with 2+ external entity entries.</t>
        </is>
      </c>
      <c r="F20" s="61" t="inlineStr">
        <is>
          <t>No two entries have both the same EntityType AND the same EntityId. Duplicate entity registrations in the same result are not meaningful. Different EntityTypes may share an EntityId (e.g. same ID for PRODUCT and PART is unusual but not prohibited).</t>
        </is>
      </c>
      <c r="G20" s="61" t="inlineStr">
        <is>
          <t>Good</t>
        </is>
      </c>
      <c r="H20" s="61" t="inlineStr">
        <is>
          <t>Good</t>
        </is>
      </c>
      <c r="I20" s="61" t="n"/>
      <c r="J20" s="61" t="inlineStr">
        <is>
          <t>OPC 40450-1 Section 10 Table 226</t>
        </is>
      </c>
      <c r="K20" s="61" t="n"/>
    </row>
    <row r="21">
      <c r="A21" s="110" t="inlineStr">
        <is>
          <t>n</t>
        </is>
      </c>
      <c r="B21" s="110" t="n">
        <v>3</v>
      </c>
      <c r="C21" s="110" t="n">
        <v>0</v>
      </c>
      <c r="D21" s="110" t="inlineStr">
        <is>
          <t>Verify external identifier has IsExternal=True</t>
        </is>
      </c>
      <c r="E21" s="110" t="n"/>
      <c r="F21" s="110" t="n"/>
      <c r="G21" s="110" t="n"/>
      <c r="H21" s="110" t="n"/>
      <c r="I21" s="110" t="inlineStr">
        <is>
          <t>n</t>
        </is>
      </c>
      <c r="J21" s="110" t="inlineStr">
        <is>
          <t>OPC 40450-1 Section 11.1 CU-18</t>
        </is>
      </c>
      <c r="K21" s="110" t="n"/>
    </row>
    <row r="22" ht="25.8" customHeight="1" s="132">
      <c r="A22" s="111" t="n"/>
      <c r="B22" s="111" t="n"/>
      <c r="C22" s="111" t="n">
        <v>1</v>
      </c>
      <c r="D22" s="111" t="inlineStr">
        <is>
          <t>Read AssociatedEntities with EntityType in 20..42. Check IsExternal flag.</t>
        </is>
      </c>
      <c r="E22" s="111" t="inlineStr">
        <is>
          <t>Server claims this Conformance Unit; no additional runtime setup is needed for this step.</t>
        </is>
      </c>
      <c r="F22" s="111" t="inlineStr">
        <is>
          <t>All entities with EntityType &gt;= 20 have IsExternal=True.</t>
        </is>
      </c>
      <c r="G22" s="111" t="inlineStr">
        <is>
          <t>Good</t>
        </is>
      </c>
      <c r="H22" s="111" t="n"/>
      <c r="I22" s="111" t="n"/>
      <c r="J22" s="111" t="inlineStr">
        <is>
          <t>OPC 40450-1 Section 11.1 CU-18</t>
        </is>
      </c>
      <c r="K22" s="111" t="inlineStr">
        <is>
          <t>Requirement source: OPC 40450-1 Section 10.3 - External entities (20-42) must have IsExternal=True.</t>
        </is>
      </c>
    </row>
    <row r="23" ht="25.8" customHeight="1" s="132">
      <c r="A23" s="110" t="inlineStr">
        <is>
          <t>n</t>
        </is>
      </c>
      <c r="B23" s="110" t="n">
        <v>4</v>
      </c>
      <c r="C23" s="110" t="n">
        <v>0</v>
      </c>
      <c r="D23" s="110" t="inlineStr">
        <is>
          <t>Verify VEHICLE/PRODUCT/PART/JOINT/ORDER/MODEL EntityType values used</t>
        </is>
      </c>
      <c r="E23" s="110" t="n"/>
      <c r="F23" s="110" t="n"/>
      <c r="G23" s="110" t="n"/>
      <c r="H23" s="110" t="n"/>
      <c r="I23" s="110" t="inlineStr">
        <is>
          <t>n</t>
        </is>
      </c>
      <c r="J23" s="110" t="inlineStr">
        <is>
          <t>OPC 40450-1 Section 11.1 CU-18</t>
        </is>
      </c>
      <c r="K23" s="110" t="n"/>
    </row>
    <row r="24">
      <c r="A24" s="111" t="n"/>
      <c r="B24" s="111" t="n"/>
      <c r="C24" s="111" t="n">
        <v>1</v>
      </c>
      <c r="D24" s="111" t="inlineStr">
        <is>
          <t>Inspect AssociatedEntities for external entity types 20-25.</t>
        </is>
      </c>
      <c r="E24" s="111" t="inlineStr">
        <is>
          <t>Server claims this Conformance Unit; no additional runtime setup is needed for this step.</t>
        </is>
      </c>
      <c r="F24" s="111" t="inlineStr">
        <is>
          <t>At least one external entity type present.</t>
        </is>
      </c>
      <c r="G24" s="111" t="inlineStr">
        <is>
          <t>Good</t>
        </is>
      </c>
      <c r="H24" s="111" t="n"/>
      <c r="I24" s="111" t="n"/>
      <c r="J24" s="111" t="inlineStr">
        <is>
          <t>OPC 40450-1 Section 11.1 CU-18</t>
        </is>
      </c>
      <c r="K24" s="111" t="inlineStr">
        <is>
          <t>Requirement source: OPC 40450-1 Section 10.3 - Standard external EntityTypes.</t>
        </is>
      </c>
    </row>
    <row r="25">
      <c r="A25" s="110" t="inlineStr">
        <is>
          <t>n</t>
        </is>
      </c>
      <c r="B25" s="110" t="n">
        <v>5</v>
      </c>
      <c r="C25" s="110" t="n">
        <v>0</v>
      </c>
      <c r="D25" s="110" t="inlineStr">
        <is>
          <t>Verify EntityId is non-empty for external identifiers</t>
        </is>
      </c>
      <c r="E25" s="110" t="n"/>
      <c r="F25" s="110" t="n"/>
      <c r="G25" s="110" t="n"/>
      <c r="H25" s="110" t="n"/>
      <c r="I25" s="110" t="inlineStr">
        <is>
          <t>n</t>
        </is>
      </c>
      <c r="J25" s="110" t="inlineStr">
        <is>
          <t>OPC 40450-1 Section 11.1 CU-18</t>
        </is>
      </c>
      <c r="K25" s="110" t="n"/>
    </row>
    <row r="26" ht="25.8" customHeight="1" s="132">
      <c r="A26" s="111" t="n"/>
      <c r="B26" s="111" t="n"/>
      <c r="C26" s="111" t="n">
        <v>1</v>
      </c>
      <c r="D26" s="111" t="inlineStr">
        <is>
          <t>Check EntityId of each external entity (EntityType &gt;= 20).</t>
        </is>
      </c>
      <c r="E26" s="111" t="inlineStr">
        <is>
          <t>Server claims this Conformance Unit; no additional runtime setup is needed for this step.</t>
        </is>
      </c>
      <c r="F26" s="111" t="inlineStr">
        <is>
          <t>All external entities have non-null, non-empty EntityId.</t>
        </is>
      </c>
      <c r="G26" s="111" t="inlineStr">
        <is>
          <t>Good</t>
        </is>
      </c>
      <c r="H26" s="111" t="n"/>
      <c r="I26" s="111" t="n"/>
      <c r="J26" s="111" t="inlineStr">
        <is>
          <t>OPC 40450-1 Section 11.1 CU-18</t>
        </is>
      </c>
      <c r="K26" s="111" t="inlineStr">
        <is>
          <t>Requirement source: OPC 40450-1 Section 10.3 - EntityId is Mandatory TrimmedString.</t>
        </is>
      </c>
    </row>
  </sheetData>
  <mergeCells count="2">
    <mergeCell ref="A1:K1"/>
    <mergeCell ref="C2:J2"/>
  </mergeCells>
  <pageMargins left="0.7" right="0.7" top="0.75" bottom="0.75" header="0.3" footer="0.3"/>
</worksheet>
</file>

<file path=xl/worksheets/sheet25.xml><?xml version="1.0" encoding="utf-8"?>
<worksheet xmlns="http://schemas.openxmlformats.org/spreadsheetml/2006/main">
  <sheetPr codeName="Sheet20">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CU-19: IJT Joining Result Failure Reason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CU-19 — IJT Joining Result Failure Reason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FailureReason is populated for a result with ResultEvaluation = NotOK</t>
        </is>
      </c>
      <c r="E4" s="58" t="n"/>
      <c r="F4" s="58" t="n"/>
      <c r="G4" s="58" t="n"/>
      <c r="H4" s="58" t="n"/>
      <c r="I4" s="58" t="inlineStr">
        <is>
          <t>n</t>
        </is>
      </c>
      <c r="J4" s="58" t="inlineStr">
        <is>
          <t>OPC 40450-1 Section 10 Table 210</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ResultMetaData.ResultEvaluation = NotOK (2 per 5:ResultEvaluationEnum). Inspect JoiningResultDataType.FailureReason.</t>
        </is>
      </c>
      <c r="E5" s="61" t="inlineStr">
        <is>
          <t>At least one failed (NotOK) single result available. JoiningResultDataType is the ResultContent.</t>
        </is>
      </c>
      <c r="F5" s="61" t="inlineStr">
        <is>
          <t>FailureReason is a Byte value in range 1–3 (not 0 = UNDEFINED). Value maps to NOT_OK_REASON_PROGRAM (1), NOT_OK_REASON_STEP (2), or NOT_OK_REASON_ERROR (3).</t>
        </is>
      </c>
      <c r="G5" s="61" t="inlineStr">
        <is>
          <t>Good</t>
        </is>
      </c>
      <c r="H5" s="61" t="inlineStr">
        <is>
          <t>Good</t>
        </is>
      </c>
      <c r="I5" s="61" t="n"/>
      <c r="J5" s="61" t="inlineStr">
        <is>
          <t>OPC 40450-1 Section 10 Table 210</t>
        </is>
      </c>
      <c r="K5" s="62" t="n"/>
    </row>
    <row r="6" ht="25.8" customHeight="1" s="132">
      <c r="A6" s="70" t="inlineStr">
        <is>
          <t>y</t>
        </is>
      </c>
      <c r="B6" s="71" t="n">
        <v>2</v>
      </c>
      <c r="C6" s="72" t="n">
        <v>0</v>
      </c>
      <c r="D6" s="72" t="inlineStr">
        <is>
          <t>Verify FailureReason = 1 (NOT_OK_REASON_PROGRAM) correlates with OverallResultValues violations</t>
        </is>
      </c>
      <c r="E6" s="72" t="n"/>
      <c r="F6" s="72" t="n"/>
      <c r="G6" s="72" t="n"/>
      <c r="H6" s="72" t="n"/>
      <c r="I6" s="72" t="inlineStr">
        <is>
          <t>n</t>
        </is>
      </c>
      <c r="J6" s="72" t="inlineStr">
        <is>
          <t>OPC 40450-1 Section 10 Table 210</t>
        </is>
      </c>
      <c r="K6" s="73" t="n"/>
    </row>
    <row r="7" ht="51.6" customHeight="1" s="132">
      <c r="A7" s="61" t="n"/>
      <c r="B7" s="61" t="n"/>
      <c r="C7" s="61" t="n">
        <v>1</v>
      </c>
      <c r="D7" s="61" t="inlineStr">
        <is>
          <t>Retrieve a result where FailureReason = 1 (NOT_OK_REASON_PROGRAM). Inspect OverallResultValues[].</t>
        </is>
      </c>
      <c r="E7" s="61" t="inlineStr">
        <is>
          <t>A result with FailureReason = 1 available.</t>
        </is>
      </c>
      <c r="F7" s="61" t="inlineStr">
        <is>
          <t>OverallResultValues[] is non-empty. At least one ResultValueDataType entry has ResultEvaluation = NotOK and ViolationType in {1=ABOVE_LIMIT, 2=BELOW_LIMIT}. This confirms the failure is due to overall program limit violation.</t>
        </is>
      </c>
      <c r="G7" s="61" t="inlineStr">
        <is>
          <t>Good</t>
        </is>
      </c>
      <c r="H7" s="61" t="inlineStr">
        <is>
          <t>Good</t>
        </is>
      </c>
      <c r="I7" s="61" t="n"/>
      <c r="J7" s="61" t="inlineStr">
        <is>
          <t>OPC 40450-1 Section 10 Table 210 / Table 212</t>
        </is>
      </c>
      <c r="K7" s="61" t="inlineStr">
        <is>
          <t>FailureReason=1 means "refer OverallResultValues" per spec note</t>
        </is>
      </c>
    </row>
    <row r="8" ht="25.8" customHeight="1" s="132">
      <c r="A8" s="67" t="inlineStr">
        <is>
          <t>y</t>
        </is>
      </c>
      <c r="B8" s="67" t="n">
        <v>3</v>
      </c>
      <c r="C8" s="67" t="n">
        <v>0</v>
      </c>
      <c r="D8" s="67" t="inlineStr">
        <is>
          <t>Verify FailureReason = 2 (NOT_OK_REASON_STEP) correlates with StepResults violations</t>
        </is>
      </c>
      <c r="E8" s="67" t="n"/>
      <c r="F8" s="67" t="n"/>
      <c r="G8" s="67" t="n"/>
      <c r="H8" s="67" t="n"/>
      <c r="I8" s="67" t="inlineStr">
        <is>
          <t>n</t>
        </is>
      </c>
      <c r="J8" s="67" t="inlineStr">
        <is>
          <t>OPC 40450-1 Section 10 Table 210</t>
        </is>
      </c>
      <c r="K8" s="67" t="n"/>
    </row>
    <row r="9" ht="51.6" customHeight="1" s="132">
      <c r="A9" s="61" t="n"/>
      <c r="B9" s="61" t="n"/>
      <c r="C9" s="61" t="n">
        <v>1</v>
      </c>
      <c r="D9" s="61" t="inlineStr">
        <is>
          <t>Retrieve a result where FailureReason = 2 (NOT_OK_REASON_STEP). Inspect StepResults[] entries.</t>
        </is>
      </c>
      <c r="E9" s="61" t="inlineStr">
        <is>
          <t>A result with FailureReason = 2 available.</t>
        </is>
      </c>
      <c r="F9" s="61" t="inlineStr">
        <is>
          <t>StepResults[] is non-empty. At least one StepResultDataType entry has ResultEvaluation = NotOK. At least one StepResultValues[] entry has ViolationType != 0. FailingStepResultId is populated and matches the failing StepResultId.</t>
        </is>
      </c>
      <c r="G9" s="61" t="inlineStr">
        <is>
          <t>Good</t>
        </is>
      </c>
      <c r="H9" s="61" t="inlineStr">
        <is>
          <t>Good</t>
        </is>
      </c>
      <c r="I9" s="61" t="n"/>
      <c r="J9" s="61" t="inlineStr">
        <is>
          <t>OPC 40450-1 Section 10 Table 210 / Table 214</t>
        </is>
      </c>
      <c r="K9" s="61" t="inlineStr">
        <is>
          <t>FailureReason=2 means "refer StepResults" per spec note</t>
        </is>
      </c>
    </row>
    <row r="10" ht="25.8" customHeight="1" s="132">
      <c r="A10" s="67" t="inlineStr">
        <is>
          <t>y</t>
        </is>
      </c>
      <c r="B10" s="67" t="n">
        <v>4</v>
      </c>
      <c r="C10" s="67" t="n">
        <v>0</v>
      </c>
      <c r="D10" s="67" t="inlineStr">
        <is>
          <t>Verify FailureReason = 3 (NOT_OK_REASON_ERROR) correlates with non-empty Errors[]</t>
        </is>
      </c>
      <c r="E10" s="67" t="n"/>
      <c r="F10" s="67" t="n"/>
      <c r="G10" s="67" t="n"/>
      <c r="H10" s="67" t="n"/>
      <c r="I10" s="67" t="inlineStr">
        <is>
          <t>n</t>
        </is>
      </c>
      <c r="J10" s="67" t="inlineStr">
        <is>
          <t>OPC 40450-1 Section 10 Table 210</t>
        </is>
      </c>
      <c r="K10" s="67" t="n"/>
    </row>
    <row r="11" ht="51.6" customHeight="1" s="132">
      <c r="A11" s="61" t="n"/>
      <c r="B11" s="61" t="n"/>
      <c r="C11" s="61" t="n">
        <v>1</v>
      </c>
      <c r="D11" s="61" t="inlineStr">
        <is>
          <t>Retrieve a result where FailureReason = 3 (NOT_OK_REASON_ERROR). Inspect Errors[].</t>
        </is>
      </c>
      <c r="E11" s="61" t="inlineStr">
        <is>
          <t>A result with FailureReason = 3 available (external error caused failure).</t>
        </is>
      </c>
      <c r="F11" s="61" t="inlineStr">
        <is>
          <t>Errors[] is non-empty. At least one ErrorInformationDataType entry is present with ErrorType != 0. ErrorMessage is a non-empty LocalizedText if provided. This confirms the failure is due to an external error outside the joining program.</t>
        </is>
      </c>
      <c r="G11" s="61" t="inlineStr">
        <is>
          <t>Good</t>
        </is>
      </c>
      <c r="H11" s="61" t="inlineStr">
        <is>
          <t>Good</t>
        </is>
      </c>
      <c r="I11" s="61" t="n"/>
      <c r="J11" s="61" t="inlineStr">
        <is>
          <t>OPC 40450-1 Section 10 Table 210 / Table 216</t>
        </is>
      </c>
      <c r="K11" s="61" t="inlineStr">
        <is>
          <t>FailureReason=3 means "refer Errors list" per spec note</t>
        </is>
      </c>
    </row>
    <row r="12" ht="25.8" customHeight="1" s="132">
      <c r="A12" s="67" t="inlineStr">
        <is>
          <t>y</t>
        </is>
      </c>
      <c r="B12" s="67" t="n">
        <v>5</v>
      </c>
      <c r="C12" s="67" t="n">
        <v>0</v>
      </c>
      <c r="D12" s="67" t="inlineStr">
        <is>
          <t>Verify FailureReason is 0 (NOT_OK_REASON_UNDEFINED) or absent for OK results</t>
        </is>
      </c>
      <c r="E12" s="67" t="n"/>
      <c r="F12" s="67" t="n"/>
      <c r="G12" s="67" t="n"/>
      <c r="H12" s="67" t="n"/>
      <c r="I12" s="67" t="inlineStr">
        <is>
          <t>n</t>
        </is>
      </c>
      <c r="J12" s="67" t="inlineStr">
        <is>
          <t>OPC 40450-1 Section 10 Table 210</t>
        </is>
      </c>
      <c r="K12" s="67" t="n"/>
    </row>
    <row r="13" ht="38.7" customHeight="1" s="132">
      <c r="A13" s="61" t="n"/>
      <c r="B13" s="61" t="n"/>
      <c r="C13" s="61" t="n">
        <v>1</v>
      </c>
      <c r="D13" s="61" t="inlineStr">
        <is>
          <t>Retrieve a result where ResultMetaData.ResultEvaluation = OK (1). Inspect JoiningResultDataType.FailureReason.</t>
        </is>
      </c>
      <c r="E13" s="61" t="inlineStr">
        <is>
          <t>At least one successful (OK) single result available.</t>
        </is>
      </c>
      <c r="F13" s="61" t="inlineStr">
        <is>
          <t>FailureReason = 0 (NOT_OK_REASON_UNDEFINED) or the field is absent/null. A successful result must not have a non-zero FailureReason value.</t>
        </is>
      </c>
      <c r="G13" s="61" t="inlineStr">
        <is>
          <t>Good</t>
        </is>
      </c>
      <c r="H13" s="61" t="inlineStr">
        <is>
          <t>Good</t>
        </is>
      </c>
      <c r="I13" s="61" t="n"/>
      <c r="J13" s="61" t="inlineStr">
        <is>
          <t>OPC 40450-1 Section 10 Table 210</t>
        </is>
      </c>
      <c r="K13" s="61" t="n"/>
    </row>
    <row r="14">
      <c r="A14" s="67" t="inlineStr">
        <is>
          <t>y</t>
        </is>
      </c>
      <c r="B14" s="67" t="n">
        <v>6</v>
      </c>
      <c r="C14" s="67" t="n">
        <v>0</v>
      </c>
      <c r="D14" s="67" t="inlineStr">
        <is>
          <t>Verify FailureReason DataType is Byte and value is in valid range 0–3</t>
        </is>
      </c>
      <c r="E14" s="67" t="n"/>
      <c r="F14" s="67" t="n"/>
      <c r="G14" s="67" t="n"/>
      <c r="H14" s="67" t="n"/>
      <c r="I14" s="67" t="inlineStr">
        <is>
          <t>n</t>
        </is>
      </c>
      <c r="J14" s="67" t="inlineStr">
        <is>
          <t>OPC 40450-1 Section 10 Table 210</t>
        </is>
      </c>
      <c r="K14" s="67" t="n"/>
    </row>
    <row r="15" ht="25.8" customHeight="1" s="132">
      <c r="A15" s="61" t="n"/>
      <c r="B15" s="61" t="n"/>
      <c r="C15" s="61" t="n">
        <v>1</v>
      </c>
      <c r="D15" s="61" t="inlineStr">
        <is>
          <t>Read FailureReason from 5 different results (mix of OK and NotOK). Record all values.</t>
        </is>
      </c>
      <c r="E15" s="61" t="inlineStr">
        <is>
          <t>Five results available with varying ResultEvaluation.</t>
        </is>
      </c>
      <c r="F15" s="61" t="inlineStr">
        <is>
          <t>All FailureReason values are Byte (UInt8) in range 0–3. No value outside 0–3 is present per the spec pre-defined values.</t>
        </is>
      </c>
      <c r="G15" s="61" t="inlineStr">
        <is>
          <t>Good</t>
        </is>
      </c>
      <c r="H15" s="61" t="inlineStr">
        <is>
          <t>Good</t>
        </is>
      </c>
      <c r="I15" s="61" t="n"/>
      <c r="J15" s="61" t="inlineStr">
        <is>
          <t>OPC 40450-1 Section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Write to FailureReason returns Bad_NotWritable</t>
        </is>
      </c>
      <c r="E17" s="69" t="n"/>
      <c r="F17" s="69" t="n"/>
      <c r="G17" s="69" t="n"/>
      <c r="H17" s="69" t="n"/>
      <c r="I17" s="69" t="inlineStr">
        <is>
          <t>n</t>
        </is>
      </c>
      <c r="J17" s="69" t="inlineStr">
        <is>
          <t>OPC 10000-4 Section 5.10.4</t>
        </is>
      </c>
      <c r="K17" s="69" t="n"/>
    </row>
    <row r="18" ht="38.7" customHeight="1" s="132">
      <c r="A18" s="61" t="n"/>
      <c r="B18" s="61" t="n"/>
      <c r="C18" s="61" t="n">
        <v>1</v>
      </c>
      <c r="D18" s="61" t="inlineStr">
        <is>
          <t>Attempt to Write Byte value 1 to a FailureReason Variable (if exposed as address space node) or attempt to set it via result manipulation.</t>
        </is>
      </c>
      <c r="E18" s="61" t="inlineStr">
        <is>
          <t>FailureReason accessible as a structured field within a result Variable.</t>
        </is>
      </c>
      <c r="F18" s="61" t="inlineStr">
        <is>
          <t>Write returns Bad_NotWritable or the structured field is not individually addressable. FailureReason value is not changed by client action.</t>
        </is>
      </c>
      <c r="G18" s="61" t="inlineStr">
        <is>
          <t>Good</t>
        </is>
      </c>
      <c r="H18" s="61" t="inlineStr">
        <is>
          <t>Bad_NotWritable</t>
        </is>
      </c>
      <c r="I18" s="61" t="n"/>
      <c r="J18" s="61" t="inlineStr">
        <is>
          <t>OPC 10000-4 Section 5.10.4</t>
        </is>
      </c>
      <c r="K18" s="61" t="n"/>
    </row>
    <row r="19" ht="25.8" customHeight="1" s="132">
      <c r="A19" s="69" t="inlineStr">
        <is>
          <t>n</t>
        </is>
      </c>
      <c r="B19" s="69" t="n">
        <v>2</v>
      </c>
      <c r="C19" s="69" t="n">
        <v>0</v>
      </c>
      <c r="D19" s="69" t="inlineStr">
        <is>
          <t>Verify FailureReason = 0 (UNDEFINED) is handled without errors when no failure occurred</t>
        </is>
      </c>
      <c r="E19" s="69" t="n"/>
      <c r="F19" s="69" t="n"/>
      <c r="G19" s="69" t="n"/>
      <c r="H19" s="69" t="n"/>
      <c r="I19" s="69" t="inlineStr">
        <is>
          <t>n</t>
        </is>
      </c>
      <c r="J19" s="69" t="inlineStr">
        <is>
          <t>OPC 40450-1 Section 10 Table 210</t>
        </is>
      </c>
      <c r="K19" s="69" t="n"/>
    </row>
    <row r="20" ht="38.7" customHeight="1" s="132">
      <c r="A20" s="61" t="n"/>
      <c r="B20" s="61" t="n"/>
      <c r="C20" s="61" t="n">
        <v>1</v>
      </c>
      <c r="D20" s="61" t="inlineStr">
        <is>
          <t>Retrieve a result with FailureReason = 0. Decode the JoiningResultDataType.</t>
        </is>
      </c>
      <c r="E20" s="61" t="inlineStr">
        <is>
          <t>A result with FailureReason = 0 (UNDEFINED) available.</t>
        </is>
      </c>
      <c r="F20" s="61" t="inlineStr">
        <is>
          <t>Server returns Good. Decoding succeeds. FailureReason = 0 is a valid state. No service-level error is returned for UNDEFINED failure reason.</t>
        </is>
      </c>
      <c r="G20" s="61" t="inlineStr">
        <is>
          <t>Good</t>
        </is>
      </c>
      <c r="H20" s="61" t="inlineStr">
        <is>
          <t>Good</t>
        </is>
      </c>
      <c r="I20" s="61" t="n"/>
      <c r="J20" s="61" t="inlineStr">
        <is>
          <t>OPC 40450-1 Section 10 Table 210</t>
        </is>
      </c>
      <c r="K20" s="61" t="n"/>
    </row>
    <row r="21" ht="25.8" customHeight="1" s="132">
      <c r="A21" s="110" t="inlineStr">
        <is>
          <t>n</t>
        </is>
      </c>
      <c r="B21" s="110" t="n">
        <v>3</v>
      </c>
      <c r="C21" s="110" t="n">
        <v>0</v>
      </c>
      <c r="D21" s="110" t="inlineStr">
        <is>
          <t>Verify FailureReason=0 (UNDEFINED) not used when ResultEvaluation=NotOK</t>
        </is>
      </c>
      <c r="E21" s="110" t="n"/>
      <c r="F21" s="110" t="n"/>
      <c r="G21" s="110" t="n"/>
      <c r="H21" s="110" t="n"/>
      <c r="I21" s="110" t="inlineStr">
        <is>
          <t>n</t>
        </is>
      </c>
      <c r="J21" s="110" t="inlineStr">
        <is>
          <t>OPC 40450-1 Section 11.1 CU-19</t>
        </is>
      </c>
      <c r="K21" s="110" t="n"/>
    </row>
    <row r="22" ht="25.8" customHeight="1" s="132">
      <c r="A22" s="111" t="n"/>
      <c r="B22" s="111" t="n"/>
      <c r="C22" s="111" t="n">
        <v>1</v>
      </c>
      <c r="D22" s="111" t="inlineStr">
        <is>
          <t>Find result with ResultEvaluation=NotOK. Read FailureReason.</t>
        </is>
      </c>
      <c r="E22" s="111" t="inlineStr">
        <is>
          <t>Server claims this Conformance Unit; no additional runtime setup is needed for this step.</t>
        </is>
      </c>
      <c r="F22" s="111" t="inlineStr">
        <is>
          <t>FailureReason != 0 for NotOK results.</t>
        </is>
      </c>
      <c r="G22" s="111" t="inlineStr">
        <is>
          <t>Good</t>
        </is>
      </c>
      <c r="H22" s="111" t="n"/>
      <c r="I22" s="111" t="n"/>
      <c r="J22" s="111" t="inlineStr">
        <is>
          <t>OPC 40450-1 Section 11.1 CU-19</t>
        </is>
      </c>
      <c r="K22" s="111" t="inlineStr">
        <is>
          <t>Requirement source: OPC 40450-1 Section 10.4 - FailureReason must be specific for NotOK.</t>
        </is>
      </c>
    </row>
    <row r="23" ht="25.8" customHeight="1" s="132">
      <c r="A23" s="110" t="inlineStr">
        <is>
          <t>n</t>
        </is>
      </c>
      <c r="B23" s="110" t="n">
        <v>4</v>
      </c>
      <c r="C23" s="110" t="n">
        <v>0</v>
      </c>
      <c r="D23" s="110" t="inlineStr">
        <is>
          <t>Verify FailureReason=1 (PROGRAM) implies OverallResultValues has NotOK entry</t>
        </is>
      </c>
      <c r="E23" s="110" t="n"/>
      <c r="F23" s="110" t="n"/>
      <c r="G23" s="110" t="n"/>
      <c r="H23" s="110" t="n"/>
      <c r="I23" s="110" t="inlineStr">
        <is>
          <t>n</t>
        </is>
      </c>
      <c r="J23" s="110" t="inlineStr">
        <is>
          <t>OPC 40450-1 Section 11.1 CU-19</t>
        </is>
      </c>
      <c r="K23" s="110" t="n"/>
    </row>
    <row r="24" ht="25.8" customHeight="1" s="132">
      <c r="A24" s="111" t="n"/>
      <c r="B24" s="111" t="n"/>
      <c r="C24" s="111" t="n">
        <v>1</v>
      </c>
      <c r="D24" s="111" t="inlineStr">
        <is>
          <t>Find result with FailureReason=1. Inspect OverallResultValues.</t>
        </is>
      </c>
      <c r="E24" s="111" t="inlineStr">
        <is>
          <t>Server claims this Conformance Unit; no additional runtime setup is needed for this step.</t>
        </is>
      </c>
      <c r="F24" s="111" t="inlineStr">
        <is>
          <t>At least one OverallResultValues entry has ResultEvaluation=NotOK.</t>
        </is>
      </c>
      <c r="G24" s="111" t="inlineStr">
        <is>
          <t>Good</t>
        </is>
      </c>
      <c r="H24" s="111" t="n"/>
      <c r="I24" s="111" t="n"/>
      <c r="J24" s="111" t="inlineStr">
        <is>
          <t>OPC 40450-1 Section 11.1 CU-19</t>
        </is>
      </c>
      <c r="K24" s="111" t="inlineStr">
        <is>
          <t>Requirement source: OPC 40450-1 Section 10.4 - PROGRAM failure means value violated limits.</t>
        </is>
      </c>
    </row>
    <row r="25">
      <c r="A25" s="110" t="inlineStr">
        <is>
          <t>n</t>
        </is>
      </c>
      <c r="B25" s="110" t="n">
        <v>5</v>
      </c>
      <c r="C25" s="110" t="n">
        <v>0</v>
      </c>
      <c r="D25" s="110" t="inlineStr">
        <is>
          <t>Verify FailureReason=3 (ERROR) implies Errors[] is non-empty</t>
        </is>
      </c>
      <c r="E25" s="110" t="n"/>
      <c r="F25" s="110" t="n"/>
      <c r="G25" s="110" t="n"/>
      <c r="H25" s="110" t="n"/>
      <c r="I25" s="110" t="inlineStr">
        <is>
          <t>n</t>
        </is>
      </c>
      <c r="J25" s="110" t="inlineStr">
        <is>
          <t>OPC 40450-1 Section 11.1 CU-19</t>
        </is>
      </c>
      <c r="K25" s="110" t="n"/>
    </row>
    <row r="26" ht="25.8" customHeight="1" s="132">
      <c r="A26" s="111" t="n"/>
      <c r="B26" s="111" t="n"/>
      <c r="C26" s="111" t="n">
        <v>1</v>
      </c>
      <c r="D26" s="111" t="inlineStr">
        <is>
          <t>Find result with FailureReason=3. Inspect Errors array.</t>
        </is>
      </c>
      <c r="E26" s="111" t="inlineStr">
        <is>
          <t>Server claims this Conformance Unit; no additional runtime setup is needed for this step.</t>
        </is>
      </c>
      <c r="F26" s="111" t="inlineStr">
        <is>
          <t>Errors array has &gt;= 1 entry when FailureReason=3.</t>
        </is>
      </c>
      <c r="G26" s="111" t="inlineStr">
        <is>
          <t>Good</t>
        </is>
      </c>
      <c r="H26" s="111" t="n"/>
      <c r="I26" s="111" t="n"/>
      <c r="J26" s="111" t="inlineStr">
        <is>
          <t>OPC 40450-1 Section 11.1 CU-19</t>
        </is>
      </c>
      <c r="K26" s="111" t="inlineStr">
        <is>
          <t>Requirement source: OPC 40450-1 Section 10.4 - ERROR failure requires error entries.</t>
        </is>
      </c>
    </row>
  </sheetData>
  <mergeCells count="2">
    <mergeCell ref="A1:K1"/>
    <mergeCell ref="C2:J2"/>
  </mergeCells>
  <pageMargins left="0.7" right="0.7" top="0.75" bottom="0.75" header="0.3" footer="0.3"/>
</worksheet>
</file>

<file path=xl/worksheets/sheet26.xml><?xml version="1.0" encoding="utf-8"?>
<worksheet xmlns="http://schemas.openxmlformats.org/spreadsheetml/2006/main">
  <sheetPr codeName="Sheet21">
    <tabColor rgb="FF2E75B6"/>
    <outlinePr summaryBelow="1" summaryRight="1"/>
    <pageSetUpPr/>
  </sheetPr>
  <dimension ref="A1:N29"/>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CU-20: IJT Joining Result Overall Result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CU-20 — IJT Joining Result Overall Result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OverallResultValues[] is present in JoiningResultDataType</t>
        </is>
      </c>
      <c r="E4" s="58" t="n"/>
      <c r="F4" s="58" t="n"/>
      <c r="G4" s="58" t="n"/>
      <c r="H4" s="58" t="n"/>
      <c r="I4" s="58" t="inlineStr">
        <is>
          <t>n</t>
        </is>
      </c>
      <c r="J4" s="58" t="inlineStr">
        <is>
          <t>OPC 40450-1 Section 10 Table 210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OverallResultValues[].</t>
        </is>
      </c>
      <c r="E5" s="61" t="inlineStr">
        <is>
          <t>At least one completed single result available.</t>
        </is>
      </c>
      <c r="F5" s="61" t="inlineStr">
        <is>
          <t>OverallResultValues is an array of ResultValueDataType (defined as not Optional in Table 210). Array may be empty if operation terminated without values, but the field itself must exist.</t>
        </is>
      </c>
      <c r="G5" s="61" t="inlineStr">
        <is>
          <t>Good</t>
        </is>
      </c>
      <c r="H5" s="61" t="inlineStr">
        <is>
          <t>Good</t>
        </is>
      </c>
      <c r="I5" s="61" t="n"/>
      <c r="J5" s="61" t="inlineStr">
        <is>
          <t>OPC 40450-1 Section 10 Table 210</t>
        </is>
      </c>
      <c r="K5" s="62" t="inlineStr">
        <is>
          <t>OverallResultValues[] is NOT Optional per Table 210 — field must exist even if empty</t>
        </is>
      </c>
    </row>
    <row r="6" ht="25.8" customHeight="1" s="132">
      <c r="A6" s="70" t="inlineStr">
        <is>
          <t>y</t>
        </is>
      </c>
      <c r="B6" s="71" t="n">
        <v>2</v>
      </c>
      <c r="C6" s="72" t="n">
        <v>0</v>
      </c>
      <c r="D6" s="72" t="inlineStr">
        <is>
          <t>Verify each OverallResultValues entry has mandatory MeasuredValue field</t>
        </is>
      </c>
      <c r="E6" s="72" t="n"/>
      <c r="F6" s="72" t="n"/>
      <c r="G6" s="72" t="n"/>
      <c r="H6" s="72" t="n"/>
      <c r="I6" s="72" t="inlineStr">
        <is>
          <t>n</t>
        </is>
      </c>
      <c r="J6" s="72" t="inlineStr">
        <is>
          <t>OPC 40450-1 Section 10 Table 212</t>
        </is>
      </c>
      <c r="K6" s="73" t="n"/>
    </row>
    <row r="7" ht="38.7" customHeight="1" s="132">
      <c r="A7" s="61" t="n"/>
      <c r="B7" s="61" t="n"/>
      <c r="C7" s="61" t="n">
        <v>1</v>
      </c>
      <c r="D7" s="61" t="inlineStr">
        <is>
          <t>Inspect each entry of OverallResultValues[]. For each ResultValueDataType, check MeasuredValue.</t>
        </is>
      </c>
      <c r="E7" s="61" t="inlineStr">
        <is>
          <t>OverallResultValues[] contains at least one entry.</t>
        </is>
      </c>
      <c r="F7" s="61" t="inlineStr">
        <is>
          <t>Each ResultValueDataType entry has MeasuredValue (Double, mandatory per Table 212). No entry has a null or missing MeasuredValue.</t>
        </is>
      </c>
      <c r="G7" s="61" t="inlineStr">
        <is>
          <t>Good</t>
        </is>
      </c>
      <c r="H7" s="61" t="inlineStr">
        <is>
          <t>Good</t>
        </is>
      </c>
      <c r="I7" s="61" t="n"/>
      <c r="J7" s="61" t="inlineStr">
        <is>
          <t>OPC 40450-1 Section 10 Table 212</t>
        </is>
      </c>
      <c r="K7" s="61" t="n"/>
    </row>
    <row r="8" ht="25.8" customHeight="1" s="132">
      <c r="A8" s="67" t="inlineStr">
        <is>
          <t>y</t>
        </is>
      </c>
      <c r="B8" s="67" t="n">
        <v>3</v>
      </c>
      <c r="C8" s="67" t="n">
        <v>0</v>
      </c>
      <c r="D8" s="67" t="inlineStr">
        <is>
          <t>Verify PhysicalQuantity identifies measurement type (Torque, Angle, Time, etc.)</t>
        </is>
      </c>
      <c r="E8" s="67" t="n"/>
      <c r="F8" s="67" t="n"/>
      <c r="G8" s="67" t="n"/>
      <c r="H8" s="67" t="n"/>
      <c r="I8" s="67" t="inlineStr">
        <is>
          <t>n</t>
        </is>
      </c>
      <c r="J8" s="67" t="inlineStr">
        <is>
          <t>OPC 40450-1 Section 9.1 / Table 212</t>
        </is>
      </c>
      <c r="K8" s="67" t="n"/>
    </row>
    <row r="9" ht="51.6" customHeight="1" s="132">
      <c r="A9" s="61" t="n"/>
      <c r="B9" s="61" t="n"/>
      <c r="C9" s="61" t="n">
        <v>1</v>
      </c>
      <c r="D9" s="61" t="inlineStr">
        <is>
          <t>Inspect PhysicalQuantity Byte values in OverallResultValues[] entries.</t>
        </is>
      </c>
      <c r="E9" s="61" t="inlineStr">
        <is>
          <t>OverallResultValues[] contains at least 2 entries.</t>
        </is>
      </c>
      <c r="F9" s="61" t="inlineStr">
        <is>
          <t>PhysicalQuantity values correspond to pre-defined quantities per OPC 40450-1 Section 9.1 (e.g. TORQUE, ANGLE, TIME, FORCE, CURRENT). Values are in the defined range. No PhysicalQuantity value outside the spec-defined range is present.</t>
        </is>
      </c>
      <c r="G9" s="61" t="inlineStr">
        <is>
          <t>Good</t>
        </is>
      </c>
      <c r="H9" s="61" t="inlineStr">
        <is>
          <t>Good</t>
        </is>
      </c>
      <c r="I9" s="61" t="n"/>
      <c r="J9" s="61" t="inlineStr">
        <is>
          <t>OPC 40450-1 Section 9.1</t>
        </is>
      </c>
      <c r="K9" s="61" t="n"/>
    </row>
    <row r="10" ht="25.8" customHeight="1" s="132">
      <c r="A10" s="67" t="inlineStr">
        <is>
          <t>y</t>
        </is>
      </c>
      <c r="B10" s="67" t="n">
        <v>4</v>
      </c>
      <c r="C10" s="67" t="n">
        <v>0</v>
      </c>
      <c r="D10" s="67" t="inlineStr">
        <is>
          <t>Verify ResultEvaluation in OverallResultValues[] reflects OK/NotOK correctly</t>
        </is>
      </c>
      <c r="E10" s="67" t="n"/>
      <c r="F10" s="67" t="n"/>
      <c r="G10" s="67" t="n"/>
      <c r="H10" s="67" t="n"/>
      <c r="I10" s="67" t="inlineStr">
        <is>
          <t>n</t>
        </is>
      </c>
      <c r="J10" s="67" t="inlineStr">
        <is>
          <t>OPC 40450-1 Section 10 Table 212</t>
        </is>
      </c>
      <c r="K10" s="67" t="n"/>
    </row>
    <row r="11" ht="25.8" customHeight="1" s="132">
      <c r="A11" s="61" t="n"/>
      <c r="B11" s="61" t="n"/>
      <c r="C11" s="61" t="n">
        <v>1</v>
      </c>
      <c r="D11" s="61" t="inlineStr">
        <is>
          <t>For a result with overall ResultEvaluation=OK, inspect OverallResultValues[]. Check each entry's ResultEvaluation.</t>
        </is>
      </c>
      <c r="E11" s="61" t="inlineStr">
        <is>
          <t>At least one successful (OK) single result with populated OverallResultValues[] available.</t>
        </is>
      </c>
      <c r="F11" s="61" t="inlineStr">
        <is>
          <t>All entries have ResultEvaluation = OK (1) or Undefined (0). No entry has ResultEvaluation = NotOK when the overall result is OK.</t>
        </is>
      </c>
      <c r="G11" s="61" t="inlineStr">
        <is>
          <t>Good</t>
        </is>
      </c>
      <c r="H11" s="61" t="inlineStr">
        <is>
          <t>Good</t>
        </is>
      </c>
      <c r="I11" s="61" t="n"/>
      <c r="J11" s="61" t="inlineStr">
        <is>
          <t>OPC 40450-1 Section 10 Table 212 / OPC 40001-101 ResultEvaluationEnum</t>
        </is>
      </c>
      <c r="K11" s="61" t="n"/>
    </row>
    <row r="12" ht="38.7" customHeight="1" s="132">
      <c r="A12" s="61" t="n"/>
      <c r="B12" s="61" t="n"/>
      <c r="C12" s="61" t="n">
        <v>2</v>
      </c>
      <c r="D12" s="61" t="inlineStr">
        <is>
          <t>For a result with overall ResultEvaluation=NotOK, inspect OverallResultValues[]. Check for entries with ResultEvaluation = NotOK.</t>
        </is>
      </c>
      <c r="E12" s="61" t="inlineStr">
        <is>
          <t>At least one failed (NotOK) result with OverallResultValues[] available.</t>
        </is>
      </c>
      <c r="F12" s="61" t="inlineStr">
        <is>
          <t>At least one entry has ResultEvaluation = NotOK (2). ViolationType is != 0 for those entries. ViolationConsequence is populated per spec.</t>
        </is>
      </c>
      <c r="G12" s="61" t="inlineStr">
        <is>
          <t>Good</t>
        </is>
      </c>
      <c r="H12" s="61" t="inlineStr">
        <is>
          <t>Good</t>
        </is>
      </c>
      <c r="I12" s="61" t="n"/>
      <c r="J12" s="61" t="inlineStr">
        <is>
          <t>OPC 40450-1 Section 10 Table 212</t>
        </is>
      </c>
      <c r="K12" s="61" t="n"/>
    </row>
    <row r="13" ht="25.8" customHeight="1" s="132">
      <c r="A13" s="67" t="inlineStr">
        <is>
          <t>y</t>
        </is>
      </c>
      <c r="B13" s="67" t="n">
        <v>5</v>
      </c>
      <c r="C13" s="67" t="n">
        <v>0</v>
      </c>
      <c r="D13" s="67" t="inlineStr">
        <is>
          <t>Verify ViolationType and ViolationConsequence are present for NotOK entries</t>
        </is>
      </c>
      <c r="E13" s="67" t="n"/>
      <c r="F13" s="67" t="n"/>
      <c r="G13" s="67" t="n"/>
      <c r="H13" s="67" t="n"/>
      <c r="I13" s="67" t="inlineStr">
        <is>
          <t>n</t>
        </is>
      </c>
      <c r="J13" s="67" t="inlineStr">
        <is>
          <t>OPC 40450-1 Section 10 Table 212</t>
        </is>
      </c>
      <c r="K13" s="67" t="n"/>
    </row>
    <row r="14" ht="64.5" customHeight="1" s="132">
      <c r="A14" s="61" t="n"/>
      <c r="B14" s="61" t="n"/>
      <c r="C14" s="61" t="n">
        <v>1</v>
      </c>
      <c r="D14" s="61" t="inlineStr">
        <is>
          <t>Filter OverallResultValues[] entries where ResultEvaluation = NotOK. Check ViolationType and ViolationConsequence fields.</t>
        </is>
      </c>
      <c r="E14" s="61" t="inlineStr">
        <is>
          <t>A result with at least one OverallResultValues entry having ResultEvaluation=NotOK available.</t>
        </is>
      </c>
      <c r="F14" s="61" t="inlineStr">
        <is>
          <t>ViolationType is a Byte in {1=ABOVE_LIMIT, 2=BELOW_LIMIT, 3=NOT_DECIDABLE}. ViolationConsequence is a Byte in {1=ABORT, 2=NORMAL_STEP_TRANSITION, 3=REPAIR_STEP_TRANSITION, 4=WARNING}. Both fields are present and non-zero for NotOK entries.</t>
        </is>
      </c>
      <c r="G14" s="61" t="inlineStr">
        <is>
          <t>Good</t>
        </is>
      </c>
      <c r="H14" s="61" t="inlineStr">
        <is>
          <t>Good</t>
        </is>
      </c>
      <c r="I14" s="61" t="n"/>
      <c r="J14" s="61" t="inlineStr">
        <is>
          <t>OPC 40450-1 Section 10 Table 212</t>
        </is>
      </c>
      <c r="K14" s="61" t="n"/>
    </row>
    <row r="15">
      <c r="A15" s="67" t="inlineStr">
        <is>
          <t>y</t>
        </is>
      </c>
      <c r="B15" s="67" t="n">
        <v>6</v>
      </c>
      <c r="C15" s="67" t="n">
        <v>0</v>
      </c>
      <c r="D15" s="67" t="inlineStr">
        <is>
          <t>Verify LowLimit and HighLimit are consistent with ViolationType</t>
        </is>
      </c>
      <c r="E15" s="67" t="n"/>
      <c r="F15" s="67" t="n"/>
      <c r="G15" s="67" t="n"/>
      <c r="H15" s="67" t="n"/>
      <c r="I15" s="67" t="inlineStr">
        <is>
          <t>n</t>
        </is>
      </c>
      <c r="J15" s="67" t="inlineStr">
        <is>
          <t>OPC 40450-1 Section 10 Table 212</t>
        </is>
      </c>
      <c r="K15" s="67" t="n"/>
    </row>
    <row r="16" ht="38.7" customHeight="1" s="132">
      <c r="A16" s="61" t="n"/>
      <c r="B16" s="61" t="n"/>
      <c r="C16" s="61" t="n">
        <v>1</v>
      </c>
      <c r="D16" s="61" t="inlineStr">
        <is>
          <t>For a NotOK entry with ViolationType=ABOVE_LIMIT, check LowLimit, HighLimit, MeasuredValue.</t>
        </is>
      </c>
      <c r="E16" s="61" t="inlineStr">
        <is>
          <t>OverallResultValues entry with ViolationType=ABOVE_LIMIT available.</t>
        </is>
      </c>
      <c r="F16" s="61" t="inlineStr">
        <is>
          <t>MeasuredValue &gt; HighLimit (when HighLimit is present). LowLimit &lt;= HighLimit. Values are physically reasonable (e.g. Torque in Nm range).</t>
        </is>
      </c>
      <c r="G16" s="61" t="inlineStr">
        <is>
          <t>Good</t>
        </is>
      </c>
      <c r="H16" s="61" t="inlineStr">
        <is>
          <t>Good</t>
        </is>
      </c>
      <c r="I16" s="61" t="n"/>
      <c r="J16" s="61" t="inlineStr">
        <is>
          <t>OPC 40450-1 Section 10 Table 212</t>
        </is>
      </c>
      <c r="K16" s="61" t="n"/>
    </row>
    <row r="17" ht="25.8" customHeight="1" s="132">
      <c r="A17" s="67" t="inlineStr">
        <is>
          <t>y</t>
        </is>
      </c>
      <c r="B17" s="67" t="n">
        <v>7</v>
      </c>
      <c r="C17" s="67" t="n">
        <v>0</v>
      </c>
      <c r="D17" s="67" t="inlineStr">
        <is>
          <t>Verify ValueTag field where present identifies standard result characterization</t>
        </is>
      </c>
      <c r="E17" s="67" t="n"/>
      <c r="F17" s="67" t="n"/>
      <c r="G17" s="67" t="n"/>
      <c r="H17" s="67" t="n"/>
      <c r="I17" s="67" t="inlineStr">
        <is>
          <t>n</t>
        </is>
      </c>
      <c r="J17" s="67" t="inlineStr">
        <is>
          <t>OPC 40450-1 Section 10 Table 212</t>
        </is>
      </c>
      <c r="K17" s="67" t="n"/>
    </row>
    <row r="18" ht="38.7" customHeight="1" s="132">
      <c r="A18" s="61" t="n"/>
      <c r="B18" s="61" t="n"/>
      <c r="C18" s="61" t="n">
        <v>1</v>
      </c>
      <c r="D18" s="61" t="inlineStr">
        <is>
          <t>Inspect ValueTag in OverallResultValues[] entries where the field is populated.</t>
        </is>
      </c>
      <c r="E18" s="61" t="inlineStr">
        <is>
          <t>OverallResultValues[] with at least one entry having a non-zero ValueTag.</t>
        </is>
      </c>
      <c r="F18" s="61" t="inlineStr">
        <is>
          <t>ValueTag is Int16 in range -32768 to 20 per current spec. Value 1 = FINAL (most common for primary tightening result). Value 0 = UNDEFINED is valid. Vendor-specific values &lt; 0 are allowed.</t>
        </is>
      </c>
      <c r="G18" s="61" t="inlineStr">
        <is>
          <t>Good</t>
        </is>
      </c>
      <c r="H18" s="61" t="inlineStr">
        <is>
          <t>Good</t>
        </is>
      </c>
      <c r="I18" s="61" t="n"/>
      <c r="J18" s="61" t="inlineStr">
        <is>
          <t>OPC 40450-1 Section 10 Table 212 (ValueTag enum)</t>
        </is>
      </c>
      <c r="K18" s="61" t="inlineStr">
        <is>
          <t>See Table 212 for full ValueTag list: 1=FINAL, 2=TORSION, 3=SNUG, 4=YIELD, etc.</t>
        </is>
      </c>
    </row>
    <row r="19" ht="38.7" customHeight="1" s="132">
      <c r="A19" s="68" t="inlineStr">
        <is>
          <t>Error Test Cases</t>
        </is>
      </c>
      <c r="B19" s="68" t="n"/>
      <c r="C19" s="68" t="n"/>
      <c r="D19" s="68" t="n"/>
      <c r="E19" s="68" t="n"/>
      <c r="F19" s="68" t="n"/>
      <c r="G19" s="68" t="n"/>
      <c r="H19" s="68" t="n"/>
      <c r="I19" s="68" t="n"/>
      <c r="J19" s="68" t="n"/>
      <c r="K19" s="68" t="n"/>
    </row>
    <row r="20" ht="25.8" customHeight="1" s="132">
      <c r="A20" s="69" t="inlineStr">
        <is>
          <t>n</t>
        </is>
      </c>
      <c r="B20" s="69" t="n">
        <v>1</v>
      </c>
      <c r="C20" s="69" t="n">
        <v>0</v>
      </c>
      <c r="D20" s="69" t="inlineStr">
        <is>
          <t>Verify OverallResultValues[] with zero entries is accepted for terminated operations</t>
        </is>
      </c>
      <c r="E20" s="69" t="n"/>
      <c r="F20" s="69" t="n"/>
      <c r="G20" s="69" t="n"/>
      <c r="H20" s="69" t="n"/>
      <c r="I20" s="69" t="inlineStr">
        <is>
          <t>n</t>
        </is>
      </c>
      <c r="J20" s="69" t="inlineStr">
        <is>
          <t>OPC 40450-1 Section 10 Table 210</t>
        </is>
      </c>
      <c r="K20" s="69" t="n"/>
    </row>
    <row r="21" ht="38.7" customHeight="1" s="132">
      <c r="A21" s="61" t="n"/>
      <c r="B21" s="61" t="n"/>
      <c r="C21" s="61" t="n">
        <v>1</v>
      </c>
      <c r="D21" s="61" t="inlineStr">
        <is>
          <t>Retrieve a result where the joining operation was terminated before any measurement values were generated. Inspect OverallResultValues[].</t>
        </is>
      </c>
      <c r="E21" s="61" t="inlineStr">
        <is>
          <t>A result where the operation terminated in the first step with no measurable output. Device configured to return empty OverallResultValues in this scenario.</t>
        </is>
      </c>
      <c r="F21" s="61" t="inlineStr">
        <is>
          <t>Server returns Good. OverallResultValues[] is an empty array (not null). This is explicitly allowed by Table 210 note: "if no values are available, list may be empty".</t>
        </is>
      </c>
      <c r="G21" s="61" t="inlineStr">
        <is>
          <t>Good</t>
        </is>
      </c>
      <c r="H21" s="61" t="inlineStr">
        <is>
          <t>Good</t>
        </is>
      </c>
      <c r="I21" s="61" t="n"/>
      <c r="J21" s="61" t="inlineStr">
        <is>
          <t>OPC 40450-1 Section 10 Table 210 note</t>
        </is>
      </c>
      <c r="K21" s="61" t="inlineStr">
        <is>
          <t>Requires a result where the operation terminated before any measurement values were generated.</t>
        </is>
      </c>
    </row>
    <row r="22" ht="25.8" customHeight="1" s="132">
      <c r="A22" s="69" t="inlineStr">
        <is>
          <t>n</t>
        </is>
      </c>
      <c r="B22" s="69" t="n">
        <v>2</v>
      </c>
      <c r="C22" s="69" t="n">
        <v>0</v>
      </c>
      <c r="D22" s="69" t="inlineStr">
        <is>
          <t>Verify Write to OverallResultValues field returns Bad_NotWritable or Bad_TypeMismatch</t>
        </is>
      </c>
      <c r="E22" s="69" t="n"/>
      <c r="F22" s="69" t="n"/>
      <c r="G22" s="69" t="n"/>
      <c r="H22" s="69" t="n"/>
      <c r="I22" s="69" t="inlineStr">
        <is>
          <t>n</t>
        </is>
      </c>
      <c r="J22" s="69" t="inlineStr">
        <is>
          <t>OPC 10000-4 Section 5.10.4</t>
        </is>
      </c>
      <c r="K22" s="69" t="n"/>
    </row>
    <row r="23" ht="38.7" customHeight="1" s="132">
      <c r="A23" s="61" t="n"/>
      <c r="B23" s="61" t="n"/>
      <c r="C23" s="61" t="n">
        <v>1</v>
      </c>
      <c r="D23" s="61" t="inlineStr">
        <is>
          <t>Attempt to Write a malformed ExtensionObject to the ResultVariable to replace OverallResultValues.</t>
        </is>
      </c>
      <c r="E23" s="61" t="inlineStr">
        <is>
          <t>ResultVariable accessible. OPC UA session with write access.</t>
        </is>
      </c>
      <c r="F23" s="61" t="inlineStr">
        <is>
          <t>Write returns Bad_NotWritable. ResultVariable content is not modified. Alternatively: Bad_TypeMismatch if the DataType is mismatched. Result data integrity maintained.</t>
        </is>
      </c>
      <c r="G23" s="61" t="inlineStr">
        <is>
          <t>Good</t>
        </is>
      </c>
      <c r="H23" s="61" t="inlineStr">
        <is>
          <t>Bad_NotWritable</t>
        </is>
      </c>
      <c r="I23" s="61" t="n"/>
      <c r="J23" s="61" t="inlineStr">
        <is>
          <t>OPC 10000-4 Section 5.10.4</t>
        </is>
      </c>
      <c r="K23" s="61" t="n"/>
    </row>
    <row r="24">
      <c r="A24" s="110" t="inlineStr">
        <is>
          <t>n</t>
        </is>
      </c>
      <c r="B24" s="110" t="n">
        <v>3</v>
      </c>
      <c r="C24" s="110" t="n">
        <v>0</v>
      </c>
      <c r="D24" s="110" t="inlineStr">
        <is>
          <t>Verify MeasuredValue is not NaN or Infinity</t>
        </is>
      </c>
      <c r="E24" s="110" t="n"/>
      <c r="F24" s="110" t="n"/>
      <c r="G24" s="110" t="n"/>
      <c r="H24" s="110" t="n"/>
      <c r="I24" s="110" t="inlineStr">
        <is>
          <t>n</t>
        </is>
      </c>
      <c r="J24" s="110" t="inlineStr">
        <is>
          <t>OPC 40450-1 Section 11.1 CU-20</t>
        </is>
      </c>
      <c r="K24" s="110" t="n"/>
    </row>
    <row r="25" ht="25.8" customHeight="1" s="132">
      <c r="A25" s="111" t="n"/>
      <c r="B25" s="111" t="n"/>
      <c r="C25" s="111" t="n">
        <v>1</v>
      </c>
      <c r="D25" s="111" t="inlineStr">
        <is>
          <t>Inspect OverallResultValues. Read MeasuredValue from each entry.</t>
        </is>
      </c>
      <c r="E25" s="111" t="inlineStr">
        <is>
          <t>Server claims this Conformance Unit; no additional runtime setup is needed for this step.</t>
        </is>
      </c>
      <c r="F25" s="111" t="inlineStr">
        <is>
          <t>All MeasuredValue entries are finite (not NaN, not Infinity).</t>
        </is>
      </c>
      <c r="G25" s="111" t="inlineStr">
        <is>
          <t>Good</t>
        </is>
      </c>
      <c r="H25" s="111" t="n"/>
      <c r="I25" s="111" t="n"/>
      <c r="J25" s="111" t="inlineStr">
        <is>
          <t>OPC 40450-1 Section 11.1 CU-20</t>
        </is>
      </c>
      <c r="K25" s="111" t="inlineStr">
        <is>
          <t>Requirement source: OPC 40450-1 Section 10.5 - MeasuredValue must be finite Double.</t>
        </is>
      </c>
    </row>
    <row r="26">
      <c r="A26" s="110" t="inlineStr">
        <is>
          <t>n</t>
        </is>
      </c>
      <c r="B26" s="110" t="n">
        <v>4</v>
      </c>
      <c r="C26" s="110" t="n">
        <v>0</v>
      </c>
      <c r="D26" s="110" t="inlineStr">
        <is>
          <t>Verify ViolationType/ViolationConsequence present when NotOK</t>
        </is>
      </c>
      <c r="E26" s="110" t="n"/>
      <c r="F26" s="110" t="n"/>
      <c r="G26" s="110" t="n"/>
      <c r="H26" s="110" t="n"/>
      <c r="I26" s="110" t="inlineStr">
        <is>
          <t>n</t>
        </is>
      </c>
      <c r="J26" s="110" t="inlineStr">
        <is>
          <t>OPC 40450-1 Section 11.1 CU-20</t>
        </is>
      </c>
      <c r="K26" s="110" t="n"/>
    </row>
    <row r="27" ht="25.8" customHeight="1" s="132">
      <c r="A27" s="111" t="n"/>
      <c r="B27" s="111" t="n"/>
      <c r="C27" s="111" t="n">
        <v>1</v>
      </c>
      <c r="D27" s="111" t="inlineStr">
        <is>
          <t>Find OverallResultValues entry with ResultEvaluation=NotOK. Read ViolationType.</t>
        </is>
      </c>
      <c r="E27" s="111" t="inlineStr">
        <is>
          <t>Server claims this Conformance Unit; no additional runtime setup is needed for this step.</t>
        </is>
      </c>
      <c r="F27" s="111" t="inlineStr">
        <is>
          <t>ViolationType is not UNDEFINED(0) for NotOK entries.</t>
        </is>
      </c>
      <c r="G27" s="111" t="inlineStr">
        <is>
          <t>Good</t>
        </is>
      </c>
      <c r="H27" s="111" t="n"/>
      <c r="I27" s="111" t="n"/>
      <c r="J27" s="111" t="inlineStr">
        <is>
          <t>OPC 40450-1 Section 11.1 CU-20</t>
        </is>
      </c>
      <c r="K27" s="111" t="inlineStr">
        <is>
          <t>Requirement source: OPC 40450-1 Section 10.5 - ViolationType should not be UNDEFINED for NotOK.</t>
        </is>
      </c>
    </row>
    <row r="28">
      <c r="A28" s="110" t="inlineStr">
        <is>
          <t>n</t>
        </is>
      </c>
      <c r="B28" s="110" t="n">
        <v>5</v>
      </c>
      <c r="C28" s="110" t="n">
        <v>0</v>
      </c>
      <c r="D28" s="110" t="inlineStr">
        <is>
          <t>Verify PhysicalQuantity value is within 0-28 range</t>
        </is>
      </c>
      <c r="E28" s="110" t="n"/>
      <c r="F28" s="110" t="n"/>
      <c r="G28" s="110" t="n"/>
      <c r="H28" s="110" t="n"/>
      <c r="I28" s="110" t="inlineStr">
        <is>
          <t>n</t>
        </is>
      </c>
      <c r="J28" s="110" t="inlineStr">
        <is>
          <t>OPC 40450-1 Section 11.1 CU-20</t>
        </is>
      </c>
      <c r="K28" s="110" t="n"/>
    </row>
    <row r="29">
      <c r="A29" s="111" t="n"/>
      <c r="B29" s="111" t="n"/>
      <c r="C29" s="111" t="n">
        <v>1</v>
      </c>
      <c r="D29" s="111" t="inlineStr">
        <is>
          <t>Read PhysicalQuantity from all OverallResultValues.</t>
        </is>
      </c>
      <c r="E29" s="111" t="inlineStr">
        <is>
          <t>Server claims this Conformance Unit; no additional runtime setup is needed for this step.</t>
        </is>
      </c>
      <c r="F29" s="111" t="inlineStr">
        <is>
          <t>All PhysicalQuantity values in 0..28.</t>
        </is>
      </c>
      <c r="G29" s="111" t="inlineStr">
        <is>
          <t>Good</t>
        </is>
      </c>
      <c r="H29" s="111" t="n"/>
      <c r="I29" s="111" t="n"/>
      <c r="J29" s="111" t="inlineStr">
        <is>
          <t>OPC 40450-1 Section 11.1 CU-20</t>
        </is>
      </c>
      <c r="K29" s="111" t="inlineStr">
        <is>
          <t>Requirement source: OPC 40450-1 Table 215 - PhysicalQuantity range 0-28.</t>
        </is>
      </c>
    </row>
  </sheetData>
  <mergeCells count="2">
    <mergeCell ref="A1:K1"/>
    <mergeCell ref="C2:J2"/>
  </mergeCells>
  <pageMargins left="0.7" right="0.7" top="0.75" bottom="0.75" header="0.3" footer="0.3"/>
</worksheet>
</file>

<file path=xl/worksheets/sheet27.xml><?xml version="1.0" encoding="utf-8"?>
<worksheet xmlns="http://schemas.openxmlformats.org/spreadsheetml/2006/main">
  <sheetPr codeName="Sheet22">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CU-21: IJT Joining Result Step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CU-21 — IJT Joining Result Step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StepResults[] contains at least one StepResultDataType entry</t>
        </is>
      </c>
      <c r="E4" s="58" t="n"/>
      <c r="F4" s="58" t="n"/>
      <c r="G4" s="58" t="n"/>
      <c r="H4" s="58" t="n"/>
      <c r="I4" s="58" t="inlineStr">
        <is>
          <t>n</t>
        </is>
      </c>
      <c r="J4" s="58" t="inlineStr">
        <is>
          <t>OPC 40450-1 Section 10 Table 214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StepResults[].</t>
        </is>
      </c>
      <c r="E5" s="61" t="inlineStr">
        <is>
          <t>At least one single result with multi-step program available.</t>
        </is>
      </c>
      <c r="F5" s="61" t="inlineStr">
        <is>
          <t>StepResults[] is non-empty (contains at least 1 StepResultDataType). Note: StepResults is Optional per Table 210 but CU-20 requires its presence.</t>
        </is>
      </c>
      <c r="G5" s="61" t="inlineStr">
        <is>
          <t>Good</t>
        </is>
      </c>
      <c r="H5" s="61" t="inlineStr">
        <is>
          <t>Good</t>
        </is>
      </c>
      <c r="I5" s="61" t="n"/>
      <c r="J5" s="61" t="inlineStr">
        <is>
          <t>OPC 40450-1 Section 11 (CU-20) / Table 214</t>
        </is>
      </c>
      <c r="K5" s="62" t="n"/>
    </row>
    <row r="6">
      <c r="A6" s="70" t="inlineStr">
        <is>
          <t>y</t>
        </is>
      </c>
      <c r="B6" s="71" t="n">
        <v>2</v>
      </c>
      <c r="C6" s="72" t="n">
        <v>0</v>
      </c>
      <c r="D6" s="72" t="inlineStr">
        <is>
          <t>Verify each StepResult has mandatory StepResultId field</t>
        </is>
      </c>
      <c r="E6" s="72" t="n"/>
      <c r="F6" s="72" t="n"/>
      <c r="G6" s="72" t="n"/>
      <c r="H6" s="72" t="n"/>
      <c r="I6" s="72" t="inlineStr">
        <is>
          <t>n</t>
        </is>
      </c>
      <c r="J6" s="72" t="inlineStr">
        <is>
          <t>OPC 40450-1 Section 10 Table 214</t>
        </is>
      </c>
      <c r="K6" s="73" t="n"/>
    </row>
    <row r="7" ht="38.7" customHeight="1" s="132">
      <c r="A7" s="61" t="n"/>
      <c r="B7" s="61" t="n"/>
      <c r="C7" s="61" t="n">
        <v>1</v>
      </c>
      <c r="D7" s="61" t="inlineStr">
        <is>
          <t>Inspect each StepResultDataType entry. Check StepResultId.</t>
        </is>
      </c>
      <c r="E7" s="61" t="inlineStr">
        <is>
          <t>StepResults[] non-empty.</t>
        </is>
      </c>
      <c r="F7" s="61" t="inlineStr">
        <is>
          <t>StepResultId is a non-empty TrimmedString for every entry (mandatory per Table 214). Each StepResultId is unique within the result.</t>
        </is>
      </c>
      <c r="G7" s="61" t="inlineStr">
        <is>
          <t>Good</t>
        </is>
      </c>
      <c r="H7" s="61" t="inlineStr">
        <is>
          <t>Good</t>
        </is>
      </c>
      <c r="I7" s="61" t="n"/>
      <c r="J7" s="61" t="inlineStr">
        <is>
          <t>OPC 40450-1 Section 10 Table 214</t>
        </is>
      </c>
      <c r="K7" s="61" t="n"/>
    </row>
    <row r="8">
      <c r="A8" s="67" t="inlineStr">
        <is>
          <t>y</t>
        </is>
      </c>
      <c r="B8" s="67" t="n">
        <v>3</v>
      </c>
      <c r="C8" s="67" t="n">
        <v>0</v>
      </c>
      <c r="D8" s="67" t="inlineStr">
        <is>
          <t>Verify ProgramStepId OR ProgramStep is present in each StepResult</t>
        </is>
      </c>
      <c r="E8" s="67" t="n"/>
      <c r="F8" s="67" t="n"/>
      <c r="G8" s="67" t="n"/>
      <c r="H8" s="67" t="n"/>
      <c r="I8" s="67" t="inlineStr">
        <is>
          <t>n</t>
        </is>
      </c>
      <c r="J8" s="67" t="inlineStr">
        <is>
          <t>OPC 40450-1 Section 10 Table 214</t>
        </is>
      </c>
      <c r="K8" s="67" t="n"/>
    </row>
    <row r="9" ht="51.6" customHeight="1" s="132">
      <c r="A9" s="61" t="n"/>
      <c r="B9" s="61" t="n"/>
      <c r="C9" s="61" t="n">
        <v>1</v>
      </c>
      <c r="D9" s="61" t="inlineStr">
        <is>
          <t>Inspect ProgramStepId and ProgramStep for each StepResultDataType entry.</t>
        </is>
      </c>
      <c r="E9" s="61" t="inlineStr">
        <is>
          <t>StepResults[] non-empty.</t>
        </is>
      </c>
      <c r="F9" s="61" t="inlineStr">
        <is>
          <t>Each entry has at least one of: ProgramStepId (TrimmedString, non-empty) or ProgramStep (String, non-empty). Both may be present simultaneously. Neither being present violates CU-20 requirement.</t>
        </is>
      </c>
      <c r="G9" s="61" t="inlineStr">
        <is>
          <t>Good</t>
        </is>
      </c>
      <c r="H9" s="61" t="inlineStr">
        <is>
          <t>Good</t>
        </is>
      </c>
      <c r="I9" s="61" t="n"/>
      <c r="J9" s="61" t="inlineStr">
        <is>
          <t>OPC 40450-1 Section 11 (CU-20) / Table 214</t>
        </is>
      </c>
      <c r="K9" s="61" t="n"/>
    </row>
    <row r="10">
      <c r="A10" s="67" t="inlineStr">
        <is>
          <t>y</t>
        </is>
      </c>
      <c r="B10" s="67" t="n">
        <v>4</v>
      </c>
      <c r="C10" s="67" t="n">
        <v>0</v>
      </c>
      <c r="D10" s="67" t="inlineStr">
        <is>
          <t>Verify StepResultValues[] is present and contains measurement data</t>
        </is>
      </c>
      <c r="E10" s="67" t="n"/>
      <c r="F10" s="67" t="n"/>
      <c r="G10" s="67" t="n"/>
      <c r="H10" s="67" t="n"/>
      <c r="I10" s="67" t="inlineStr">
        <is>
          <t>n</t>
        </is>
      </c>
      <c r="J10" s="67" t="inlineStr">
        <is>
          <t>OPC 40450-1 Section 10 Table 214</t>
        </is>
      </c>
      <c r="K10" s="67" t="n"/>
    </row>
    <row r="11" ht="51.6" customHeight="1" s="132">
      <c r="A11" s="61" t="n"/>
      <c r="B11" s="61" t="n"/>
      <c r="C11" s="61" t="n">
        <v>1</v>
      </c>
      <c r="D11" s="61" t="inlineStr">
        <is>
          <t>Inspect StepResultValues[] for each StepResultDataType entry.</t>
        </is>
      </c>
      <c r="E11" s="61" t="inlineStr">
        <is>
          <t>StepResults[] non-empty with step-level measurements.</t>
        </is>
      </c>
      <c r="F11" s="61" t="inlineStr">
        <is>
          <t>StepResultValues[] is present in each StepResultDataType (may be empty for steps without measurements). Where non-empty, each ResultValueDataType has MeasuredValue (Double) and at minimum Name or PhysicalQuantity.</t>
        </is>
      </c>
      <c r="G11" s="61" t="inlineStr">
        <is>
          <t>Good</t>
        </is>
      </c>
      <c r="H11" s="61" t="inlineStr">
        <is>
          <t>Good</t>
        </is>
      </c>
      <c r="I11" s="61" t="n"/>
      <c r="J11" s="61" t="inlineStr">
        <is>
          <t>OPC 40450-1 Section 10 Table 214 / Table 212</t>
        </is>
      </c>
      <c r="K11" s="61" t="n"/>
    </row>
    <row r="12">
      <c r="A12" s="67" t="inlineStr">
        <is>
          <t>y</t>
        </is>
      </c>
      <c r="B12" s="67" t="n">
        <v>5</v>
      </c>
      <c r="C12" s="67" t="n">
        <v>0</v>
      </c>
      <c r="D12" s="67" t="inlineStr">
        <is>
          <t>Verify StepResult ResultEvaluation reflects step-level pass/fail</t>
        </is>
      </c>
      <c r="E12" s="67" t="n"/>
      <c r="F12" s="67" t="n"/>
      <c r="G12" s="67" t="n"/>
      <c r="H12" s="67" t="n"/>
      <c r="I12" s="67" t="inlineStr">
        <is>
          <t>n</t>
        </is>
      </c>
      <c r="J12" s="67" t="inlineStr">
        <is>
          <t>OPC 40450-1 Section 10 Table 214</t>
        </is>
      </c>
      <c r="K12" s="67" t="n"/>
    </row>
    <row r="13" ht="51.6" customHeight="1" s="132">
      <c r="A13" s="61" t="n"/>
      <c r="B13" s="61" t="n"/>
      <c r="C13" s="61" t="n">
        <v>1</v>
      </c>
      <c r="D13" s="61" t="inlineStr">
        <is>
          <t>Retrieve a result where at least one step failed. Inspect StepResults[].ResultEvaluation.</t>
        </is>
      </c>
      <c r="E13" s="61" t="inlineStr">
        <is>
          <t>A result with at least one step-level failure available.</t>
        </is>
      </c>
      <c r="F13" s="61" t="inlineStr">
        <is>
          <t>The failing step has ResultEvaluation = NotOK (2 per ResultEvaluationEnum). Passing steps have ResultEvaluation = OK (1). FailingStepResultId in the parent JoiningResultDataType matches the NotOK StepResultId.</t>
        </is>
      </c>
      <c r="G13" s="61" t="inlineStr">
        <is>
          <t>Good</t>
        </is>
      </c>
      <c r="H13" s="61" t="inlineStr">
        <is>
          <t>Good</t>
        </is>
      </c>
      <c r="I13" s="61" t="n"/>
      <c r="J13" s="61" t="inlineStr">
        <is>
          <t>OPC 40450-1 Section 10 Table 214 / Table 210</t>
        </is>
      </c>
      <c r="K13" s="61" t="n"/>
    </row>
    <row r="14" ht="25.8" customHeight="1" s="132">
      <c r="A14" s="67" t="inlineStr">
        <is>
          <t>y</t>
        </is>
      </c>
      <c r="B14" s="67" t="n">
        <v>6</v>
      </c>
      <c r="C14" s="67" t="n">
        <v>0</v>
      </c>
      <c r="D14" s="67" t="inlineStr">
        <is>
          <t>Verify StartTimeOffset ordering is consistent with step execution sequence</t>
        </is>
      </c>
      <c r="E14" s="67" t="n"/>
      <c r="F14" s="67" t="n"/>
      <c r="G14" s="67" t="n"/>
      <c r="H14" s="67" t="n"/>
      <c r="I14" s="67" t="inlineStr">
        <is>
          <t>n</t>
        </is>
      </c>
      <c r="J14" s="67" t="inlineStr">
        <is>
          <t>OPC 40450-1 Section 10 Table 214</t>
        </is>
      </c>
      <c r="K14" s="67" t="n"/>
    </row>
    <row r="15" ht="51.6" customHeight="1" s="132">
      <c r="A15" s="61" t="n"/>
      <c r="B15" s="61" t="n"/>
      <c r="C15" s="61" t="n">
        <v>1</v>
      </c>
      <c r="D15" s="61" t="inlineStr">
        <is>
          <t>For a result with multiple steps, inspect StartTimeOffset in each StepResultDataType.</t>
        </is>
      </c>
      <c r="E15" s="61" t="inlineStr">
        <is>
          <t>A result with 3+ step results available.</t>
        </is>
      </c>
      <c r="F15" s="61" t="inlineStr">
        <is>
          <t>StartTimeOffset is a Duration (milliseconds as Double) &gt;= 0. If populated, offsets are non-negative and increase monotonically with step execution order. StartTimeOffset is relative to ProcessingTimes.StartTime.</t>
        </is>
      </c>
      <c r="G15" s="61" t="inlineStr">
        <is>
          <t>Good</t>
        </is>
      </c>
      <c r="H15" s="61" t="inlineStr">
        <is>
          <t>Good</t>
        </is>
      </c>
      <c r="I15" s="61" t="n"/>
      <c r="J15" s="61" t="inlineStr">
        <is>
          <t>OPC 40450-1 Section 10 Table 214</t>
        </is>
      </c>
      <c r="K15" s="61" t="inlineStr">
        <is>
          <t>Requires StartTimeOffset to be present in at least one StepResultDataType.</t>
        </is>
      </c>
    </row>
    <row r="16" ht="25.8" customHeight="1" s="132">
      <c r="A16" s="67" t="inlineStr">
        <is>
          <t>y</t>
        </is>
      </c>
      <c r="B16" s="67" t="n">
        <v>7</v>
      </c>
      <c r="C16" s="67" t="n">
        <v>0</v>
      </c>
      <c r="D16" s="67" t="inlineStr">
        <is>
          <t>Verify StepTraceId links StepResult to corresponding StepTrace in Trace data</t>
        </is>
      </c>
      <c r="E16" s="67" t="n"/>
      <c r="F16" s="67" t="n"/>
      <c r="G16" s="67" t="n"/>
      <c r="H16" s="67" t="n"/>
      <c r="I16" s="67" t="inlineStr">
        <is>
          <t>n</t>
        </is>
      </c>
      <c r="J16" s="67" t="inlineStr">
        <is>
          <t>OPC 40450-1 Section 10 Table 214</t>
        </is>
      </c>
      <c r="K16" s="67" t="n"/>
    </row>
    <row r="17" ht="38.7" customHeight="1" s="132">
      <c r="A17" s="61" t="n"/>
      <c r="B17" s="61" t="n"/>
      <c r="C17" s="61" t="n">
        <v>1</v>
      </c>
      <c r="D17" s="61" t="inlineStr">
        <is>
          <t>For a result that includes Trace data, inspect StepTraceId in each StepResultDataType. Compare with JoiningTraceDataType.StepTraces[].StepTraceId.</t>
        </is>
      </c>
      <c r="E17" s="61" t="inlineStr">
        <is>
          <t>A result with both StepResults and Trace data is available; CU-22 support is declared.</t>
        </is>
      </c>
      <c r="F17" s="61" t="inlineStr">
        <is>
          <t>StepTraceId in each StepResultDataType matches a StepTraceId in JoiningTraceDataType.StepTraces[]. The link between StepResult and StepTrace is navigable by matching these identifiers.</t>
        </is>
      </c>
      <c r="G17" s="61" t="inlineStr">
        <is>
          <t>Good</t>
        </is>
      </c>
      <c r="H17" s="61" t="inlineStr">
        <is>
          <t>Good</t>
        </is>
      </c>
      <c r="I17" s="61" t="n"/>
      <c r="J17" s="61" t="inlineStr">
        <is>
          <t>OPC 40450-1 Section 10 Table 214 / Table 222</t>
        </is>
      </c>
      <c r="K17" s="61" t="inlineStr">
        <is>
          <t>Requires CU-22 support. Trace availability is a runtime precondition for this linkage check.</t>
        </is>
      </c>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no step data is handled when StepResults[] is absent</t>
        </is>
      </c>
      <c r="E19" s="69" t="n"/>
      <c r="F19" s="69" t="n"/>
      <c r="G19" s="69" t="n"/>
      <c r="H19" s="69" t="n"/>
      <c r="I19" s="69" t="inlineStr">
        <is>
          <t>n</t>
        </is>
      </c>
      <c r="J19" s="69" t="inlineStr">
        <is>
          <t>OPC 40450-1 Section 10 Table 210</t>
        </is>
      </c>
      <c r="K19" s="69" t="n"/>
    </row>
    <row r="20" ht="38.7" customHeight="1" s="132">
      <c r="A20" s="61" t="n"/>
      <c r="B20" s="61" t="n"/>
      <c r="C20" s="61" t="n">
        <v>1</v>
      </c>
      <c r="D20" s="61" t="inlineStr">
        <is>
          <t>Retrieve a SINGLE_RESULT where the device uses only OverallResultValues and no step-level data. Inspect StepResults[].</t>
        </is>
      </c>
      <c r="E20" s="61" t="inlineStr">
        <is>
          <t>Device that produces overall-only results (no step breakdown). StepResults is Optional per Table 210.</t>
        </is>
      </c>
      <c r="F20" s="61" t="inlineStr">
        <is>
          <t>StepResults[] is either absent or an empty array. Server returns Good. No error is returned for the absent optional field.</t>
        </is>
      </c>
      <c r="G20" s="61" t="inlineStr">
        <is>
          <t>Good</t>
        </is>
      </c>
      <c r="H20" s="61" t="inlineStr">
        <is>
          <t>Good</t>
        </is>
      </c>
      <c r="I20" s="61" t="n"/>
      <c r="J20" s="61" t="inlineStr">
        <is>
          <t>OPC 40450-1 Section 10 Table 210</t>
        </is>
      </c>
      <c r="K20" s="61" t="inlineStr">
        <is>
          <t>Requires a result with empty or absent StepResults[].</t>
        </is>
      </c>
    </row>
    <row r="21" ht="25.8" customHeight="1" s="132">
      <c r="A21" s="69" t="inlineStr">
        <is>
          <t>n</t>
        </is>
      </c>
      <c r="B21" s="69" t="n">
        <v>2</v>
      </c>
      <c r="C21" s="69" t="n">
        <v>0</v>
      </c>
      <c r="D21" s="69" t="inlineStr">
        <is>
          <t>Verify StepResultId uniqueness within a single JoiningResultDataType instance</t>
        </is>
      </c>
      <c r="E21" s="69" t="n"/>
      <c r="F21" s="69" t="n"/>
      <c r="G21" s="69" t="n"/>
      <c r="H21" s="69" t="n"/>
      <c r="I21" s="69" t="inlineStr">
        <is>
          <t>n</t>
        </is>
      </c>
      <c r="J21" s="69" t="inlineStr">
        <is>
          <t>OPC 40450-1 Section 10 Table 214</t>
        </is>
      </c>
      <c r="K21" s="69" t="n"/>
    </row>
    <row r="22" ht="38.7" customHeight="1" s="132">
      <c r="A22" s="61" t="n"/>
      <c r="B22" s="61" t="n"/>
      <c r="C22" s="61" t="n">
        <v>1</v>
      </c>
      <c r="D22" s="61" t="inlineStr">
        <is>
          <t>Retrieve a result with 3+ steps. Extract all StepResultId values from StepResults[].</t>
        </is>
      </c>
      <c r="E22" s="61" t="inlineStr">
        <is>
          <t>A result with at least 3 StepResultDataType entries.</t>
        </is>
      </c>
      <c r="F22" s="61" t="inlineStr">
        <is>
          <t>All StepResultId values are distinct strings. Duplicate StepResultIds within the same result are not permitted (each step result has a system-wide unique identifier).</t>
        </is>
      </c>
      <c r="G22" s="61" t="inlineStr">
        <is>
          <t>Good</t>
        </is>
      </c>
      <c r="H22" s="61" t="inlineStr">
        <is>
          <t>Good</t>
        </is>
      </c>
      <c r="I22" s="61" t="n"/>
      <c r="J22" s="61" t="inlineStr">
        <is>
          <t>OPC 40450-1 Section 10 Table 214</t>
        </is>
      </c>
      <c r="K22" s="61" t="n"/>
    </row>
    <row r="23">
      <c r="A23" s="110" t="inlineStr">
        <is>
          <t>n</t>
        </is>
      </c>
      <c r="B23" s="110" t="n">
        <v>3</v>
      </c>
      <c r="C23" s="110" t="n">
        <v>0</v>
      </c>
      <c r="D23" s="110" t="inlineStr">
        <is>
          <t>Verify StepResultId is non-empty for all step results</t>
        </is>
      </c>
      <c r="E23" s="110" t="n"/>
      <c r="F23" s="110" t="n"/>
      <c r="G23" s="110" t="n"/>
      <c r="H23" s="110" t="n"/>
      <c r="I23" s="110" t="inlineStr">
        <is>
          <t>n</t>
        </is>
      </c>
      <c r="J23" s="110" t="inlineStr">
        <is>
          <t>OPC 40450-1 Section 11.1 CU-21</t>
        </is>
      </c>
      <c r="K23" s="110" t="n"/>
    </row>
    <row r="24" ht="25.8" customHeight="1" s="132">
      <c r="A24" s="111" t="n"/>
      <c r="B24" s="111" t="n"/>
      <c r="C24" s="111" t="n">
        <v>1</v>
      </c>
      <c r="D24" s="111" t="inlineStr">
        <is>
          <t>Inspect StepResults array. Read StepResultId from each.</t>
        </is>
      </c>
      <c r="E24" s="111" t="inlineStr">
        <is>
          <t>Server claims this Conformance Unit; no additional runtime setup is needed for this step.</t>
        </is>
      </c>
      <c r="F24" s="111" t="inlineStr">
        <is>
          <t>All StepResultId values non-null, non-empty.</t>
        </is>
      </c>
      <c r="G24" s="111" t="inlineStr">
        <is>
          <t>Good</t>
        </is>
      </c>
      <c r="H24" s="111" t="n"/>
      <c r="I24" s="111" t="n"/>
      <c r="J24" s="111" t="inlineStr">
        <is>
          <t>OPC 40450-1 Section 11.1 CU-21</t>
        </is>
      </c>
      <c r="K24" s="111" t="inlineStr">
        <is>
          <t>Requirement source: OPC 40450-1 Section 10.6 - StepResultId is Mandatory TrimmedString.</t>
        </is>
      </c>
    </row>
    <row r="25">
      <c r="A25" s="110" t="inlineStr">
        <is>
          <t>n</t>
        </is>
      </c>
      <c r="B25" s="110" t="n">
        <v>4</v>
      </c>
      <c r="C25" s="110" t="n">
        <v>0</v>
      </c>
      <c r="D25" s="110" t="inlineStr">
        <is>
          <t>Verify ProgramStepId or ProgramStep is present per step</t>
        </is>
      </c>
      <c r="E25" s="110" t="n"/>
      <c r="F25" s="110" t="n"/>
      <c r="G25" s="110" t="n"/>
      <c r="H25" s="110" t="n"/>
      <c r="I25" s="110" t="inlineStr">
        <is>
          <t>n</t>
        </is>
      </c>
      <c r="J25" s="110" t="inlineStr">
        <is>
          <t>OPC 40450-1 Section 11.1 CU-21</t>
        </is>
      </c>
      <c r="K25" s="110" t="n"/>
    </row>
    <row r="26">
      <c r="A26" s="111" t="n"/>
      <c r="B26" s="111" t="n"/>
      <c r="C26" s="111" t="n">
        <v>1</v>
      </c>
      <c r="D26" s="111" t="inlineStr">
        <is>
          <t>Inspect each StepResult. Check ProgramStepId and ProgramStep.</t>
        </is>
      </c>
      <c r="E26" s="111" t="inlineStr">
        <is>
          <t>Server claims this Conformance Unit; no additional runtime setup is needed for this step.</t>
        </is>
      </c>
      <c r="F26" s="111" t="inlineStr">
        <is>
          <t>Each StepResult has at least one non-null value.</t>
        </is>
      </c>
      <c r="G26" s="111" t="inlineStr">
        <is>
          <t>Good</t>
        </is>
      </c>
      <c r="H26" s="111" t="n"/>
      <c r="I26" s="111" t="n"/>
      <c r="J26" s="111" t="inlineStr">
        <is>
          <t>OPC 40450-1 Section 11.1 CU-21</t>
        </is>
      </c>
      <c r="K26" s="111" t="inlineStr">
        <is>
          <t>Requirement source: OPC 40450-1 Section 10.6 - At least one should be present.</t>
        </is>
      </c>
    </row>
    <row r="27">
      <c r="A27" s="110" t="inlineStr">
        <is>
          <t>n</t>
        </is>
      </c>
      <c r="B27" s="110" t="n">
        <v>5</v>
      </c>
      <c r="C27" s="110" t="n">
        <v>0</v>
      </c>
      <c r="D27" s="110" t="inlineStr">
        <is>
          <t>Verify StepResultValues consistency with StepResult.ResultEvaluation</t>
        </is>
      </c>
      <c r="E27" s="110" t="n"/>
      <c r="F27" s="110" t="n"/>
      <c r="G27" s="110" t="n"/>
      <c r="H27" s="110" t="n"/>
      <c r="I27" s="110" t="inlineStr">
        <is>
          <t>n</t>
        </is>
      </c>
      <c r="J27" s="110" t="inlineStr">
        <is>
          <t>OPC 40450-1 Section 11.1 CU-21</t>
        </is>
      </c>
      <c r="K27" s="110" t="n"/>
    </row>
    <row r="28" ht="25.8" customHeight="1" s="132">
      <c r="A28" s="111" t="n"/>
      <c r="B28" s="111" t="n"/>
      <c r="C28" s="111" t="n">
        <v>1</v>
      </c>
      <c r="D28" s="111" t="inlineStr">
        <is>
          <t>Find StepResult with ResultEvaluation=NotOK. Inspect StepResultValues.</t>
        </is>
      </c>
      <c r="E28" s="111" t="inlineStr">
        <is>
          <t>Server claims this Conformance Unit; no additional runtime setup is needed for this step.</t>
        </is>
      </c>
      <c r="F28" s="111" t="inlineStr">
        <is>
          <t>At least one StepResultValue has ResultEvaluation=NotOK.</t>
        </is>
      </c>
      <c r="G28" s="111" t="inlineStr">
        <is>
          <t>Good</t>
        </is>
      </c>
      <c r="H28" s="111" t="n"/>
      <c r="I28" s="111" t="n"/>
      <c r="J28" s="111" t="inlineStr">
        <is>
          <t>OPC 40450-1 Section 11.1 CU-21</t>
        </is>
      </c>
      <c r="K28" s="111" t="inlineStr">
        <is>
          <t>Requirement source: OPC 40450-1 Section 10.6 - If step NotOK, at least one value should indicate failure.</t>
        </is>
      </c>
    </row>
  </sheetData>
  <mergeCells count="2">
    <mergeCell ref="A1:K1"/>
    <mergeCell ref="C2:J2"/>
  </mergeCells>
  <pageMargins left="0.7" right="0.7" top="0.75" bottom="0.75" header="0.3" footer="0.3"/>
</worksheet>
</file>

<file path=xl/worksheets/sheet28.xml><?xml version="1.0" encoding="utf-8"?>
<worksheet xmlns="http://schemas.openxmlformats.org/spreadsheetml/2006/main">
  <sheetPr codeName="Sheet23">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CU-22: IJT Joining Result Errors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CU-22 — IJT Joining Result Errors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Errors[] is populated for a result with FailureReason = NOT_OK_REASON_ERROR</t>
        </is>
      </c>
      <c r="E4" s="58" t="n"/>
      <c r="F4" s="58" t="n"/>
      <c r="G4" s="58" t="n"/>
      <c r="H4" s="58" t="n"/>
      <c r="I4" s="58" t="inlineStr">
        <is>
          <t>n</t>
        </is>
      </c>
      <c r="J4" s="58" t="inlineStr">
        <is>
          <t>OPC 40450-1 Section 10 Table 216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with JoiningResultDataType.FailureReason = 3 (NOT_OK_REASON_ERROR). Inspect Errors[].</t>
        </is>
      </c>
      <c r="E5" s="61" t="inlineStr">
        <is>
          <t>At least one failed single result with FailureReason=3 available.</t>
        </is>
      </c>
      <c r="F5" s="61" t="inlineStr">
        <is>
          <t>Errors[] is non-empty. Contains at least one ErrorInformationDataType. This confirms the failure was due to an external error per spec note in Table 210.</t>
        </is>
      </c>
      <c r="G5" s="61" t="inlineStr">
        <is>
          <t>Good</t>
        </is>
      </c>
      <c r="H5" s="61" t="inlineStr">
        <is>
          <t>Good</t>
        </is>
      </c>
      <c r="I5" s="61" t="n"/>
      <c r="J5" s="61" t="inlineStr">
        <is>
          <t>OPC 40450-1 Section 10 Table 216</t>
        </is>
      </c>
      <c r="K5" s="62" t="n"/>
    </row>
    <row r="6">
      <c r="A6" s="70" t="inlineStr">
        <is>
          <t>y</t>
        </is>
      </c>
      <c r="B6" s="71" t="n">
        <v>2</v>
      </c>
      <c r="C6" s="72" t="n">
        <v>0</v>
      </c>
      <c r="D6" s="72" t="inlineStr">
        <is>
          <t>Verify each ErrorInformationDataType has mandatory ErrorType field</t>
        </is>
      </c>
      <c r="E6" s="72" t="n"/>
      <c r="F6" s="72" t="n"/>
      <c r="G6" s="72" t="n"/>
      <c r="H6" s="72" t="n"/>
      <c r="I6" s="72" t="inlineStr">
        <is>
          <t>n</t>
        </is>
      </c>
      <c r="J6" s="72" t="inlineStr">
        <is>
          <t>OPC 40450-1 Section 10 Table 216</t>
        </is>
      </c>
      <c r="K6" s="73" t="n"/>
    </row>
    <row r="7" ht="51.6" customHeight="1" s="132">
      <c r="A7" s="61" t="n"/>
      <c r="B7" s="61" t="n"/>
      <c r="C7" s="61" t="n">
        <v>1</v>
      </c>
      <c r="D7" s="61" t="inlineStr">
        <is>
          <t>Inspect each ErrorInformationDataType entry in Errors[]. Check ErrorType.</t>
        </is>
      </c>
      <c r="E7" s="61" t="inlineStr">
        <is>
          <t>Errors[] non-empty.</t>
        </is>
      </c>
      <c r="F7" s="61" t="inlineStr">
        <is>
          <t>ErrorType is a Byte (mandatory per Table 216) with value in {0–6}: 0=UNDEFINED, 1=OTHER, 2=HARDWARE, 3=PROCESS, 4=OPERATOR, 5=SYSTEM, 6=SAFETY. No ErrorType value &gt; 6 or &lt; 0 is present.</t>
        </is>
      </c>
      <c r="G7" s="61" t="inlineStr">
        <is>
          <t>Good</t>
        </is>
      </c>
      <c r="H7" s="61" t="inlineStr">
        <is>
          <t>Good</t>
        </is>
      </c>
      <c r="I7" s="61" t="n"/>
      <c r="J7" s="61" t="inlineStr">
        <is>
          <t>OPC 40450-1 Section 10 Table 216</t>
        </is>
      </c>
      <c r="K7" s="61" t="n"/>
    </row>
    <row r="8">
      <c r="A8" s="67" t="inlineStr">
        <is>
          <t>y</t>
        </is>
      </c>
      <c r="B8" s="67" t="n">
        <v>3</v>
      </c>
      <c r="C8" s="67" t="n">
        <v>0</v>
      </c>
      <c r="D8" s="67" t="inlineStr">
        <is>
          <t>Verify ErrorMessage provides human-readable text for each error</t>
        </is>
      </c>
      <c r="E8" s="67" t="n"/>
      <c r="F8" s="67" t="n"/>
      <c r="G8" s="67" t="n"/>
      <c r="H8" s="67" t="n"/>
      <c r="I8" s="67" t="inlineStr">
        <is>
          <t>n</t>
        </is>
      </c>
      <c r="J8" s="67" t="inlineStr">
        <is>
          <t>OPC 40450-1 Section 10 Table 216</t>
        </is>
      </c>
      <c r="K8" s="67" t="n"/>
    </row>
    <row r="9" ht="51.6" customHeight="1" s="132">
      <c r="A9" s="61" t="n"/>
      <c r="B9" s="61" t="n"/>
      <c r="C9" s="61" t="n">
        <v>1</v>
      </c>
      <c r="D9" s="61" t="inlineStr">
        <is>
          <t>Inspect ErrorMessage in each ErrorInformationDataType where it is populated.</t>
        </is>
      </c>
      <c r="E9" s="61" t="inlineStr">
        <is>
          <t>Errors[] with at least one entry having ErrorMessage.</t>
        </is>
      </c>
      <c r="F9" s="61" t="inlineStr">
        <is>
          <t>ErrorMessage is a LocalizedText (non-empty, non-null). Text describes the error in a human-readable form. (e.g. "Tool Trigger Lost", "Temperature Overheat"). Locale is set to a valid IETF BCP 47 language tag or empty string.</t>
        </is>
      </c>
      <c r="G9" s="61" t="inlineStr">
        <is>
          <t>Good</t>
        </is>
      </c>
      <c r="H9" s="61" t="inlineStr">
        <is>
          <t>Good</t>
        </is>
      </c>
      <c r="I9" s="61" t="n"/>
      <c r="J9" s="61" t="inlineStr">
        <is>
          <t>OPC 40450-1 Section 10 Table 216</t>
        </is>
      </c>
      <c r="K9" s="61" t="n"/>
    </row>
    <row r="10">
      <c r="A10" s="67" t="inlineStr">
        <is>
          <t>y</t>
        </is>
      </c>
      <c r="B10" s="67" t="n">
        <v>4</v>
      </c>
      <c r="C10" s="67" t="n">
        <v>0</v>
      </c>
      <c r="D10" s="67" t="inlineStr">
        <is>
          <t>Verify first entry in Errors[] represents the primary (most critical) error</t>
        </is>
      </c>
      <c r="E10" s="67" t="n"/>
      <c r="F10" s="67" t="n"/>
      <c r="G10" s="67" t="n"/>
      <c r="H10" s="67" t="n"/>
      <c r="I10" s="67" t="inlineStr">
        <is>
          <t>n</t>
        </is>
      </c>
      <c r="J10" s="67" t="inlineStr">
        <is>
          <t>OPC 40450-1 Section 10 Table 216</t>
        </is>
      </c>
      <c r="K10" s="67" t="n"/>
    </row>
    <row r="11" ht="51.6" customHeight="1" s="132">
      <c r="A11" s="61" t="n"/>
      <c r="B11" s="61" t="n"/>
      <c r="C11" s="61" t="n">
        <v>1</v>
      </c>
      <c r="D11" s="61" t="inlineStr">
        <is>
          <t>Retrieve a result with multiple errors in Errors[]. Inspect order of entries.</t>
        </is>
      </c>
      <c r="E11" s="61" t="inlineStr">
        <is>
          <t>A result with at least 2 ErrorInformationDataType entries in Errors[].</t>
        </is>
      </c>
      <c r="F11" s="61" t="inlineStr">
        <is>
          <t>The first entry (index 0) represents the primary/critical error per spec note: "It is up to the application to fill in the critical/primary error as top entry." ErrorType of index 0 should be the most relevant failure category for the device.</t>
        </is>
      </c>
      <c r="G11" s="61" t="inlineStr">
        <is>
          <t>Good</t>
        </is>
      </c>
      <c r="H11" s="61" t="inlineStr">
        <is>
          <t>Good</t>
        </is>
      </c>
      <c r="I11" s="61" t="n"/>
      <c r="J11" s="61" t="inlineStr">
        <is>
          <t>OPC 40450-1 Section 10 Table 216 note</t>
        </is>
      </c>
      <c r="K11" s="61" t="inlineStr">
        <is>
          <t>Ordering convention is advisory; test confirms server populates first entry as primary</t>
        </is>
      </c>
    </row>
    <row r="12">
      <c r="A12" s="67" t="inlineStr">
        <is>
          <t>y</t>
        </is>
      </c>
      <c r="B12" s="67" t="n">
        <v>5</v>
      </c>
      <c r="C12" s="67" t="n">
        <v>0</v>
      </c>
      <c r="D12" s="67" t="inlineStr">
        <is>
          <t>Verify ErrorId provides system-unique identifier when present</t>
        </is>
      </c>
      <c r="E12" s="67" t="n"/>
      <c r="F12" s="67" t="n"/>
      <c r="G12" s="67" t="n"/>
      <c r="H12" s="67" t="n"/>
      <c r="I12" s="67" t="inlineStr">
        <is>
          <t>n</t>
        </is>
      </c>
      <c r="J12" s="67" t="inlineStr">
        <is>
          <t>OPC 40450-1 Section 10 Table 216</t>
        </is>
      </c>
      <c r="K12" s="67" t="n"/>
    </row>
    <row r="13" ht="51.6" customHeight="1" s="132">
      <c r="A13" s="61" t="n"/>
      <c r="B13" s="61" t="n"/>
      <c r="C13" s="61" t="n">
        <v>1</v>
      </c>
      <c r="D13" s="61" t="inlineStr">
        <is>
          <t>Inspect ErrorId in ErrorInformationDataType entries where populated.</t>
        </is>
      </c>
      <c r="E13" s="61" t="inlineStr">
        <is>
          <t>At least one error entry with a non-empty ErrorId.</t>
        </is>
      </c>
      <c r="F13" s="61" t="inlineStr">
        <is>
          <t>ErrorId is a non-empty TrimmedString when present. If the same error recurs in multiple results, ErrorId may reference the same error definition. ErrorId can reference an EventId or internal error code.</t>
        </is>
      </c>
      <c r="G13" s="61" t="inlineStr">
        <is>
          <t>Good</t>
        </is>
      </c>
      <c r="H13" s="61" t="inlineStr">
        <is>
          <t>Good</t>
        </is>
      </c>
      <c r="I13" s="61" t="n"/>
      <c r="J13" s="61" t="inlineStr">
        <is>
          <t>OPC 40450-1 Section 10 Table 216</t>
        </is>
      </c>
      <c r="K13" s="61" t="inlineStr">
        <is>
          <t>ErrorId is optional; when absent, record absence without treating it as a failed mandatory-field assertion.</t>
        </is>
      </c>
    </row>
    <row r="14">
      <c r="A14" s="67" t="inlineStr">
        <is>
          <t>y</t>
        </is>
      </c>
      <c r="B14" s="67" t="n">
        <v>6</v>
      </c>
      <c r="C14" s="67" t="n">
        <v>0</v>
      </c>
      <c r="D14" s="67" t="inlineStr">
        <is>
          <t>Verify Errors[] is empty or absent for a successful (OK) result</t>
        </is>
      </c>
      <c r="E14" s="67" t="n"/>
      <c r="F14" s="67" t="n"/>
      <c r="G14" s="67" t="n"/>
      <c r="H14" s="67" t="n"/>
      <c r="I14" s="67" t="inlineStr">
        <is>
          <t>n</t>
        </is>
      </c>
      <c r="J14" s="67" t="inlineStr">
        <is>
          <t>OPC 40450-1 Section 10 Table 210</t>
        </is>
      </c>
      <c r="K14" s="67" t="n"/>
    </row>
    <row r="15" ht="38.7" customHeight="1" s="132">
      <c r="A15" s="61" t="n"/>
      <c r="B15" s="61" t="n"/>
      <c r="C15" s="61" t="n">
        <v>1</v>
      </c>
      <c r="D15" s="61" t="inlineStr">
        <is>
          <t>Retrieve a result with ResultMetaData.ResultEvaluation = OK. Inspect JoiningResultDataType.Errors[].</t>
        </is>
      </c>
      <c r="E15" s="61" t="inlineStr">
        <is>
          <t>At least one successful (OK) single result available.</t>
        </is>
      </c>
      <c r="F15" s="61" t="inlineStr">
        <is>
          <t>Errors[] is empty (zero entries) or null/absent for an OK result. No error entries should be present when the operation was successful.</t>
        </is>
      </c>
      <c r="G15" s="61" t="inlineStr">
        <is>
          <t>Good</t>
        </is>
      </c>
      <c r="H15" s="61" t="inlineStr">
        <is>
          <t>Good</t>
        </is>
      </c>
      <c r="I15" s="61" t="n"/>
      <c r="J15" s="61" t="inlineStr">
        <is>
          <t>OPC 40450-1 Section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ErrorType = 0 (UNDEFINED) is accepted without server error</t>
        </is>
      </c>
      <c r="E17" s="69" t="n"/>
      <c r="F17" s="69" t="n"/>
      <c r="G17" s="69" t="n"/>
      <c r="H17" s="69" t="n"/>
      <c r="I17" s="69" t="inlineStr">
        <is>
          <t>n</t>
        </is>
      </c>
      <c r="J17" s="69" t="inlineStr">
        <is>
          <t>OPC 40450-1 Section 10 Table 216</t>
        </is>
      </c>
      <c r="K17" s="69" t="n"/>
    </row>
    <row r="18" ht="38.7" customHeight="1" s="132">
      <c r="A18" s="61" t="n"/>
      <c r="B18" s="61" t="n"/>
      <c r="C18" s="61" t="n">
        <v>1</v>
      </c>
      <c r="D18" s="61" t="inlineStr">
        <is>
          <t>Retrieve a result where an error entry has ErrorType = 0 (UNDEFINED). Decode successfully.</t>
        </is>
      </c>
      <c r="E18" s="61" t="inlineStr">
        <is>
          <t>An error entry with ErrorType=0 available (some devices use UNDEFINED when error category is not classified).</t>
        </is>
      </c>
      <c r="F18" s="61" t="inlineStr">
        <is>
          <t>Server returns Good. Decoding of ErrorInformationDataType with ErrorType=0 succeeds. UNDEFINED is a valid value per spec (value 0 in the enum).</t>
        </is>
      </c>
      <c r="G18" s="61" t="inlineStr">
        <is>
          <t>Good</t>
        </is>
      </c>
      <c r="H18" s="61" t="inlineStr">
        <is>
          <t>Good</t>
        </is>
      </c>
      <c r="I18" s="61" t="n"/>
      <c r="J18" s="61" t="inlineStr">
        <is>
          <t>OPC 40450-1 Section 10 Table 216</t>
        </is>
      </c>
      <c r="K18" s="61" t="inlineStr">
        <is>
          <t>Requires an error entry with ErrorType=0.</t>
        </is>
      </c>
    </row>
    <row r="19">
      <c r="A19" s="69" t="inlineStr">
        <is>
          <t>n</t>
        </is>
      </c>
      <c r="B19" s="69" t="n">
        <v>2</v>
      </c>
      <c r="C19" s="69" t="n">
        <v>0</v>
      </c>
      <c r="D19" s="69" t="inlineStr">
        <is>
          <t>Verify Write to Errors[] field returns Bad_NotWritable</t>
        </is>
      </c>
      <c r="E19" s="69" t="n"/>
      <c r="F19" s="69" t="n"/>
      <c r="G19" s="69" t="n"/>
      <c r="H19" s="69" t="n"/>
      <c r="I19" s="69" t="inlineStr">
        <is>
          <t>n</t>
        </is>
      </c>
      <c r="J19" s="69" t="inlineStr">
        <is>
          <t>OPC 10000-4 Section 5.10.4</t>
        </is>
      </c>
      <c r="K19" s="69" t="n"/>
    </row>
    <row r="20" ht="38.7" customHeight="1" s="132">
      <c r="A20" s="61" t="n"/>
      <c r="B20" s="61" t="n"/>
      <c r="C20" s="61" t="n">
        <v>1</v>
      </c>
      <c r="D20" s="61" t="inlineStr">
        <is>
          <t>Attempt to Write a new ErrorInformationDataType value to the Errors[] field of a result variable.</t>
        </is>
      </c>
      <c r="E20" s="61" t="inlineStr">
        <is>
          <t>ResultVariable accessible. OPC UA session established.</t>
        </is>
      </c>
      <c r="F20" s="61" t="inlineStr">
        <is>
          <t>Write returns Bad_NotWritable or Bad_TypeMismatch. Errors[] content is not modified by client action. Result data is server-managed.</t>
        </is>
      </c>
      <c r="G20" s="61" t="inlineStr">
        <is>
          <t>Good</t>
        </is>
      </c>
      <c r="H20" s="61" t="inlineStr">
        <is>
          <t>Bad_NotWritable</t>
        </is>
      </c>
      <c r="I20" s="61" t="n"/>
      <c r="J20" s="61" t="inlineStr">
        <is>
          <t>OPC 10000-4 Section 5.10.4</t>
        </is>
      </c>
      <c r="K20" s="61" t="n"/>
    </row>
    <row r="21">
      <c r="A21" s="110" t="inlineStr">
        <is>
          <t>n</t>
        </is>
      </c>
      <c r="B21" s="110" t="n">
        <v>3</v>
      </c>
      <c r="C21" s="110" t="n">
        <v>0</v>
      </c>
      <c r="D21" s="110" t="inlineStr">
        <is>
          <t>Verify ErrorType is not UNDEFINED(0) for production errors</t>
        </is>
      </c>
      <c r="E21" s="110" t="n"/>
      <c r="F21" s="110" t="n"/>
      <c r="G21" s="110" t="n"/>
      <c r="H21" s="110" t="n"/>
      <c r="I21" s="110" t="inlineStr">
        <is>
          <t>n</t>
        </is>
      </c>
      <c r="J21" s="110" t="inlineStr">
        <is>
          <t>OPC 40450-1 Section 11.1 CU-22</t>
        </is>
      </c>
      <c r="K21" s="110" t="n"/>
    </row>
    <row r="22" ht="25.8" customHeight="1" s="132">
      <c r="A22" s="111" t="n"/>
      <c r="B22" s="111" t="n"/>
      <c r="C22" s="111" t="n">
        <v>1</v>
      </c>
      <c r="D22" s="111" t="inlineStr">
        <is>
          <t>Inspect Errors array. Read ErrorType from each entry.</t>
        </is>
      </c>
      <c r="E22" s="111" t="inlineStr">
        <is>
          <t>Server claims this Conformance Unit; no additional runtime setup is needed for this step.</t>
        </is>
      </c>
      <c r="F22" s="111" t="inlineStr">
        <is>
          <t>No ErrorType is 0 in a real error scenario.</t>
        </is>
      </c>
      <c r="G22" s="111" t="inlineStr">
        <is>
          <t>Good</t>
        </is>
      </c>
      <c r="H22" s="111" t="n"/>
      <c r="I22" s="111" t="n"/>
      <c r="J22" s="111" t="inlineStr">
        <is>
          <t>OPC 40450-1 Section 11.1 CU-22</t>
        </is>
      </c>
      <c r="K22" s="111" t="inlineStr">
        <is>
          <t>Requirement source: OPC 40450-1 Section 10.7 - ErrorType should be specific, not UNDEFINED(0).</t>
        </is>
      </c>
    </row>
    <row r="23">
      <c r="A23" s="110" t="inlineStr">
        <is>
          <t>n</t>
        </is>
      </c>
      <c r="B23" s="110" t="n">
        <v>4</v>
      </c>
      <c r="C23" s="110" t="n">
        <v>0</v>
      </c>
      <c r="D23" s="110" t="inlineStr">
        <is>
          <t>Verify Errors[] is non-empty when FailureReason=3 (ERROR)</t>
        </is>
      </c>
      <c r="E23" s="110" t="n"/>
      <c r="F23" s="110" t="n"/>
      <c r="G23" s="110" t="n"/>
      <c r="H23" s="110" t="n"/>
      <c r="I23" s="110" t="inlineStr">
        <is>
          <t>n</t>
        </is>
      </c>
      <c r="J23" s="110" t="inlineStr">
        <is>
          <t>OPC 40450-1 Section 11.1 CU-22</t>
        </is>
      </c>
      <c r="K23" s="110" t="n"/>
    </row>
    <row r="24">
      <c r="A24" s="111" t="n"/>
      <c r="B24" s="111" t="n"/>
      <c r="C24" s="111" t="n">
        <v>1</v>
      </c>
      <c r="D24" s="111" t="inlineStr">
        <is>
          <t>Find result with FailureReason=3. Read Errors array.</t>
        </is>
      </c>
      <c r="E24" s="111" t="inlineStr">
        <is>
          <t>Server claims this Conformance Unit; no additional runtime setup is needed for this step.</t>
        </is>
      </c>
      <c r="F24" s="111" t="inlineStr">
        <is>
          <t>Errors array has &gt;= 1 entry.</t>
        </is>
      </c>
      <c r="G24" s="111" t="inlineStr">
        <is>
          <t>Good</t>
        </is>
      </c>
      <c r="H24" s="111" t="n"/>
      <c r="I24" s="111" t="n"/>
      <c r="J24" s="111" t="inlineStr">
        <is>
          <t>OPC 40450-1 Section 11.1 CU-22</t>
        </is>
      </c>
      <c r="K24" s="111" t="inlineStr">
        <is>
          <t>Requirement source: OPC 40450-1 Section 10.7 - ERROR failure requires errors.</t>
        </is>
      </c>
    </row>
    <row r="25">
      <c r="A25" s="110" t="inlineStr">
        <is>
          <t>n</t>
        </is>
      </c>
      <c r="B25" s="110" t="n">
        <v>5</v>
      </c>
      <c r="C25" s="110" t="n">
        <v>0</v>
      </c>
      <c r="D25" s="110" t="inlineStr">
        <is>
          <t>Verify ErrorMessage is LocalizedText with non-empty text</t>
        </is>
      </c>
      <c r="E25" s="110" t="n"/>
      <c r="F25" s="110" t="n"/>
      <c r="G25" s="110" t="n"/>
      <c r="H25" s="110" t="n"/>
      <c r="I25" s="110" t="inlineStr">
        <is>
          <t>n</t>
        </is>
      </c>
      <c r="J25" s="110" t="inlineStr">
        <is>
          <t>OPC 40450-1 Section 11.1 CU-22</t>
        </is>
      </c>
      <c r="K25" s="110" t="n"/>
    </row>
    <row r="26" ht="25.8" customHeight="1" s="132">
      <c r="A26" s="111" t="n"/>
      <c r="B26" s="111" t="n"/>
      <c r="C26" s="111" t="n">
        <v>1</v>
      </c>
      <c r="D26" s="111" t="inlineStr">
        <is>
          <t>Inspect Errors array. Read ErrorMessage from each entry.</t>
        </is>
      </c>
      <c r="E26" s="111" t="inlineStr">
        <is>
          <t>Server claims this Conformance Unit; no additional runtime setup is needed for this step.</t>
        </is>
      </c>
      <c r="F26" s="111" t="inlineStr">
        <is>
          <t>ErrorMessage is not null. Text component is non-empty.</t>
        </is>
      </c>
      <c r="G26" s="111" t="inlineStr">
        <is>
          <t>Good</t>
        </is>
      </c>
      <c r="H26" s="111" t="n"/>
      <c r="I26" s="111" t="n"/>
      <c r="J26" s="111" t="inlineStr">
        <is>
          <t>OPC 40450-1 Section 11.1 CU-22</t>
        </is>
      </c>
      <c r="K26" s="111" t="inlineStr">
        <is>
          <t>Requirement source: OPC 40450-1 Section 10.7 - ErrorMessage is LocalizedText, non-empty Text.</t>
        </is>
      </c>
    </row>
  </sheetData>
  <mergeCells count="2">
    <mergeCell ref="A1:K1"/>
    <mergeCell ref="C2:J2"/>
  </mergeCells>
  <pageMargins left="0.7" right="0.7" top="0.75" bottom="0.75" header="0.3" footer="0.3"/>
</worksheet>
</file>

<file path=xl/worksheets/sheet29.xml><?xml version="1.0" encoding="utf-8"?>
<worksheet xmlns="http://schemas.openxmlformats.org/spreadsheetml/2006/main">
  <sheetPr codeName="Sheet24">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CU-23: IJT Joining Result Trace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CU-23 — IJT Joining Result Trace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JoiningResultDataType.Trace is a JoiningTraceDataType structure</t>
        </is>
      </c>
      <c r="E4" s="58" t="n"/>
      <c r="F4" s="58" t="n"/>
      <c r="G4" s="58" t="n"/>
      <c r="H4" s="58" t="n"/>
      <c r="I4" s="58" t="inlineStr">
        <is>
          <t>n</t>
        </is>
      </c>
      <c r="J4" s="58" t="inlineStr">
        <is>
          <t>OPC 40450-1 Section 10 Table 220</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SINGLE_RESULT where Trace data is present. Decode JoiningResultDataType.Trace.</t>
        </is>
      </c>
      <c r="E5" s="61" t="inlineStr">
        <is>
          <t>A result with trace data available. Device configured to report traces.</t>
        </is>
      </c>
      <c r="F5" s="61" t="inlineStr">
        <is>
          <t>Trace field decodes as JoiningTraceDataType (subtype of TraceDataType). TraceId is a non-empty TrimmedString (mandatory per Table 218). JoiningTraceDataType.ResultId matches the parent ResultDataType.ResultMetaData.ResultId (mandatory per Table 218).</t>
        </is>
      </c>
      <c r="G5" s="61" t="inlineStr">
        <is>
          <t>Good</t>
        </is>
      </c>
      <c r="H5" s="61" t="inlineStr">
        <is>
          <t>Good</t>
        </is>
      </c>
      <c r="I5" s="61" t="n"/>
      <c r="J5" s="61" t="inlineStr">
        <is>
          <t>OPC 40450-1 Section 10 Table 218 / Table 220</t>
        </is>
      </c>
      <c r="K5" s="62" t="n"/>
    </row>
    <row r="6">
      <c r="A6" s="70" t="inlineStr">
        <is>
          <t>y</t>
        </is>
      </c>
      <c r="B6" s="71" t="n">
        <v>2</v>
      </c>
      <c r="C6" s="72" t="n">
        <v>0</v>
      </c>
      <c r="D6" s="72" t="inlineStr">
        <is>
          <t>Verify JoiningTraceDataType.StepTraces[] is non-empty</t>
        </is>
      </c>
      <c r="E6" s="72" t="n"/>
      <c r="F6" s="72" t="n"/>
      <c r="G6" s="72" t="n"/>
      <c r="H6" s="72" t="n"/>
      <c r="I6" s="72" t="inlineStr">
        <is>
          <t>n</t>
        </is>
      </c>
      <c r="J6" s="72" t="inlineStr">
        <is>
          <t>OPC 40450-1 Section 10 Table 220</t>
        </is>
      </c>
      <c r="K6" s="73" t="n"/>
    </row>
    <row r="7" ht="38.7" customHeight="1" s="132">
      <c r="A7" s="61" t="n"/>
      <c r="B7" s="61" t="n"/>
      <c r="C7" s="61" t="n">
        <v>1</v>
      </c>
      <c r="D7" s="61" t="inlineStr">
        <is>
          <t>Inspect JoiningTraceDataType.StepTraces[] for a result with trace data.</t>
        </is>
      </c>
      <c r="E7" s="61" t="inlineStr">
        <is>
          <t>JoiningTraceDataType.Trace decoded from a result.</t>
        </is>
      </c>
      <c r="F7" s="61" t="inlineStr">
        <is>
          <t>StepTraces[] is non-empty (mandatory per Table 220). Contains at least one StepTraceDataType. Each StepTraceDataType has non-empty StepTraceId (mandatory) and StepResultId (mandatory).</t>
        </is>
      </c>
      <c r="G7" s="61" t="inlineStr">
        <is>
          <t>Good</t>
        </is>
      </c>
      <c r="H7" s="61" t="inlineStr">
        <is>
          <t>Good</t>
        </is>
      </c>
      <c r="I7" s="61" t="n"/>
      <c r="J7" s="61" t="inlineStr">
        <is>
          <t>OPC 40450-1 Section 10 Table 220 / Table 222</t>
        </is>
      </c>
      <c r="K7" s="61" t="n"/>
    </row>
    <row r="8">
      <c r="A8" s="67" t="inlineStr">
        <is>
          <t>y</t>
        </is>
      </c>
      <c r="B8" s="67" t="n">
        <v>3</v>
      </c>
      <c r="C8" s="67" t="n">
        <v>0</v>
      </c>
      <c r="D8" s="67" t="inlineStr">
        <is>
          <t>Verify StepTraceDataType mandatory fields</t>
        </is>
      </c>
      <c r="E8" s="67" t="n"/>
      <c r="F8" s="67" t="n"/>
      <c r="G8" s="67" t="n"/>
      <c r="H8" s="67" t="n"/>
      <c r="I8" s="67" t="inlineStr">
        <is>
          <t>n</t>
        </is>
      </c>
      <c r="J8" s="67" t="inlineStr">
        <is>
          <t>OPC 40450-1 Section 10 Table 222</t>
        </is>
      </c>
      <c r="K8" s="67" t="n"/>
    </row>
    <row r="9" ht="51.6" customHeight="1" s="132">
      <c r="A9" s="61" t="n"/>
      <c r="B9" s="61" t="n"/>
      <c r="C9" s="61" t="n">
        <v>1</v>
      </c>
      <c r="D9" s="61" t="inlineStr">
        <is>
          <t>Inspect the first StepTraceDataType in StepTraces[]. Verify mandatory fields.</t>
        </is>
      </c>
      <c r="E9" s="61" t="inlineStr">
        <is>
          <t>StepTraces[] contains at least one entry.</t>
        </is>
      </c>
      <c r="F9" s="61" t="inlineStr">
        <is>
          <t>StepTraceId = non-empty TrimmedString (mandatory). StepResultId = non-empty TrimmedString (mandatory). NumberOfTracePoints = UInt32 &gt; 0 (mandatory). StepTraceContent[] is non-empty (mandatory per Table 222).</t>
        </is>
      </c>
      <c r="G9" s="61" t="inlineStr">
        <is>
          <t>Good</t>
        </is>
      </c>
      <c r="H9" s="61" t="inlineStr">
        <is>
          <t>Good</t>
        </is>
      </c>
      <c r="I9" s="61" t="n"/>
      <c r="J9" s="61" t="inlineStr">
        <is>
          <t>OPC 40450-1 Section 10 Table 222</t>
        </is>
      </c>
      <c r="K9" s="61" t="n"/>
    </row>
    <row r="10" ht="25.8" customHeight="1" s="132">
      <c r="A10" s="67" t="inlineStr">
        <is>
          <t>y</t>
        </is>
      </c>
      <c r="B10" s="67" t="n">
        <v>4</v>
      </c>
      <c r="C10" s="67" t="n">
        <v>0</v>
      </c>
      <c r="D10" s="67" t="inlineStr">
        <is>
          <t>Verify StepTraceContent[].Values[] length matches NumberOfTracePoints</t>
        </is>
      </c>
      <c r="E10" s="67" t="n"/>
      <c r="F10" s="67" t="n"/>
      <c r="G10" s="67" t="n"/>
      <c r="H10" s="67" t="n"/>
      <c r="I10" s="67" t="inlineStr">
        <is>
          <t>n</t>
        </is>
      </c>
      <c r="J10" s="67" t="inlineStr">
        <is>
          <t>OPC 40450-1 Section 10 Table 222 / Table 224</t>
        </is>
      </c>
      <c r="K10" s="67" t="n"/>
    </row>
    <row r="11" ht="51.6" customHeight="1" s="132">
      <c r="A11" s="61" t="n"/>
      <c r="B11" s="61" t="n"/>
      <c r="C11" s="61" t="n">
        <v>1</v>
      </c>
      <c r="D11" s="61" t="inlineStr">
        <is>
          <t>For each StepTraceDataType, compare NumberOfTracePoints with the length of each TraceContentDataType.Values[] array.</t>
        </is>
      </c>
      <c r="E11" s="61" t="inlineStr">
        <is>
          <t>StepTraces[] non-empty with at least one StepTraceContent entry.</t>
        </is>
      </c>
      <c r="F11" s="61" t="inlineStr">
        <is>
          <t>For each TraceContentDataType in StepTraceContent[], len(Values[]) == NumberOfTracePoints. All trace content arrays for the same StepTrace have the same length. This is the core structural invariant of the trace data model.</t>
        </is>
      </c>
      <c r="G11" s="61" t="inlineStr">
        <is>
          <t>Good</t>
        </is>
      </c>
      <c r="H11" s="61" t="inlineStr">
        <is>
          <t>Good</t>
        </is>
      </c>
      <c r="I11" s="61" t="n"/>
      <c r="J11" s="61" t="inlineStr">
        <is>
          <t>OPC 40450-1 Section 10 Table 222</t>
        </is>
      </c>
      <c r="K11" s="61" t="inlineStr">
        <is>
          <t>Table 222 states "array size of TraceContent array should be same for each quantity = NumberOfTracePoints"</t>
        </is>
      </c>
    </row>
    <row r="12" ht="25.8" customHeight="1" s="132">
      <c r="A12" s="67" t="inlineStr">
        <is>
          <t>y</t>
        </is>
      </c>
      <c r="B12" s="67" t="n">
        <v>5</v>
      </c>
      <c r="C12" s="67" t="n">
        <v>0</v>
      </c>
      <c r="D12" s="67" t="inlineStr">
        <is>
          <t>Verify TraceContentDataType has mandatory Values[] and PhysicalQuantity</t>
        </is>
      </c>
      <c r="E12" s="67" t="n"/>
      <c r="F12" s="67" t="n"/>
      <c r="G12" s="67" t="n"/>
      <c r="H12" s="67" t="n"/>
      <c r="I12" s="67" t="inlineStr">
        <is>
          <t>n</t>
        </is>
      </c>
      <c r="J12" s="67" t="inlineStr">
        <is>
          <t>OPC 40450-1 Section 10 Table 224</t>
        </is>
      </c>
      <c r="K12" s="67" t="n"/>
    </row>
    <row r="13" ht="51.6" customHeight="1" s="132">
      <c r="A13" s="61" t="n"/>
      <c r="B13" s="61" t="n"/>
      <c r="C13" s="61" t="n">
        <v>1</v>
      </c>
      <c r="D13" s="61" t="inlineStr">
        <is>
          <t>Inspect each TraceContentDataType entry in StepTraceContent[].</t>
        </is>
      </c>
      <c r="E13" s="61" t="inlineStr">
        <is>
          <t>At least one StepTraceDataType with StepTraceContent[] populated.</t>
        </is>
      </c>
      <c r="F13" s="61" t="inlineStr">
        <is>
          <t>Values[] is a non-empty Double[] (mandatory per Table 224). PhysicalQuantity is a Byte from the list in Section 9.1 (e.g. TORQUE, ANGLE, TIME). Name is a descriptive String when present.</t>
        </is>
      </c>
      <c r="G13" s="61" t="inlineStr">
        <is>
          <t>Good</t>
        </is>
      </c>
      <c r="H13" s="61" t="inlineStr">
        <is>
          <t>Good</t>
        </is>
      </c>
      <c r="I13" s="61" t="n"/>
      <c r="J13" s="61" t="inlineStr">
        <is>
          <t>OPC 40450-1 Section 10 Table 224 / Section 9.1</t>
        </is>
      </c>
      <c r="K13" s="61" t="n"/>
    </row>
    <row r="14" ht="25.8" customHeight="1" s="132">
      <c r="A14" s="67" t="inlineStr">
        <is>
          <t>y</t>
        </is>
      </c>
      <c r="B14" s="67" t="n">
        <v>6</v>
      </c>
      <c r="C14" s="67" t="n">
        <v>0</v>
      </c>
      <c r="D14" s="67" t="inlineStr">
        <is>
          <t>Verify trace timing: SamplingInterval or StartTimeOffset present for time-ordered traces</t>
        </is>
      </c>
      <c r="E14" s="67" t="n"/>
      <c r="F14" s="67" t="n"/>
      <c r="G14" s="67" t="n"/>
      <c r="H14" s="67" t="n"/>
      <c r="I14" s="67" t="inlineStr">
        <is>
          <t>n</t>
        </is>
      </c>
      <c r="J14" s="67" t="inlineStr">
        <is>
          <t>OPC 40450-1 Section 10 Table 222</t>
        </is>
      </c>
      <c r="K14" s="67" t="n"/>
    </row>
    <row r="15" ht="64.5" customHeight="1" s="132">
      <c r="A15" s="61" t="n"/>
      <c r="B15" s="61" t="n"/>
      <c r="C15" s="61" t="n">
        <v>1</v>
      </c>
      <c r="D15" s="61" t="inlineStr">
        <is>
          <t>Inspect SamplingInterval and StartTimeOffset in StepTraceDataType for each StepTrace.</t>
        </is>
      </c>
      <c r="E15" s="61" t="inlineStr">
        <is>
          <t>StepTraces[] non-empty.</t>
        </is>
      </c>
      <c r="F15" s="61" t="inlineStr">
        <is>
          <t>At least one of: SamplingInterval (Duration &gt; 0) or StartTimeOffset (Duration &gt;= 0) is present. If SamplingInterval is present, time between samples = SamplingInterval for all Values[] entries. If only StartTimeOffset: timing must be provided via a TIME trace in StepTraceContent[].</t>
        </is>
      </c>
      <c r="G15" s="61" t="inlineStr">
        <is>
          <t>Good</t>
        </is>
      </c>
      <c r="H15" s="61" t="inlineStr">
        <is>
          <t>Good</t>
        </is>
      </c>
      <c r="I15" s="61" t="n"/>
      <c r="J15" s="61" t="inlineStr">
        <is>
          <t>OPC 40450-1 Section 10 Table 222</t>
        </is>
      </c>
      <c r="K15" s="61" t="inlineStr">
        <is>
          <t>CU-22 requires StartTimeOffset and/or SamplingInterval per spec</t>
        </is>
      </c>
    </row>
    <row r="16">
      <c r="A16" s="67" t="inlineStr">
        <is>
          <t>y</t>
        </is>
      </c>
      <c r="B16" s="67" t="n">
        <v>7</v>
      </c>
      <c r="C16" s="67" t="n">
        <v>0</v>
      </c>
      <c r="D16" s="67" t="inlineStr">
        <is>
          <t>Verify TraceId in JoiningTraceDataType matches ResultId for linkage</t>
        </is>
      </c>
      <c r="E16" s="67" t="n"/>
      <c r="F16" s="67" t="n"/>
      <c r="G16" s="67" t="n"/>
      <c r="H16" s="67" t="n"/>
      <c r="I16" s="67" t="inlineStr">
        <is>
          <t>n</t>
        </is>
      </c>
      <c r="J16" s="67" t="inlineStr">
        <is>
          <t>OPC 40450-1 Section 10 Table 218</t>
        </is>
      </c>
      <c r="K16" s="67" t="n"/>
    </row>
    <row r="17" ht="38.7" customHeight="1" s="132">
      <c r="A17" s="61" t="n"/>
      <c r="B17" s="61" t="n"/>
      <c r="C17" s="61" t="n">
        <v>1</v>
      </c>
      <c r="D17" s="61" t="inlineStr">
        <is>
          <t>Compare JoiningTraceDataType.ResultId with the parent ResultDataType.ResultMetaData.ResultId.</t>
        </is>
      </c>
      <c r="E17" s="61" t="inlineStr">
        <is>
          <t>JoiningTraceDataType decoded from a result.</t>
        </is>
      </c>
      <c r="F17" s="61" t="inlineStr">
        <is>
          <t>ResultId in the trace matches the ResultMetaData.ResultId of the parent result. This provides a reliable cross-reference link between result and its trace.</t>
        </is>
      </c>
      <c r="G17" s="61" t="inlineStr">
        <is>
          <t>Good</t>
        </is>
      </c>
      <c r="H17" s="61" t="inlineStr">
        <is>
          <t>Good</t>
        </is>
      </c>
      <c r="I17" s="61" t="n"/>
      <c r="J17" s="61" t="inlineStr">
        <is>
          <t>OPC 40450-1 Section 10 Table 218</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Trace = NULL is handled when trace data is absent for a result</t>
        </is>
      </c>
      <c r="E19" s="69" t="n"/>
      <c r="F19" s="69" t="n"/>
      <c r="G19" s="69" t="n"/>
      <c r="H19" s="69" t="n"/>
      <c r="I19" s="69" t="inlineStr">
        <is>
          <t>n</t>
        </is>
      </c>
      <c r="J19" s="69" t="inlineStr">
        <is>
          <t>OPC 40450-1 Section 10 Table 210</t>
        </is>
      </c>
      <c r="K19" s="69" t="n"/>
    </row>
    <row r="20" ht="38.7" customHeight="1" s="132">
      <c r="A20" s="61" t="n"/>
      <c r="B20" s="61" t="n"/>
      <c r="C20" s="61" t="n">
        <v>1</v>
      </c>
      <c r="D20" s="61" t="inlineStr">
        <is>
          <t>Retrieve a result where JoiningResultDataType.Trace is null/absent. Verify server handles this gracefully.</t>
        </is>
      </c>
      <c r="E20" s="61" t="inlineStr">
        <is>
          <t>A result where the device is not configured to send trace data.</t>
        </is>
      </c>
      <c r="F20" s="61" t="inlineStr">
        <is>
          <t>Trace field is null or an empty ExtensionObject. Server returns Good. No service error for absent optional Trace field. Positive Trace-content checks require a different result where Trace is present.</t>
        </is>
      </c>
      <c r="G20" s="61" t="inlineStr">
        <is>
          <t>Good</t>
        </is>
      </c>
      <c r="H20" s="61" t="inlineStr">
        <is>
          <t>Good</t>
        </is>
      </c>
      <c r="I20" s="61" t="n"/>
      <c r="J20" s="61" t="inlineStr">
        <is>
          <t>OPC 40450-1 Section 10 Table 210 (Trace is Optional)</t>
        </is>
      </c>
      <c r="K20" s="61" t="inlineStr">
        <is>
          <t>Requires a result where optional Trace is absent.</t>
        </is>
      </c>
    </row>
    <row r="21">
      <c r="A21" s="69" t="inlineStr">
        <is>
          <t>n</t>
        </is>
      </c>
      <c r="B21" s="69" t="n">
        <v>2</v>
      </c>
      <c r="C21" s="69" t="n">
        <v>0</v>
      </c>
      <c r="D21" s="69" t="inlineStr">
        <is>
          <t>Verify StepTraceContent with mismatched Values[] length is not present</t>
        </is>
      </c>
      <c r="E21" s="69" t="n"/>
      <c r="F21" s="69" t="n"/>
      <c r="G21" s="69" t="n"/>
      <c r="H21" s="69" t="n"/>
      <c r="I21" s="69" t="inlineStr">
        <is>
          <t>n</t>
        </is>
      </c>
      <c r="J21" s="69" t="inlineStr">
        <is>
          <t>OPC 40450-1 Section 10 Table 222</t>
        </is>
      </c>
      <c r="K21" s="69" t="n"/>
    </row>
    <row r="22" ht="51.6" customHeight="1" s="132">
      <c r="A22" s="61" t="n"/>
      <c r="B22" s="61" t="n"/>
      <c r="C22" s="61" t="n">
        <v>1</v>
      </c>
      <c r="D22" s="61" t="inlineStr">
        <is>
          <t>Across 5 results with trace data, verify the array-length invariant: for each StepTrace, all TraceContentDataType.Values[] arrays have the same length.</t>
        </is>
      </c>
      <c r="E22" s="61" t="inlineStr">
        <is>
          <t>Five results with trace data available.</t>
        </is>
      </c>
      <c r="F22" s="61" t="inlineStr">
        <is>
          <t>In all 5 results, every StepTraceDataType has StepTraceContent[] entries where len(Values[]) == NumberOfTracePoints for every entry. No length mismatch is found. Conforming servers must maintain this invariant.</t>
        </is>
      </c>
      <c r="G22" s="61" t="inlineStr">
        <is>
          <t>Good</t>
        </is>
      </c>
      <c r="H22" s="61" t="inlineStr">
        <is>
          <t>Good</t>
        </is>
      </c>
      <c r="I22" s="61" t="n"/>
      <c r="J22" s="61" t="inlineStr">
        <is>
          <t>OPC 40450-1 Section 10 Table 222</t>
        </is>
      </c>
      <c r="K22" s="61" t="n"/>
    </row>
    <row r="23">
      <c r="A23" s="110" t="inlineStr">
        <is>
          <t>n</t>
        </is>
      </c>
      <c r="B23" s="110" t="n">
        <v>3</v>
      </c>
      <c r="C23" s="110" t="n">
        <v>0</v>
      </c>
      <c r="D23" s="110" t="inlineStr">
        <is>
          <t>Verify TraceId is non-empty in JoiningTraceDataType</t>
        </is>
      </c>
      <c r="E23" s="110" t="n"/>
      <c r="F23" s="110" t="n"/>
      <c r="G23" s="110" t="n"/>
      <c r="H23" s="110" t="n"/>
      <c r="I23" s="110" t="inlineStr">
        <is>
          <t>n</t>
        </is>
      </c>
      <c r="J23" s="110" t="inlineStr">
        <is>
          <t>OPC 40450-1 Section 11.1 CU-23</t>
        </is>
      </c>
      <c r="K23" s="110" t="n"/>
    </row>
    <row r="24" ht="25.8" customHeight="1" s="132">
      <c r="A24" s="111" t="n"/>
      <c r="B24" s="111" t="n"/>
      <c r="C24" s="111" t="n">
        <v>1</v>
      </c>
      <c r="D24" s="111" t="inlineStr">
        <is>
          <t>Read TraceId from Trace in JoiningResultDataType.</t>
        </is>
      </c>
      <c r="E24" s="111" t="inlineStr">
        <is>
          <t>Server claims this Conformance Unit; no additional runtime setup is needed for this step.</t>
        </is>
      </c>
      <c r="F24" s="111" t="inlineStr">
        <is>
          <t>TraceId is non-null, non-empty.</t>
        </is>
      </c>
      <c r="G24" s="111" t="inlineStr">
        <is>
          <t>Good</t>
        </is>
      </c>
      <c r="H24" s="111" t="n"/>
      <c r="I24" s="111" t="n"/>
      <c r="J24" s="111" t="inlineStr">
        <is>
          <t>OPC 40450-1 Section 11.1 CU-23</t>
        </is>
      </c>
      <c r="K24" s="111" t="inlineStr">
        <is>
          <t>Requirement source: OPC 40450-1 Section 10.8 - TraceId is Mandatory TrimmedString.</t>
        </is>
      </c>
    </row>
    <row r="25">
      <c r="A25" s="110" t="inlineStr">
        <is>
          <t>n</t>
        </is>
      </c>
      <c r="B25" s="110" t="n">
        <v>4</v>
      </c>
      <c r="C25" s="110" t="n">
        <v>0</v>
      </c>
      <c r="D25" s="110" t="inlineStr">
        <is>
          <t>Verify ResultId in Trace matches parent result ResultId</t>
        </is>
      </c>
      <c r="E25" s="110" t="n"/>
      <c r="F25" s="110" t="n"/>
      <c r="G25" s="110" t="n"/>
      <c r="H25" s="110" t="n"/>
      <c r="I25" s="110" t="inlineStr">
        <is>
          <t>n</t>
        </is>
      </c>
      <c r="J25" s="110" t="inlineStr">
        <is>
          <t>OPC 40450-1 Section 11.1 CU-23</t>
        </is>
      </c>
      <c r="K25" s="110" t="n"/>
    </row>
    <row r="26" ht="25.8" customHeight="1" s="132">
      <c r="A26" s="111" t="n"/>
      <c r="B26" s="111" t="n"/>
      <c r="C26" s="111" t="n">
        <v>1</v>
      </c>
      <c r="D26" s="111" t="inlineStr">
        <is>
          <t>Read Trace.ResultId. Compare with ResultMetaData.ResultId.</t>
        </is>
      </c>
      <c r="E26" s="111" t="inlineStr">
        <is>
          <t>Server claims this Conformance Unit; no additional runtime setup is needed for this step.</t>
        </is>
      </c>
      <c r="F26" s="111" t="inlineStr">
        <is>
          <t>Both ResultId values are identical.</t>
        </is>
      </c>
      <c r="G26" s="111" t="inlineStr">
        <is>
          <t>Good</t>
        </is>
      </c>
      <c r="H26" s="111" t="n"/>
      <c r="I26" s="111" t="n"/>
      <c r="J26" s="111" t="inlineStr">
        <is>
          <t>OPC 40450-1 Section 11.1 CU-23</t>
        </is>
      </c>
      <c r="K26" s="111" t="inlineStr">
        <is>
          <t>Requirement source: OPC 40450-1 Section 10.8 - Trace.ResultId must reference parent.</t>
        </is>
      </c>
    </row>
    <row r="27">
      <c r="A27" s="110" t="inlineStr">
        <is>
          <t>n</t>
        </is>
      </c>
      <c r="B27" s="110" t="n">
        <v>5</v>
      </c>
      <c r="C27" s="110" t="n">
        <v>0</v>
      </c>
      <c r="D27" s="110" t="inlineStr">
        <is>
          <t>Verify NumberOfTracePoints matches Values array length</t>
        </is>
      </c>
      <c r="E27" s="110" t="n"/>
      <c r="F27" s="110" t="n"/>
      <c r="G27" s="110" t="n"/>
      <c r="H27" s="110" t="n"/>
      <c r="I27" s="110" t="inlineStr">
        <is>
          <t>n</t>
        </is>
      </c>
      <c r="J27" s="110" t="inlineStr">
        <is>
          <t>OPC 40450-1 Section 11.1 CU-23</t>
        </is>
      </c>
      <c r="K27" s="110" t="n"/>
    </row>
    <row r="28" ht="25.8" customHeight="1" s="132">
      <c r="A28" s="111" t="n"/>
      <c r="B28" s="111" t="n"/>
      <c r="C28" s="111" t="n">
        <v>1</v>
      </c>
      <c r="D28" s="111" t="inlineStr">
        <is>
          <t>For each StepTraceContent, read NumberOfTracePoints and count Values.</t>
        </is>
      </c>
      <c r="E28" s="111" t="inlineStr">
        <is>
          <t>Server claims this Conformance Unit; no additional runtime setup is needed for this step.</t>
        </is>
      </c>
      <c r="F28" s="111" t="inlineStr">
        <is>
          <t>len(Values) == NumberOfTracePoints for each StepTraceContent.</t>
        </is>
      </c>
      <c r="G28" s="111" t="inlineStr">
        <is>
          <t>Good</t>
        </is>
      </c>
      <c r="H28" s="111" t="n"/>
      <c r="I28" s="111" t="n"/>
      <c r="J28" s="111" t="inlineStr">
        <is>
          <t>OPC 40450-1 Section 11.1 CU-23</t>
        </is>
      </c>
      <c r="K28" s="111" t="inlineStr">
        <is>
          <t>Requirement source: OPC 40450-1 Section 10.8 - NumberOfTracePoints declares array size.</t>
        </is>
      </c>
    </row>
  </sheetData>
  <mergeCells count="2">
    <mergeCell ref="A1:K1"/>
    <mergeCell ref="C2:J2"/>
  </mergeCells>
  <pageMargins left="0.7" right="0.7" top="0.75" bottom="0.75" header="0.3" footer="0.3"/>
</worksheet>
</file>

<file path=xl/worksheets/sheet30.xml><?xml version="1.0" encoding="utf-8"?>
<worksheet xmlns="http://schemas.openxmlformats.org/spreadsheetml/2006/main">
  <sheetPr codeName="Sheet2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CU-24: IJT Result Value Trace Point Time Offset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CU-24 — IJT Result Value Trace Point Time Offset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TracePointTimeOffset populated</t>
        </is>
      </c>
      <c r="E4" s="58" t="n"/>
      <c r="F4" s="58" t="n"/>
      <c r="G4" s="58" t="n"/>
      <c r="H4" s="58" t="n"/>
      <c r="I4" s="58" t="inlineStr">
        <is>
          <t>n</t>
        </is>
      </c>
      <c r="J4" s="58" t="inlineStr">
        <is>
          <t>OPC 40450-1 Section 11 (CU-23)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and Trace. Inspect StepResultValues[] entries where TracePointIndex is absent.</t>
        </is>
      </c>
      <c r="E5" s="61" t="inlineStr">
        <is>
          <t>A result with StepResults[], StepResultValues[] and Trace data available (CU-22 supported).</t>
        </is>
      </c>
      <c r="F5" s="61" t="inlineStr">
        <is>
          <t>At least one ResultValueDataType in StepResultValues[] has TracePointTimeOffset (Duration) populated. TracePointTimeOffset is the offset from ProcessingTimes.StartTime to the corresponding trace sample. Value is &gt;= 0.</t>
        </is>
      </c>
      <c r="G5" s="61" t="inlineStr">
        <is>
          <t>Good</t>
        </is>
      </c>
      <c r="H5" s="61" t="inlineStr">
        <is>
          <t>Good</t>
        </is>
      </c>
      <c r="I5" s="61" t="n"/>
      <c r="J5" s="61" t="inlineStr">
        <is>
          <t>OPC 40450-1 Section 10 Table 212 / Section 11 (CU-23)</t>
        </is>
      </c>
      <c r="K5" s="62" t="inlineStr">
        <is>
          <t>CU-23 requires TracePointTimeOffset when TracePointIndex is absent.</t>
        </is>
      </c>
    </row>
    <row r="6" ht="25.8" customHeight="1" s="132">
      <c r="A6" s="70" t="inlineStr">
        <is>
          <t>y</t>
        </is>
      </c>
      <c r="B6" s="71" t="n">
        <v>2</v>
      </c>
      <c r="C6" s="72" t="n">
        <v>0</v>
      </c>
      <c r="D6" s="72" t="inlineStr">
        <is>
          <t>Verify TracePointTimeOffset is present in StepResultValues when TracePointIndex is absent</t>
        </is>
      </c>
      <c r="E6" s="72" t="n"/>
      <c r="F6" s="72" t="n"/>
      <c r="G6" s="72" t="n"/>
      <c r="H6" s="72" t="n"/>
      <c r="I6" s="72" t="inlineStr">
        <is>
          <t>n</t>
        </is>
      </c>
      <c r="J6" s="72" t="inlineStr">
        <is>
          <t>OPC 40450-1 Section 11 (CU-23)</t>
        </is>
      </c>
      <c r="K6" s="73" t="n"/>
    </row>
    <row r="7" ht="64.5" customHeight="1" s="132">
      <c r="A7" s="61" t="n"/>
      <c r="B7" s="61" t="n"/>
      <c r="C7" s="61" t="n">
        <v>1</v>
      </c>
      <c r="D7" s="61" t="inlineStr">
        <is>
          <t>For each StepResultValues[] entry that has a corresponding trace reference: check if TracePointIndex is present. If TracePointIndex is null/absent, verify TracePointTimeOffset is populated.</t>
        </is>
      </c>
      <c r="E7" s="61" t="inlineStr">
        <is>
          <t>StepResultValues[] with trace-linked result values.</t>
        </is>
      </c>
      <c r="F7" s="61" t="inlineStr">
        <is>
          <t>For every ResultValueDataType where TracePointIndex is absent/null, TracePointTimeOffset is non-null. The two fields are mutually informative: at least one of {TracePointIndex, TracePointTimeOffset} must be present for a trace-linked value per CU-23.</t>
        </is>
      </c>
      <c r="G7" s="61" t="inlineStr">
        <is>
          <t>Good</t>
        </is>
      </c>
      <c r="H7" s="61" t="inlineStr">
        <is>
          <t>Good</t>
        </is>
      </c>
      <c r="I7" s="61" t="n"/>
      <c r="J7" s="61" t="inlineStr">
        <is>
          <t>OPC 40450-1 Section 11 (CU-23)</t>
        </is>
      </c>
      <c r="K7" s="61" t="n"/>
    </row>
    <row r="8">
      <c r="A8" s="67" t="inlineStr">
        <is>
          <t>y</t>
        </is>
      </c>
      <c r="B8" s="67" t="n">
        <v>3</v>
      </c>
      <c r="C8" s="67" t="n">
        <v>0</v>
      </c>
      <c r="D8" s="67" t="inlineStr">
        <is>
          <t>Verify TracePointTimeOffset value is within the trace time window</t>
        </is>
      </c>
      <c r="E8" s="67" t="n"/>
      <c r="F8" s="67" t="n"/>
      <c r="G8" s="67" t="n"/>
      <c r="H8" s="67" t="n"/>
      <c r="I8" s="67" t="inlineStr">
        <is>
          <t>n</t>
        </is>
      </c>
      <c r="J8" s="67" t="inlineStr">
        <is>
          <t>OPC 40450-1 Section 10 Table 212</t>
        </is>
      </c>
      <c r="K8" s="67" t="n"/>
    </row>
    <row r="9" ht="64.5" customHeight="1" s="132">
      <c r="A9" s="61" t="n"/>
      <c r="B9" s="61" t="n"/>
      <c r="C9" s="61" t="n">
        <v>1</v>
      </c>
      <c r="D9" s="61" t="inlineStr">
        <is>
          <t>For a StepResult with TracePointTimeOffset and its corresponding StepTrace: compare TracePointTimeOffset with the effective trace time window (StartTimeOffset to StartTimeOffset + NumberOfTracePoints * SamplingInterval).</t>
        </is>
      </c>
      <c r="E9" s="61" t="inlineStr">
        <is>
          <t>StepResultValues entry with TracePointTimeOffset and linked StepTrace with SamplingInterval available.</t>
        </is>
      </c>
      <c r="F9" s="61" t="inlineStr">
        <is>
          <t>TracePointTimeOffset falls within the trace time window. Specifically: TracePointTimeOffset &gt;= StepTrace.StartTimeOffset and &lt;= StartTimeOffset + (NumberOfTracePoints-1) * SamplingInterval (or interpolated). This validates the trace reference is logically consistent.</t>
        </is>
      </c>
      <c r="G9" s="61" t="inlineStr">
        <is>
          <t>Good</t>
        </is>
      </c>
      <c r="H9" s="61" t="inlineStr">
        <is>
          <t>Good</t>
        </is>
      </c>
      <c r="I9" s="61" t="n"/>
      <c r="J9" s="61" t="inlineStr">
        <is>
          <t>OPC 40450-1 Section 10 Table 212 / Table 222</t>
        </is>
      </c>
      <c r="K9" s="61" t="inlineStr">
        <is>
          <t>TracePointTimeOffset may not exactly match a sample; interpolation is allowed per spec</t>
        </is>
      </c>
    </row>
    <row r="10" ht="25.8" customHeight="1" s="132">
      <c r="A10" s="67" t="inlineStr">
        <is>
          <t>y</t>
        </is>
      </c>
      <c r="B10" s="67" t="n">
        <v>4</v>
      </c>
      <c r="C10" s="67" t="n">
        <v>0</v>
      </c>
      <c r="D10" s="67" t="inlineStr">
        <is>
          <t>Verify TracePointTimeOffset DataType is Duration (Double, in milliseconds)</t>
        </is>
      </c>
      <c r="E10" s="67" t="n"/>
      <c r="F10" s="67" t="n"/>
      <c r="G10" s="67" t="n"/>
      <c r="H10" s="67" t="n"/>
      <c r="I10" s="67" t="inlineStr">
        <is>
          <t>n</t>
        </is>
      </c>
      <c r="J10" s="67" t="inlineStr">
        <is>
          <t>OPC 40450-1 Section 10 Table 212</t>
        </is>
      </c>
      <c r="K10" s="67" t="n"/>
    </row>
    <row r="11" ht="38.7" customHeight="1" s="132">
      <c r="A11" s="61" t="n"/>
      <c r="B11" s="61" t="n"/>
      <c r="C11" s="61" t="n">
        <v>1</v>
      </c>
      <c r="D11" s="61" t="inlineStr">
        <is>
          <t>Read TracePointTimeOffset from 3 ResultValueDataType entries.</t>
        </is>
      </c>
      <c r="E11" s="61" t="inlineStr">
        <is>
          <t>At least 3 StepResultValues entries with TracePointTimeOffset populated.</t>
        </is>
      </c>
      <c r="F11" s="61" t="inlineStr">
        <is>
          <t>TracePointTimeOffset is encoded as Duration (OPC UA built-in type, Double in milliseconds, &gt;= 0). All values are positive and reasonable (e.g. within 0–60000 ms for typical joining operations).</t>
        </is>
      </c>
      <c r="G11" s="61" t="inlineStr">
        <is>
          <t>Good</t>
        </is>
      </c>
      <c r="H11" s="61" t="inlineStr">
        <is>
          <t>Good</t>
        </is>
      </c>
      <c r="I11" s="61" t="n"/>
      <c r="J11" s="61" t="inlineStr">
        <is>
          <t>OPC 40450-1 Section 10 Table 212</t>
        </is>
      </c>
      <c r="K11" s="61" t="n"/>
    </row>
    <row r="12">
      <c r="A12" s="67" t="inlineStr">
        <is>
          <t>y</t>
        </is>
      </c>
      <c r="B12" s="67" t="n">
        <v>5</v>
      </c>
      <c r="C12" s="67" t="n">
        <v>0</v>
      </c>
      <c r="D12" s="67" t="inlineStr">
        <is>
          <t>Verify OverallResultValues entries may also use TracePointTimeOffset</t>
        </is>
      </c>
      <c r="E12" s="67" t="n"/>
      <c r="F12" s="67" t="n"/>
      <c r="G12" s="67" t="n"/>
      <c r="H12" s="67" t="n"/>
      <c r="I12" s="67" t="inlineStr">
        <is>
          <t>n</t>
        </is>
      </c>
      <c r="J12" s="67" t="inlineStr">
        <is>
          <t>OPC 40450-1 Section 10 Table 212</t>
        </is>
      </c>
      <c r="K12" s="67" t="n"/>
    </row>
    <row r="13" ht="51.6" customHeight="1" s="132">
      <c r="A13" s="61" t="n"/>
      <c r="B13" s="61" t="n"/>
      <c r="C13" s="61" t="n">
        <v>1</v>
      </c>
      <c r="D13" s="61" t="inlineStr">
        <is>
          <t>Inspect OverallResultValues[] entries for TracePointTimeOffset when Trace data is present.</t>
        </is>
      </c>
      <c r="E13" s="61" t="inlineStr">
        <is>
          <t>A result with both OverallResultValues[] and Trace data.</t>
        </is>
      </c>
      <c r="F13" s="61" t="inlineStr">
        <is>
          <t>TracePointTimeOffset may be populated in OverallResultValues[] entries (same field defined in ResultValueDataType). If present, value is a valid Duration. Server handles both step-level and overall-level trace references.</t>
        </is>
      </c>
      <c r="G13" s="61" t="inlineStr">
        <is>
          <t>Good</t>
        </is>
      </c>
      <c r="H13" s="61" t="inlineStr">
        <is>
          <t>Good</t>
        </is>
      </c>
      <c r="I13" s="61" t="n"/>
      <c r="J13" s="61" t="inlineStr">
        <is>
          <t>OPC 40450-1 Section 10 Table 212</t>
        </is>
      </c>
      <c r="K13" s="61" t="inlineStr">
        <is>
          <t>ResultValueDataType is used for both OverallResultValues and StepResultValues</t>
        </is>
      </c>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result without trace data has null TracePointTimeOffset (no dangling reference)</t>
        </is>
      </c>
      <c r="E15" s="69" t="n"/>
      <c r="F15" s="69" t="n"/>
      <c r="G15" s="69" t="n"/>
      <c r="H15" s="69" t="n"/>
      <c r="I15" s="69" t="inlineStr">
        <is>
          <t>n</t>
        </is>
      </c>
      <c r="J15" s="69" t="inlineStr">
        <is>
          <t>OPC 40450-1 Section 10 Table 212</t>
        </is>
      </c>
      <c r="K15" s="69" t="n"/>
    </row>
    <row r="16" ht="38.7" customHeight="1" s="132">
      <c r="A16" s="61" t="n"/>
      <c r="B16" s="61" t="n"/>
      <c r="C16" s="61" t="n">
        <v>1</v>
      </c>
      <c r="D16" s="61" t="inlineStr">
        <is>
          <t>Retrieve a result where Trace is null/absent. Inspect TracePointTimeOffset in StepResultValues[].</t>
        </is>
      </c>
      <c r="E16" s="61" t="inlineStr">
        <is>
          <t>A result without trace data (CU-22 not active or trace not generated).</t>
        </is>
      </c>
      <c r="F16" s="61" t="inlineStr">
        <is>
          <t>TracePointTimeOffset is null/absent in all ResultValueDataType entries for this result. A dangling trace reference (non-null offset with no trace) must not be present.</t>
        </is>
      </c>
      <c r="G16" s="61" t="inlineStr">
        <is>
          <t>Good</t>
        </is>
      </c>
      <c r="H16" s="61" t="inlineStr">
        <is>
          <t>Good</t>
        </is>
      </c>
      <c r="I16" s="61" t="n"/>
      <c r="J16" s="61" t="inlineStr">
        <is>
          <t>OPC 40450-1 Section 10 Table 212</t>
        </is>
      </c>
      <c r="K16" s="61" t="n"/>
    </row>
    <row r="17">
      <c r="A17" s="69" t="inlineStr">
        <is>
          <t>n</t>
        </is>
      </c>
      <c r="B17" s="69" t="n">
        <v>2</v>
      </c>
      <c r="C17" s="69" t="n">
        <v>0</v>
      </c>
      <c r="D17" s="69" t="inlineStr">
        <is>
          <t>Verify negative TracePointTimeOffset is not present in any result</t>
        </is>
      </c>
      <c r="E17" s="69" t="n"/>
      <c r="F17" s="69" t="n"/>
      <c r="G17" s="69" t="n"/>
      <c r="H17" s="69" t="n"/>
      <c r="I17" s="69" t="inlineStr">
        <is>
          <t>n</t>
        </is>
      </c>
      <c r="J17" s="69" t="inlineStr">
        <is>
          <t>OPC 40450-1 Section 10 Table 212</t>
        </is>
      </c>
      <c r="K17" s="69" t="n"/>
    </row>
    <row r="18" ht="25.8" customHeight="1" s="132">
      <c r="A18" s="61" t="n"/>
      <c r="B18" s="61" t="n"/>
      <c r="C18" s="61" t="n">
        <v>1</v>
      </c>
      <c r="D18" s="61" t="inlineStr">
        <is>
          <t>Scan TracePointTimeOffset values across 5 results with trace data.</t>
        </is>
      </c>
      <c r="E18" s="61" t="inlineStr">
        <is>
          <t>Five results with StepResultValues[] containing TracePointTimeOffset.</t>
        </is>
      </c>
      <c r="F18" s="61" t="inlineStr">
        <is>
          <t>No TracePointTimeOffset value is negative. Duration is always &gt;= 0 per OPC UA Duration type semantics.</t>
        </is>
      </c>
      <c r="G18" s="61" t="inlineStr">
        <is>
          <t>Good</t>
        </is>
      </c>
      <c r="H18" s="61" t="inlineStr">
        <is>
          <t>Good</t>
        </is>
      </c>
      <c r="I18" s="61" t="n"/>
      <c r="J18" s="61" t="inlineStr">
        <is>
          <t>OPC 40450-1 Section 10 Table 212</t>
        </is>
      </c>
      <c r="K18" s="61" t="n"/>
    </row>
    <row r="19">
      <c r="A19" s="110" t="inlineStr">
        <is>
          <t>n</t>
        </is>
      </c>
      <c r="B19" s="110" t="n">
        <v>3</v>
      </c>
      <c r="C19" s="110" t="n">
        <v>0</v>
      </c>
      <c r="D19" s="110" t="inlineStr">
        <is>
          <t>Verify TracePointTimeOffset &gt;= 0 (non-negative duration)</t>
        </is>
      </c>
      <c r="E19" s="110" t="n"/>
      <c r="F19" s="110" t="n"/>
      <c r="G19" s="110" t="n"/>
      <c r="H19" s="110" t="n"/>
      <c r="I19" s="110" t="inlineStr">
        <is>
          <t>n</t>
        </is>
      </c>
      <c r="J19" s="110" t="inlineStr">
        <is>
          <t>OPC 40450-1 Section 11.1 CU-24</t>
        </is>
      </c>
      <c r="K19" s="110" t="n"/>
    </row>
    <row r="20" ht="25.8" customHeight="1" s="132">
      <c r="A20" s="111" t="n"/>
      <c r="B20" s="111" t="n"/>
      <c r="C20" s="111" t="n">
        <v>1</v>
      </c>
      <c r="D20" s="111" t="inlineStr">
        <is>
          <t>Read TracePointTimeOffset from StepResultValues.</t>
        </is>
      </c>
      <c r="E20" s="111" t="inlineStr">
        <is>
          <t>Server claims this Conformance Unit; no additional runtime setup is needed for this step.</t>
        </is>
      </c>
      <c r="F20" s="111" t="inlineStr">
        <is>
          <t>TracePointTimeOffset &gt;= 0 for all entries.</t>
        </is>
      </c>
      <c r="G20" s="111" t="inlineStr">
        <is>
          <t>Good</t>
        </is>
      </c>
      <c r="H20" s="111" t="n"/>
      <c r="I20" s="111" t="n"/>
      <c r="J20" s="111" t="inlineStr">
        <is>
          <t>OPC 40450-1 Section 11.1 CU-24</t>
        </is>
      </c>
      <c r="K20" s="111" t="inlineStr">
        <is>
          <t>Requirement source: OPC 40450-1 Section 10.8 - TimeOffset is Duration (non-negative ms).</t>
        </is>
      </c>
    </row>
    <row r="21">
      <c r="A21" s="110" t="inlineStr">
        <is>
          <t>n</t>
        </is>
      </c>
      <c r="B21" s="110" t="n">
        <v>4</v>
      </c>
      <c r="C21" s="110" t="n">
        <v>0</v>
      </c>
      <c r="D21" s="110" t="inlineStr">
        <is>
          <t>Verify TracePointTimeOffset &lt;= total step duration</t>
        </is>
      </c>
      <c r="E21" s="110" t="n"/>
      <c r="F21" s="110" t="n"/>
      <c r="G21" s="110" t="n"/>
      <c r="H21" s="110" t="n"/>
      <c r="I21" s="110" t="inlineStr">
        <is>
          <t>n</t>
        </is>
      </c>
      <c r="J21" s="110" t="inlineStr">
        <is>
          <t>OPC 40450-1 Section 11.1 CU-24</t>
        </is>
      </c>
      <c r="K21" s="110" t="n"/>
    </row>
    <row r="22" ht="25.8" customHeight="1" s="132">
      <c r="A22" s="111" t="n"/>
      <c r="B22" s="111" t="n"/>
      <c r="C22" s="111" t="n">
        <v>1</v>
      </c>
      <c r="D22" s="111" t="inlineStr">
        <is>
          <t>Read TracePointTimeOffset; compare with step EndTime-StartTime.</t>
        </is>
      </c>
      <c r="E22" s="111" t="inlineStr">
        <is>
          <t>Server claims this Conformance Unit; no additional runtime setup is needed for this step.</t>
        </is>
      </c>
      <c r="F22" s="111" t="inlineStr">
        <is>
          <t>TracePointTimeOffset &lt;= (step EndTime-StartTime) in ms.</t>
        </is>
      </c>
      <c r="G22" s="111" t="inlineStr">
        <is>
          <t>Good</t>
        </is>
      </c>
      <c r="H22" s="111" t="n"/>
      <c r="I22" s="111" t="n"/>
      <c r="J22" s="111" t="inlineStr">
        <is>
          <t>OPC 40450-1 Section 11.1 CU-24</t>
        </is>
      </c>
      <c r="K22" s="111" t="inlineStr">
        <is>
          <t>Requirement source: OPC 40450-1 Section 10.8 - Offset cannot exceed step duration.</t>
        </is>
      </c>
    </row>
    <row r="23">
      <c r="A23" s="110" t="inlineStr">
        <is>
          <t>n</t>
        </is>
      </c>
      <c r="B23" s="110" t="n">
        <v>5</v>
      </c>
      <c r="C23" s="110" t="n">
        <v>0</v>
      </c>
      <c r="D23" s="110" t="inlineStr">
        <is>
          <t>Verify TracePointTimeOffset and TracePointIndex mutual exclusivity</t>
        </is>
      </c>
      <c r="E23" s="110" t="n"/>
      <c r="F23" s="110" t="n"/>
      <c r="G23" s="110" t="n"/>
      <c r="H23" s="110" t="n"/>
      <c r="I23" s="110" t="inlineStr">
        <is>
          <t>n</t>
        </is>
      </c>
      <c r="J23" s="110" t="inlineStr">
        <is>
          <t>OPC 40450-1 Section 11.1 CU-24</t>
        </is>
      </c>
      <c r="K23" s="110" t="n"/>
    </row>
    <row r="24" ht="25.8" customHeight="1" s="132">
      <c r="A24" s="111" t="n"/>
      <c r="B24" s="111" t="n"/>
      <c r="C24" s="111" t="n">
        <v>1</v>
      </c>
      <c r="D24" s="111" t="inlineStr">
        <is>
          <t>Check CU profile; verify only TimeOffset or TracePointIndex is actively used.</t>
        </is>
      </c>
      <c r="E24" s="111" t="inlineStr">
        <is>
          <t>Server claims this Conformance Unit; no additional runtime setup is needed for this step.</t>
        </is>
      </c>
      <c r="F24" s="111" t="inlineStr">
        <is>
          <t>Only one is actively used per CU profile.</t>
        </is>
      </c>
      <c r="G24" s="111" t="inlineStr">
        <is>
          <t>Good</t>
        </is>
      </c>
      <c r="H24" s="111" t="n"/>
      <c r="I24" s="111" t="n"/>
      <c r="J24" s="111" t="inlineStr">
        <is>
          <t>OPC 40450-1 Section 11.1 CU-24</t>
        </is>
      </c>
      <c r="K24" s="111" t="inlineStr">
        <is>
          <t>Requirement source: OPC 40450-1 Section 10.8 - CU-23 uses TimeOffset; CU-24 uses TracePointIndex.</t>
        </is>
      </c>
    </row>
  </sheetData>
  <mergeCells count="2">
    <mergeCell ref="A1:K1"/>
    <mergeCell ref="C2:J2"/>
  </mergeCells>
  <pageMargins left="0.7" right="0.7" top="0.75" bottom="0.75" header="0.3" footer="0.3"/>
</worksheet>
</file>

<file path=xl/worksheets/sheet31.xml><?xml version="1.0" encoding="utf-8"?>
<worksheet xmlns="http://schemas.openxmlformats.org/spreadsheetml/2006/main">
  <sheetPr codeName="Sheet26">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CU-25: IJT Result Value Trace Point Index</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CU-25 — IJT Result Value Trace Point Index</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TracePointIndex populated</t>
        </is>
      </c>
      <c r="E4" s="58" t="n"/>
      <c r="F4" s="58" t="n"/>
      <c r="G4" s="58" t="n"/>
      <c r="H4" s="58" t="n"/>
      <c r="I4" s="58" t="inlineStr">
        <is>
          <t>n</t>
        </is>
      </c>
      <c r="J4" s="58" t="inlineStr">
        <is>
          <t>OPC 40450-1 Section 11 (CU-24)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StepResultValues[] and Trace data. Inspect TracePointIndex in StepResultValues[] entries.</t>
        </is>
      </c>
      <c r="E5" s="61" t="inlineStr">
        <is>
          <t>A result with StepResults[] and Trace data (CU-22 supported). Device provides trace point indexing.</t>
        </is>
      </c>
      <c r="F5" s="61" t="inlineStr">
        <is>
          <t>At least one ResultValueDataType in StepResultValues[] has TracePointIndex (Int32) populated. TracePointIndex is a 0-based index into the associated StepTrace.StepTraceContent[?].Values[] array.</t>
        </is>
      </c>
      <c r="G5" s="61" t="inlineStr">
        <is>
          <t>Good</t>
        </is>
      </c>
      <c r="H5" s="61" t="inlineStr">
        <is>
          <t>Good</t>
        </is>
      </c>
      <c r="I5" s="61" t="n"/>
      <c r="J5" s="61" t="inlineStr">
        <is>
          <t>OPC 40450-1 Section 10 Table 212 / Section 11 (CU-24)</t>
        </is>
      </c>
      <c r="K5" s="62" t="n"/>
    </row>
    <row r="6" ht="25.8" customHeight="1" s="132">
      <c r="A6" s="70" t="inlineStr">
        <is>
          <t>y</t>
        </is>
      </c>
      <c r="B6" s="71" t="n">
        <v>2</v>
      </c>
      <c r="C6" s="72" t="n">
        <v>0</v>
      </c>
      <c r="D6" s="72" t="inlineStr">
        <is>
          <t>Verify TracePointIndex is within valid bounds of StepTraceContent Values[] array</t>
        </is>
      </c>
      <c r="E6" s="72" t="n"/>
      <c r="F6" s="72" t="n"/>
      <c r="G6" s="72" t="n"/>
      <c r="H6" s="72" t="n"/>
      <c r="I6" s="72" t="inlineStr">
        <is>
          <t>n</t>
        </is>
      </c>
      <c r="J6" s="72" t="inlineStr">
        <is>
          <t>OPC 40450-1 Section 10 Table 212 / Table 222</t>
        </is>
      </c>
      <c r="K6" s="73" t="n"/>
    </row>
    <row r="7" ht="51.6" customHeight="1" s="132">
      <c r="A7" s="61" t="n"/>
      <c r="B7" s="61" t="n"/>
      <c r="C7" s="61" t="n">
        <v>1</v>
      </c>
      <c r="D7" s="61" t="inlineStr">
        <is>
          <t>For each ResultValueDataType entry with TracePointIndex, locate the corresponding StepTrace via StepTraceId. Check: 0 &lt;= TracePointIndex &lt; NumberOfTracePoints.</t>
        </is>
      </c>
      <c r="E7" s="61" t="inlineStr">
        <is>
          <t>StepResultValues[] with TracePointIndex entries and corresponding StepTrace available.</t>
        </is>
      </c>
      <c r="F7" s="61" t="inlineStr">
        <is>
          <t>TracePointIndex &gt;= 0 and &lt; NumberOfTracePoints for all entries. No out-of-bounds index is present. The value at StepTraceContent[?].Values[TracePointIndex] exists and can be accessed.</t>
        </is>
      </c>
      <c r="G7" s="61" t="inlineStr">
        <is>
          <t>Good</t>
        </is>
      </c>
      <c r="H7" s="61" t="inlineStr">
        <is>
          <t>Good</t>
        </is>
      </c>
      <c r="I7" s="61" t="n"/>
      <c r="J7" s="61" t="inlineStr">
        <is>
          <t>OPC 40450-1 Section 10 Table 212 / Table 222</t>
        </is>
      </c>
      <c r="K7" s="61" t="n"/>
    </row>
    <row r="8" ht="25.8" customHeight="1" s="132">
      <c r="A8" s="67" t="inlineStr">
        <is>
          <t>y</t>
        </is>
      </c>
      <c r="B8" s="67" t="n">
        <v>3</v>
      </c>
      <c r="C8" s="67" t="n">
        <v>0</v>
      </c>
      <c r="D8" s="67" t="inlineStr">
        <is>
          <t>Verify indexed value in StepTraceContent matches MeasuredValue in StepResultValues</t>
        </is>
      </c>
      <c r="E8" s="67" t="n"/>
      <c r="F8" s="67" t="n"/>
      <c r="G8" s="67" t="n"/>
      <c r="H8" s="67" t="n"/>
      <c r="I8" s="67" t="inlineStr">
        <is>
          <t>n</t>
        </is>
      </c>
      <c r="J8" s="67" t="inlineStr">
        <is>
          <t>OPC 40450-1 Section 11 (CU-24)</t>
        </is>
      </c>
      <c r="K8" s="67" t="n"/>
    </row>
    <row r="9" ht="51.6" customHeight="1" s="132">
      <c r="A9" s="61" t="n"/>
      <c r="B9" s="61" t="n"/>
      <c r="C9" s="61" t="n">
        <v>1</v>
      </c>
      <c r="D9" s="61" t="inlineStr">
        <is>
          <t>For a ResultValueDataType with TracePointIndex and non-null PhysicalQuantity: find the TraceContentDataType in StepTraceContent[] with the same PhysicalQuantity. Verify Values[TracePointIndex] == MeasuredValue.</t>
        </is>
      </c>
      <c r="E9" s="61" t="inlineStr">
        <is>
          <t>StepResultValues entry with TracePointIndex. Corresponding StepTrace with matching PhysicalQuantity TraceContent.</t>
        </is>
      </c>
      <c r="F9" s="61" t="inlineStr">
        <is>
          <t>Values[TracePointIndex] in the TraceContentDataType equals MeasuredValue in the ResultValueDataType (within Double floating-point precision, tolerance &lt; 0.001%). This validates the index correctly cross-references the trace sample.</t>
        </is>
      </c>
      <c r="G9" s="61" t="inlineStr">
        <is>
          <t>Good</t>
        </is>
      </c>
      <c r="H9" s="61" t="inlineStr">
        <is>
          <t>Good</t>
        </is>
      </c>
      <c r="I9" s="61" t="n"/>
      <c r="J9" s="61" t="inlineStr">
        <is>
          <t>OPC 40450-1 Section 11 (CU-24)</t>
        </is>
      </c>
      <c r="K9" s="61" t="inlineStr">
        <is>
          <t>CU-24 is specifically about the index pointing to the right trace sample</t>
        </is>
      </c>
    </row>
    <row r="10">
      <c r="A10" s="67" t="inlineStr">
        <is>
          <t>y</t>
        </is>
      </c>
      <c r="B10" s="67" t="n">
        <v>4</v>
      </c>
      <c r="C10" s="67" t="n">
        <v>0</v>
      </c>
      <c r="D10" s="67" t="inlineStr">
        <is>
          <t>Verify TracePointIndex DataType is Int32</t>
        </is>
      </c>
      <c r="E10" s="67" t="n"/>
      <c r="F10" s="67" t="n"/>
      <c r="G10" s="67" t="n"/>
      <c r="H10" s="67" t="n"/>
      <c r="I10" s="67" t="inlineStr">
        <is>
          <t>n</t>
        </is>
      </c>
      <c r="J10" s="67" t="inlineStr">
        <is>
          <t>OPC 40450-1 Section 10 Table 212</t>
        </is>
      </c>
      <c r="K10" s="67" t="n"/>
    </row>
    <row r="11" ht="25.8" customHeight="1" s="132">
      <c r="A11" s="61" t="n"/>
      <c r="B11" s="61" t="n"/>
      <c r="C11" s="61" t="n">
        <v>1</v>
      </c>
      <c r="D11" s="61" t="inlineStr">
        <is>
          <t>Read TracePointIndex from 3 ResultValueDataType entries.</t>
        </is>
      </c>
      <c r="E11" s="61" t="inlineStr">
        <is>
          <t>StepResultValues entries with TracePointIndex populated.</t>
        </is>
      </c>
      <c r="F11" s="61" t="inlineStr">
        <is>
          <t>TracePointIndex is Int32 (signed 32-bit integer). All values are non-negative (0-based index). DataType conformance confirmed.</t>
        </is>
      </c>
      <c r="G11" s="61" t="inlineStr">
        <is>
          <t>Good</t>
        </is>
      </c>
      <c r="H11" s="61" t="inlineStr">
        <is>
          <t>Good</t>
        </is>
      </c>
      <c r="I11" s="61" t="n"/>
      <c r="J11" s="61" t="inlineStr">
        <is>
          <t>OPC 40450-1 Section 10 Table 212</t>
        </is>
      </c>
      <c r="K11" s="61" t="n"/>
    </row>
    <row r="12" ht="25.8" customHeight="1" s="132">
      <c r="A12" s="67" t="inlineStr">
        <is>
          <t>y</t>
        </is>
      </c>
      <c r="B12" s="67" t="n">
        <v>5</v>
      </c>
      <c r="C12" s="67" t="n">
        <v>0</v>
      </c>
      <c r="D12" s="67" t="inlineStr">
        <is>
          <t>Verify OverallResultValues entries may also reference trace points via TracePointIndex</t>
        </is>
      </c>
      <c r="E12" s="67" t="n"/>
      <c r="F12" s="67" t="n"/>
      <c r="G12" s="67" t="n"/>
      <c r="H12" s="67" t="n"/>
      <c r="I12" s="67" t="inlineStr">
        <is>
          <t>n</t>
        </is>
      </c>
      <c r="J12" s="67" t="inlineStr">
        <is>
          <t>OPC 40450-1 Section 10 Table 212</t>
        </is>
      </c>
      <c r="K12" s="67" t="n"/>
    </row>
    <row r="13" ht="51.6" customHeight="1" s="132">
      <c r="A13" s="61" t="n"/>
      <c r="B13" s="61" t="n"/>
      <c r="C13" s="61" t="n">
        <v>1</v>
      </c>
      <c r="D13" s="61" t="inlineStr">
        <is>
          <t>Inspect OverallResultValues[] entries for TracePointIndex when Trace data is present.</t>
        </is>
      </c>
      <c r="E13" s="61" t="inlineStr">
        <is>
          <t>A result with OverallResultValues[] and Trace data.</t>
        </is>
      </c>
      <c r="F13" s="61" t="inlineStr">
        <is>
          <t>TracePointIndex may be populated in OverallResultValues entries. If present, the index is valid (0-based, within bounds of the referenced trace array). ResultValueDataType is shared by both OverallResultValues and StepResultValues.</t>
        </is>
      </c>
      <c r="G13" s="61" t="inlineStr">
        <is>
          <t>Good</t>
        </is>
      </c>
      <c r="H13" s="61" t="inlineStr">
        <is>
          <t>Good</t>
        </is>
      </c>
      <c r="I13" s="61" t="n"/>
      <c r="J13" s="61" t="inlineStr">
        <is>
          <t>OPC 40450-1 Section 10 Table 212</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TracePointIndex is absent when Trace data is not present for a result</t>
        </is>
      </c>
      <c r="E15" s="69" t="n"/>
      <c r="F15" s="69" t="n"/>
      <c r="G15" s="69" t="n"/>
      <c r="H15" s="69" t="n"/>
      <c r="I15" s="69" t="inlineStr">
        <is>
          <t>n</t>
        </is>
      </c>
      <c r="J15" s="69" t="inlineStr">
        <is>
          <t>OPC 40450-1 Section 10 Table 212</t>
        </is>
      </c>
      <c r="K15" s="69" t="n"/>
    </row>
    <row r="16" ht="38.7" customHeight="1" s="132">
      <c r="A16" s="61" t="n"/>
      <c r="B16" s="61" t="n"/>
      <c r="C16" s="61" t="n">
        <v>1</v>
      </c>
      <c r="D16" s="61" t="inlineStr">
        <is>
          <t>Retrieve a result without trace data. Inspect TracePointIndex in all ResultValueDataType entries.</t>
        </is>
      </c>
      <c r="E16" s="61" t="inlineStr">
        <is>
          <t>A result without Trace data (Trace = null).</t>
        </is>
      </c>
      <c r="F16" s="61" t="inlineStr">
        <is>
          <t>TracePointIndex is null/absent in all ResultValueDataType entries. A non-null TracePointIndex with no corresponding trace would be an invalid dangling reference.</t>
        </is>
      </c>
      <c r="G16" s="61" t="inlineStr">
        <is>
          <t>Good</t>
        </is>
      </c>
      <c r="H16" s="61" t="inlineStr">
        <is>
          <t>Good</t>
        </is>
      </c>
      <c r="I16" s="61" t="n"/>
      <c r="J16" s="61" t="inlineStr">
        <is>
          <t>OPC 40450-1 Section 10 Table 212</t>
        </is>
      </c>
      <c r="K16" s="61" t="n"/>
    </row>
    <row r="17" ht="25.8" customHeight="1" s="132">
      <c r="A17" s="69" t="inlineStr">
        <is>
          <t>n</t>
        </is>
      </c>
      <c r="B17" s="69" t="n">
        <v>2</v>
      </c>
      <c r="C17" s="69" t="n">
        <v>0</v>
      </c>
      <c r="D17" s="69" t="inlineStr">
        <is>
          <t>Verify negative TracePointIndex is not present (index must be non-negative)</t>
        </is>
      </c>
      <c r="E17" s="69" t="n"/>
      <c r="F17" s="69" t="n"/>
      <c r="G17" s="69" t="n"/>
      <c r="H17" s="69" t="n"/>
      <c r="I17" s="69" t="inlineStr">
        <is>
          <t>n</t>
        </is>
      </c>
      <c r="J17" s="69" t="inlineStr">
        <is>
          <t>OPC 40450-1 Section 10 Table 212</t>
        </is>
      </c>
      <c r="K17" s="69" t="n"/>
    </row>
    <row r="18" ht="25.8" customHeight="1" s="132">
      <c r="A18" s="61" t="n"/>
      <c r="B18" s="61" t="n"/>
      <c r="C18" s="61" t="n">
        <v>1</v>
      </c>
      <c r="D18" s="61" t="inlineStr">
        <is>
          <t>Scan TracePointIndex values across 5 results with trace data.</t>
        </is>
      </c>
      <c r="E18" s="61" t="inlineStr">
        <is>
          <t>Five results with StepResultValues[] containing TracePointIndex.</t>
        </is>
      </c>
      <c r="F18" s="61" t="inlineStr">
        <is>
          <t>No TracePointIndex value is negative. As a 0-based array index, negative values are invalid. All values &gt;= 0 confirmed.</t>
        </is>
      </c>
      <c r="G18" s="61" t="inlineStr">
        <is>
          <t>Good</t>
        </is>
      </c>
      <c r="H18" s="61" t="inlineStr">
        <is>
          <t>Good</t>
        </is>
      </c>
      <c r="I18" s="61" t="n"/>
      <c r="J18" s="61" t="inlineStr">
        <is>
          <t>OPC 40450-1 Section 10 Table 212</t>
        </is>
      </c>
      <c r="K18" s="61" t="n"/>
    </row>
    <row r="19">
      <c r="A19" s="110" t="inlineStr">
        <is>
          <t>n</t>
        </is>
      </c>
      <c r="B19" s="110" t="n">
        <v>3</v>
      </c>
      <c r="C19" s="110" t="n">
        <v>0</v>
      </c>
      <c r="D19" s="110" t="inlineStr">
        <is>
          <t>Verify TracePointIndex &gt;= 0</t>
        </is>
      </c>
      <c r="E19" s="110" t="n"/>
      <c r="F19" s="110" t="n"/>
      <c r="G19" s="110" t="n"/>
      <c r="H19" s="110" t="n"/>
      <c r="I19" s="110" t="inlineStr">
        <is>
          <t>n</t>
        </is>
      </c>
      <c r="J19" s="110" t="inlineStr">
        <is>
          <t>OPC 40450-1 Section 11.1 CU-25</t>
        </is>
      </c>
      <c r="K19" s="110" t="n"/>
    </row>
    <row r="20" ht="25.8" customHeight="1" s="132">
      <c r="A20" s="111" t="n"/>
      <c r="B20" s="111" t="n"/>
      <c r="C20" s="111" t="n">
        <v>1</v>
      </c>
      <c r="D20" s="111" t="inlineStr">
        <is>
          <t>Read TracePointIndex from StepResultValues.</t>
        </is>
      </c>
      <c r="E20" s="111" t="inlineStr">
        <is>
          <t>Server claims this Conformance Unit; no additional runtime setup is needed for this step.</t>
        </is>
      </c>
      <c r="F20" s="111" t="inlineStr">
        <is>
          <t>TracePointIndex &gt;= 0.</t>
        </is>
      </c>
      <c r="G20" s="111" t="inlineStr">
        <is>
          <t>Good</t>
        </is>
      </c>
      <c r="H20" s="111" t="n"/>
      <c r="I20" s="111" t="n"/>
      <c r="J20" s="111" t="inlineStr">
        <is>
          <t>OPC 40450-1 Section 11.1 CU-25</t>
        </is>
      </c>
      <c r="K20" s="111" t="inlineStr">
        <is>
          <t>Requirement source: OPC 40450-1 Section 10.8 - TracePointIndex is non-negative Int32.</t>
        </is>
      </c>
    </row>
    <row r="21">
      <c r="A21" s="110" t="inlineStr">
        <is>
          <t>n</t>
        </is>
      </c>
      <c r="B21" s="110" t="n">
        <v>4</v>
      </c>
      <c r="C21" s="110" t="n">
        <v>0</v>
      </c>
      <c r="D21" s="110" t="inlineStr">
        <is>
          <t>Verify TracePointIndex &lt; NumberOfTracePoints</t>
        </is>
      </c>
      <c r="E21" s="110" t="n"/>
      <c r="F21" s="110" t="n"/>
      <c r="G21" s="110" t="n"/>
      <c r="H21" s="110" t="n"/>
      <c r="I21" s="110" t="inlineStr">
        <is>
          <t>n</t>
        </is>
      </c>
      <c r="J21" s="110" t="inlineStr">
        <is>
          <t>OPC 40450-1 Section 11.1 CU-25</t>
        </is>
      </c>
      <c r="K21" s="110" t="n"/>
    </row>
    <row r="22" ht="25.8" customHeight="1" s="132">
      <c r="A22" s="111" t="n"/>
      <c r="B22" s="111" t="n"/>
      <c r="C22" s="111" t="n">
        <v>1</v>
      </c>
      <c r="D22" s="111" t="inlineStr">
        <is>
          <t>Read TracePointIndex; compare with parent StepTrace.NumberOfTracePoints.</t>
        </is>
      </c>
      <c r="E22" s="111" t="inlineStr">
        <is>
          <t>Server claims this Conformance Unit; no additional runtime setup is needed for this step.</t>
        </is>
      </c>
      <c r="F22" s="111" t="inlineStr">
        <is>
          <t>TracePointIndex &lt; NumberOfTracePoints.</t>
        </is>
      </c>
      <c r="G22" s="111" t="inlineStr">
        <is>
          <t>Good</t>
        </is>
      </c>
      <c r="H22" s="111" t="n"/>
      <c r="I22" s="111" t="n"/>
      <c r="J22" s="111" t="inlineStr">
        <is>
          <t>OPC 40450-1 Section 11.1 CU-25</t>
        </is>
      </c>
      <c r="K22" s="111" t="inlineStr">
        <is>
          <t>Requirement source: OPC 40450-1 Section 10.8 - Index must be within bounds.</t>
        </is>
      </c>
    </row>
    <row r="23">
      <c r="A23" s="110" t="inlineStr">
        <is>
          <t>n</t>
        </is>
      </c>
      <c r="B23" s="110" t="n">
        <v>5</v>
      </c>
      <c r="C23" s="110" t="n">
        <v>0</v>
      </c>
      <c r="D23" s="110" t="inlineStr">
        <is>
          <t>Verify TracePointIndex points to correct sample in Values[]</t>
        </is>
      </c>
      <c r="E23" s="110" t="n"/>
      <c r="F23" s="110" t="n"/>
      <c r="G23" s="110" t="n"/>
      <c r="H23" s="110" t="n"/>
      <c r="I23" s="110" t="inlineStr">
        <is>
          <t>n</t>
        </is>
      </c>
      <c r="J23" s="110" t="inlineStr">
        <is>
          <t>OPC 40450-1 Section 11.1 CU-25</t>
        </is>
      </c>
      <c r="K23" s="110" t="n"/>
    </row>
    <row r="24" ht="25.8" customHeight="1" s="132">
      <c r="A24" s="111" t="n"/>
      <c r="B24" s="111" t="n"/>
      <c r="C24" s="111" t="n">
        <v>1</v>
      </c>
      <c r="D24" s="111" t="inlineStr">
        <is>
          <t>Read Values[TracePointIndex] from trace. Compare with StepResultValue.</t>
        </is>
      </c>
      <c r="E24" s="111" t="inlineStr">
        <is>
          <t>Server claims this Conformance Unit; no additional runtime setup is needed for this step.</t>
        </is>
      </c>
      <c r="F24" s="111" t="inlineStr">
        <is>
          <t>Values[TracePointIndex] matches MeasuredValue in StepResultValue.</t>
        </is>
      </c>
      <c r="G24" s="111" t="inlineStr">
        <is>
          <t>Good</t>
        </is>
      </c>
      <c r="H24" s="111" t="n"/>
      <c r="I24" s="111" t="n"/>
      <c r="J24" s="111" t="inlineStr">
        <is>
          <t>OPC 40450-1 Section 11.1 CU-25</t>
        </is>
      </c>
      <c r="K24" s="111" t="inlineStr">
        <is>
          <t>Requirement source: OPC 40450-1 Section 10.8 - Index references specific trace sample.</t>
        </is>
      </c>
    </row>
  </sheetData>
  <mergeCells count="2">
    <mergeCell ref="A1:K1"/>
    <mergeCell ref="C2:J2"/>
  </mergeCells>
  <pageMargins left="0.7" right="0.7" top="0.75" bottom="0.75" header="0.3" footer="0.3"/>
</worksheet>
</file>

<file path=xl/worksheets/sheet32.xml><?xml version="1.0" encoding="utf-8"?>
<worksheet xmlns="http://schemas.openxmlformats.org/spreadsheetml/2006/main">
  <sheetPr codeName="Sheet2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CU-26: IJT Sync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CU-26 — IJT Sync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Sync Result exists with Classification = SYNC_RESULT (2)</t>
        </is>
      </c>
      <c r="E4" s="58" t="n"/>
      <c r="F4" s="58" t="n"/>
      <c r="G4" s="58" t="n"/>
      <c r="H4" s="58" t="n"/>
      <c r="I4" s="58" t="inlineStr">
        <is>
          <t>n</t>
        </is>
      </c>
      <c r="J4" s="58" t="inlineStr">
        <is>
          <t>OPC 40450-1 Section 10 Table 208 / Section 11 (CU-26)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Observe a ResultDataType via ResultManagement/Results/Result or JoiningSystemResultReadyEventType where ResultMetaData.Classification = 2. Confirm it is a SYNC_RESULT.</t>
        </is>
      </c>
      <c r="E5" s="61" t="inlineStr">
        <is>
          <t>Device that performs synchronized (multi-spindle) joining operations. At least one SYNC_RESULT available.</t>
        </is>
      </c>
      <c r="F5" s="61" t="inlineStr">
        <is>
          <t>ResultMetaData.Classification = 2 (SYNC_RESULT).</t>
        </is>
      </c>
      <c r="G5" s="61" t="inlineStr">
        <is>
          <t>Good</t>
        </is>
      </c>
      <c r="H5" s="61" t="inlineStr">
        <is>
          <t>Good</t>
        </is>
      </c>
      <c r="I5" s="61" t="n"/>
      <c r="J5" s="61" t="inlineStr">
        <is>
          <t>OPC 40450-1 Section 10 Table 208</t>
        </is>
      </c>
      <c r="K5" s="62" t="n"/>
    </row>
    <row r="6">
      <c r="A6" s="70" t="inlineStr">
        <is>
          <t>y</t>
        </is>
      </c>
      <c r="B6" s="71" t="n">
        <v>2</v>
      </c>
      <c r="C6" s="72" t="n">
        <v>0</v>
      </c>
      <c r="D6" s="72" t="inlineStr">
        <is>
          <t>Verify SYNC_RESULT contains sub-results in ResultContent</t>
        </is>
      </c>
      <c r="E6" s="72" t="n"/>
      <c r="F6" s="72" t="n"/>
      <c r="G6" s="72" t="n"/>
      <c r="H6" s="72" t="n"/>
      <c r="I6" s="72" t="inlineStr">
        <is>
          <t>n</t>
        </is>
      </c>
      <c r="J6" s="72" t="inlineStr">
        <is>
          <t>OPC 40450-1 Section 10 Table 208</t>
        </is>
      </c>
      <c r="K6" s="73" t="n"/>
    </row>
    <row r="7" ht="51.6" customHeight="1" s="132">
      <c r="A7" s="61" t="n"/>
      <c r="B7" s="61" t="n"/>
      <c r="C7" s="61" t="n">
        <v>1</v>
      </c>
      <c r="D7" s="61" t="inlineStr">
        <is>
          <t>Decode the ResultContent of the SYNC_RESULT. Verify it contains an array of ResultDataType.</t>
        </is>
      </c>
      <c r="E7" s="61" t="inlineStr">
        <is>
          <t>SYNC_RESULT retrieved in TC#1.</t>
        </is>
      </c>
      <c r="F7" s="61" t="inlineStr">
        <is>
          <t>ResultContent decodes as an array of one or more 5:ResultDataType. Each element is a sub-result. Per spec: ResultContent = one or more instances of ResultDataType. Array is non-empty.</t>
        </is>
      </c>
      <c r="G7" s="61" t="inlineStr">
        <is>
          <t>Good</t>
        </is>
      </c>
      <c r="H7" s="61" t="inlineStr">
        <is>
          <t>Good</t>
        </is>
      </c>
      <c r="I7" s="61" t="n"/>
      <c r="J7" s="61" t="inlineStr">
        <is>
          <t>OPC 40450-1 Section 10 Table 208 Classification=SYNC_RESULT rule</t>
        </is>
      </c>
      <c r="K7" s="61" t="n"/>
    </row>
    <row r="8">
      <c r="A8" s="67" t="inlineStr">
        <is>
          <t>y</t>
        </is>
      </c>
      <c r="B8" s="67" t="n">
        <v>3</v>
      </c>
      <c r="C8" s="67" t="n">
        <v>0</v>
      </c>
      <c r="D8" s="67" t="inlineStr">
        <is>
          <t>Verify each sub-result in SYNC_RESULT has its own ResultMetaData</t>
        </is>
      </c>
      <c r="E8" s="67" t="n"/>
      <c r="F8" s="67" t="n"/>
      <c r="G8" s="67" t="n"/>
      <c r="H8" s="67" t="n"/>
      <c r="I8" s="67" t="inlineStr">
        <is>
          <t>n</t>
        </is>
      </c>
      <c r="J8" s="67" t="inlineStr">
        <is>
          <t>OPC 40450-1 Section 10 Table 208</t>
        </is>
      </c>
      <c r="K8" s="67" t="n"/>
    </row>
    <row r="9" ht="64.5" customHeight="1" s="132">
      <c r="A9" s="61" t="n"/>
      <c r="B9" s="61" t="n"/>
      <c r="C9" s="61" t="n">
        <v>1</v>
      </c>
      <c r="D9" s="61" t="inlineStr">
        <is>
          <t>Inspect each ResultDataType in the SYNC_RESULT ResultContent array.</t>
        </is>
      </c>
      <c r="E9" s="61" t="inlineStr">
        <is>
          <t>SYNC_RESULT with at least one sub-result.</t>
        </is>
      </c>
      <c r="F9" s="61" t="inlineStr">
        <is>
          <t>Each ResultDataType sub-result has ResultMetaData with its own ResultId (TrimmedString, non-empty). Sub-results have Classification = SINGLE_RESULT (1) or another appropriate type. Each sub-result represents one channel/spindle in the synchronized process.</t>
        </is>
      </c>
      <c r="G9" s="61" t="inlineStr">
        <is>
          <t>Good</t>
        </is>
      </c>
      <c r="H9" s="61" t="inlineStr">
        <is>
          <t>Good</t>
        </is>
      </c>
      <c r="I9" s="61" t="n"/>
      <c r="J9" s="61" t="inlineStr">
        <is>
          <t>OPC 40450-1 Section 10 Table 208 / OPC 40001-101</t>
        </is>
      </c>
      <c r="K9" s="61" t="n"/>
    </row>
    <row r="10">
      <c r="A10" s="67" t="inlineStr">
        <is>
          <t>y</t>
        </is>
      </c>
      <c r="B10" s="67" t="n">
        <v>4</v>
      </c>
      <c r="C10" s="67" t="n">
        <v>0</v>
      </c>
      <c r="D10" s="67" t="inlineStr">
        <is>
          <t>Verify SYNC_RESULT IsPartial = False for a completed synchronization</t>
        </is>
      </c>
      <c r="E10" s="67" t="n"/>
      <c r="F10" s="67" t="n"/>
      <c r="G10" s="67" t="n"/>
      <c r="H10" s="67" t="n"/>
      <c r="I10" s="67" t="inlineStr">
        <is>
          <t>n</t>
        </is>
      </c>
      <c r="J10" s="67" t="inlineStr">
        <is>
          <t>OPC 40450-1 Section 10 Table 208</t>
        </is>
      </c>
      <c r="K10" s="67" t="n"/>
    </row>
    <row r="11" ht="25.8" customHeight="1" s="132">
      <c r="A11" s="61" t="n"/>
      <c r="B11" s="61" t="n"/>
      <c r="C11" s="61" t="n">
        <v>1</v>
      </c>
      <c r="D11" s="61" t="inlineStr">
        <is>
          <t>Read IsPartial from the SYNC_RESULT ResultMetaData.</t>
        </is>
      </c>
      <c r="E11" s="61" t="inlineStr">
        <is>
          <t>A completed (non-partial) SYNC_RESULT available.</t>
        </is>
      </c>
      <c r="F11" s="61" t="inlineStr">
        <is>
          <t>IsPartial = False (or absent, defaulting to False). A completed sync result must not be flagged as partial.</t>
        </is>
      </c>
      <c r="G11" s="61" t="inlineStr">
        <is>
          <t>Good</t>
        </is>
      </c>
      <c r="H11" s="61" t="inlineStr">
        <is>
          <t>Good</t>
        </is>
      </c>
      <c r="I11" s="61" t="n"/>
      <c r="J11" s="61" t="inlineStr">
        <is>
          <t>OPC 40450-1 Section 10 Table 208 / OPC 40001-101</t>
        </is>
      </c>
      <c r="K11" s="61" t="n"/>
    </row>
    <row r="12">
      <c r="A12" s="67" t="inlineStr">
        <is>
          <t>y</t>
        </is>
      </c>
      <c r="B12" s="67" t="n">
        <v>5</v>
      </c>
      <c r="C12" s="67" t="n">
        <v>0</v>
      </c>
      <c r="D12" s="67" t="inlineStr">
        <is>
          <t>Verify SYNC_RESULT ResultEvaluation aggregates sub-result evaluations</t>
        </is>
      </c>
      <c r="E12" s="67" t="n"/>
      <c r="F12" s="67" t="n"/>
      <c r="G12" s="67" t="n"/>
      <c r="H12" s="67" t="n"/>
      <c r="I12" s="67" t="inlineStr">
        <is>
          <t>n</t>
        </is>
      </c>
      <c r="J12" s="67" t="inlineStr">
        <is>
          <t>OPC 40450-1 Section 10 Table 208</t>
        </is>
      </c>
      <c r="K12" s="67" t="n"/>
    </row>
    <row r="13" ht="38.7" customHeight="1" s="132">
      <c r="A13" s="61" t="n"/>
      <c r="B13" s="61" t="n"/>
      <c r="C13" s="61" t="n">
        <v>1</v>
      </c>
      <c r="D13" s="61" t="inlineStr">
        <is>
          <t>For a SYNC_RESULT where at least one sub-result is NotOK: check parent ResultEvaluation.</t>
        </is>
      </c>
      <c r="E13" s="61" t="inlineStr">
        <is>
          <t>A SYNC_RESULT with a mix of OK and NotOK sub-results.</t>
        </is>
      </c>
      <c r="F13" s="61" t="inlineStr">
        <is>
          <t>Parent SYNC_RESULT ResultEvaluation = NotOK when any sub-result is NotOK. This reflects the aggregate quality of the synchronized tightening.</t>
        </is>
      </c>
      <c r="G13" s="61" t="inlineStr">
        <is>
          <t>Good</t>
        </is>
      </c>
      <c r="H13" s="61" t="inlineStr">
        <is>
          <t>Good</t>
        </is>
      </c>
      <c r="I13" s="61" t="n"/>
      <c r="J13" s="61" t="inlineStr">
        <is>
          <t>OPC 40450-1 Section 10 Table 208 / OPC 40001-101</t>
        </is>
      </c>
      <c r="K13" s="61" t="n"/>
    </row>
    <row r="14">
      <c r="A14" s="67" t="inlineStr">
        <is>
          <t>y</t>
        </is>
      </c>
      <c r="B14" s="67" t="n">
        <v>6</v>
      </c>
      <c r="C14" s="67" t="n">
        <v>0</v>
      </c>
      <c r="D14" s="67" t="inlineStr">
        <is>
          <t>Verify SYNC_RESULT SequenceNumber is monotonically increasing</t>
        </is>
      </c>
      <c r="E14" s="67" t="n"/>
      <c r="F14" s="67" t="n"/>
      <c r="G14" s="67" t="n"/>
      <c r="H14" s="67" t="n"/>
      <c r="I14" s="67" t="inlineStr">
        <is>
          <t>n</t>
        </is>
      </c>
      <c r="J14" s="67" t="inlineStr">
        <is>
          <t>OPC 40450-1 Section 10 Table 208</t>
        </is>
      </c>
      <c r="K14" s="67" t="n"/>
    </row>
    <row r="15" ht="25.8" customHeight="1" s="132">
      <c r="A15" s="61" t="n"/>
      <c r="B15" s="61" t="n"/>
      <c r="C15" s="61" t="n">
        <v>1</v>
      </c>
      <c r="D15" s="61" t="inlineStr">
        <is>
          <t>Retrieve 5 consecutive SYNC_RESULTs. Compare SequenceNumber values.</t>
        </is>
      </c>
      <c r="E15" s="61" t="inlineStr">
        <is>
          <t>Five consecutive SYNC_RESULTs from the same device session.</t>
        </is>
      </c>
      <c r="F15" s="61" t="inlineStr">
        <is>
          <t>SequenceNumber increases monotonically (each &gt; previous) across consecutive SYNC_RESULTs. SequenceNumber is UInt64.</t>
        </is>
      </c>
      <c r="G15" s="61" t="inlineStr">
        <is>
          <t>Good</t>
        </is>
      </c>
      <c r="H15" s="61" t="inlineStr">
        <is>
          <t>Good</t>
        </is>
      </c>
      <c r="I15" s="61" t="n"/>
      <c r="J15" s="61" t="inlineStr">
        <is>
          <t>OPC 40450-1 Section 10 Table 208</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GetResultById with a SYNC_RESULT ResultId returns the full parent result</t>
        </is>
      </c>
      <c r="E17" s="69" t="n"/>
      <c r="F17" s="69" t="n"/>
      <c r="G17" s="69" t="n"/>
      <c r="H17" s="69" t="n"/>
      <c r="I17" s="69" t="inlineStr">
        <is>
          <t>n</t>
        </is>
      </c>
      <c r="J17" s="69" t="inlineStr">
        <is>
          <t>OPC 40450-1 Section 7.5</t>
        </is>
      </c>
      <c r="K17" s="69" t="n"/>
    </row>
    <row r="18" ht="38.7" customHeight="1" s="132">
      <c r="A18" s="61" t="n"/>
      <c r="B18" s="61" t="n"/>
      <c r="C18" s="61" t="n">
        <v>1</v>
      </c>
      <c r="D18" s="61" t="inlineStr">
        <is>
          <t>Obtain the ResultId of a SYNC_RESULT. Call GetResultById with that ResultId.</t>
        </is>
      </c>
      <c r="E18" s="61" t="inlineStr">
        <is>
          <t>GetResultById method available. SYNC_RESULT ResultId known.</t>
        </is>
      </c>
      <c r="F18" s="61" t="inlineStr">
        <is>
          <t>GetResultById returns the full SYNC_RESULT including all sub-results in ResultContent. Classification = 2 (SYNC_RESULT) confirmed. All sub-results are present.</t>
        </is>
      </c>
      <c r="G18" s="61" t="inlineStr">
        <is>
          <t>Good</t>
        </is>
      </c>
      <c r="H18" s="61" t="inlineStr">
        <is>
          <t>Good</t>
        </is>
      </c>
      <c r="I18" s="61" t="n"/>
      <c r="J18" s="61" t="inlineStr">
        <is>
          <t>OPC 40450-1 Section 7.5</t>
        </is>
      </c>
      <c r="K18" s="61" t="n"/>
    </row>
    <row r="19" ht="25.8" customHeight="1" s="132">
      <c r="A19" s="69" t="inlineStr">
        <is>
          <t>n</t>
        </is>
      </c>
      <c r="B19" s="69" t="n">
        <v>2</v>
      </c>
      <c r="C19" s="69" t="n">
        <v>0</v>
      </c>
      <c r="D19" s="69" t="inlineStr">
        <is>
          <t>Verify GetResultById with a sub-result ResultId returns the individual sub-result</t>
        </is>
      </c>
      <c r="E19" s="69" t="n"/>
      <c r="F19" s="69" t="n"/>
      <c r="G19" s="69" t="n"/>
      <c r="H19" s="69" t="n"/>
      <c r="I19" s="69" t="inlineStr">
        <is>
          <t>n</t>
        </is>
      </c>
      <c r="J19" s="69" t="inlineStr">
        <is>
          <t>OPC 40450-1 Section 7.5</t>
        </is>
      </c>
      <c r="K19" s="69" t="n"/>
    </row>
    <row r="20" ht="38.7" customHeight="1" s="132">
      <c r="A20" s="61" t="n"/>
      <c r="B20" s="61" t="n"/>
      <c r="C20" s="61" t="n">
        <v>1</v>
      </c>
      <c r="D20" s="61" t="inlineStr">
        <is>
          <t>Obtain the ResultId of a sub-result from a SYNC_RESULT. Call GetResultById with that sub-result ResultId.</t>
        </is>
      </c>
      <c r="E20" s="61" t="inlineStr">
        <is>
          <t>Sub-result ResultId extracted from SYNC_RESULT. GetResultById available.</t>
        </is>
      </c>
      <c r="F20" s="61" t="inlineStr">
        <is>
          <t>GetResultById returns the sub-result as a 5:ResultDataType. Classification = SINGLE_RESULT (1). If server does not support individual sub-result retrieval, returns Bad_NoDataAvailable.</t>
        </is>
      </c>
      <c r="G20" s="61" t="inlineStr">
        <is>
          <t>Good</t>
        </is>
      </c>
      <c r="H20" s="61" t="inlineStr">
        <is>
          <t>Good</t>
        </is>
      </c>
      <c r="I20" s="61" t="n"/>
      <c r="J20" s="61" t="inlineStr">
        <is>
          <t>OPC 40450-1 Section 7.5</t>
        </is>
      </c>
      <c r="K20" s="61" t="inlineStr">
        <is>
          <t>Server behavior may vary: some servers may not expose sub-results individually</t>
        </is>
      </c>
    </row>
    <row r="21">
      <c r="A21" s="110" t="inlineStr">
        <is>
          <t>n</t>
        </is>
      </c>
      <c r="B21" s="110" t="n">
        <v>3</v>
      </c>
      <c r="C21" s="110" t="n">
        <v>0</v>
      </c>
      <c r="D21" s="110" t="inlineStr">
        <is>
          <t>Verify SYNC_RESULT Classification=2</t>
        </is>
      </c>
      <c r="E21" s="110" t="n"/>
      <c r="F21" s="110" t="n"/>
      <c r="G21" s="110" t="n"/>
      <c r="H21" s="110" t="n"/>
      <c r="I21" s="110" t="inlineStr">
        <is>
          <t>n</t>
        </is>
      </c>
      <c r="J21" s="110" t="inlineStr">
        <is>
          <t>OPC 40450-1 Section 11.1 CU-26</t>
        </is>
      </c>
      <c r="K21" s="110" t="n"/>
    </row>
    <row r="22">
      <c r="A22" s="111" t="n"/>
      <c r="B22" s="111" t="n"/>
      <c r="C22" s="111" t="n">
        <v>1</v>
      </c>
      <c r="D22" s="111" t="inlineStr">
        <is>
          <t>Read Classification from SYNC_RESULT.</t>
        </is>
      </c>
      <c r="E22" s="111" t="inlineStr">
        <is>
          <t>Server claims this Conformance Unit; no additional runtime setup is needed for this step.</t>
        </is>
      </c>
      <c r="F22" s="111" t="inlineStr">
        <is>
          <t>Classification is exactly 2.</t>
        </is>
      </c>
      <c r="G22" s="111" t="inlineStr">
        <is>
          <t>Good</t>
        </is>
      </c>
      <c r="H22" s="111" t="n"/>
      <c r="I22" s="111" t="n"/>
      <c r="J22" s="111" t="inlineStr">
        <is>
          <t>OPC 40450-1 Section 11.1 CU-26</t>
        </is>
      </c>
      <c r="K22" s="111" t="inlineStr">
        <is>
          <t>Requirement source: OPC 40450-1 Table 208 - SYNC_RESULT=2.</t>
        </is>
      </c>
    </row>
    <row r="23">
      <c r="A23" s="110" t="inlineStr">
        <is>
          <t>n</t>
        </is>
      </c>
      <c r="B23" s="110" t="n">
        <v>4</v>
      </c>
      <c r="C23" s="110" t="n">
        <v>0</v>
      </c>
      <c r="D23" s="110" t="inlineStr">
        <is>
          <t>Verify SYNC_RESULT contains multiple sub-results (2+)</t>
        </is>
      </c>
      <c r="E23" s="110" t="n"/>
      <c r="F23" s="110" t="n"/>
      <c r="G23" s="110" t="n"/>
      <c r="H23" s="110" t="n"/>
      <c r="I23" s="110" t="inlineStr">
        <is>
          <t>n</t>
        </is>
      </c>
      <c r="J23" s="110" t="inlineStr">
        <is>
          <t>OPC 40450-1 Section 11.1 CU-26</t>
        </is>
      </c>
      <c r="K23" s="110" t="n"/>
    </row>
    <row r="24" ht="25.8" customHeight="1" s="132">
      <c r="A24" s="111" t="n"/>
      <c r="B24" s="111" t="n"/>
      <c r="C24" s="111" t="n">
        <v>1</v>
      </c>
      <c r="D24" s="111" t="inlineStr">
        <is>
          <t>Inspect ResultContent of SYNC_RESULT.</t>
        </is>
      </c>
      <c r="E24" s="111" t="inlineStr">
        <is>
          <t>Server claims this Conformance Unit; no additional runtime setup is needed for this step.</t>
        </is>
      </c>
      <c r="F24" s="111" t="inlineStr">
        <is>
          <t>ResultContent has &gt;= 2 child ResultDataType entries.</t>
        </is>
      </c>
      <c r="G24" s="111" t="inlineStr">
        <is>
          <t>Good</t>
        </is>
      </c>
      <c r="H24" s="111" t="n"/>
      <c r="I24" s="111" t="n"/>
      <c r="J24" s="111" t="inlineStr">
        <is>
          <t>OPC 40450-1 Section 11.1 CU-26</t>
        </is>
      </c>
      <c r="K24" s="111" t="inlineStr">
        <is>
          <t>Requirement source: OPC 40450-1 Section 10.9 - SYNC_RESULT aggregates 2+ simultaneous ops.</t>
        </is>
      </c>
    </row>
    <row r="25">
      <c r="A25" s="110" t="inlineStr">
        <is>
          <t>n</t>
        </is>
      </c>
      <c r="B25" s="110" t="n">
        <v>5</v>
      </c>
      <c r="C25" s="110" t="n">
        <v>0</v>
      </c>
      <c r="D25" s="110" t="inlineStr">
        <is>
          <t>Verify SYNC_RESULT sub-results all have Classification=SINGLE_RESULT</t>
        </is>
      </c>
      <c r="E25" s="110" t="n"/>
      <c r="F25" s="110" t="n"/>
      <c r="G25" s="110" t="n"/>
      <c r="H25" s="110" t="n"/>
      <c r="I25" s="110" t="inlineStr">
        <is>
          <t>n</t>
        </is>
      </c>
      <c r="J25" s="110" t="inlineStr">
        <is>
          <t>OPC 40450-1 Section 11.1 CU-26</t>
        </is>
      </c>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Child result Classification values are valid for the synchronized scenario. For a simple synchronized operation, child results are typically SINGLE_RESULT unless the source system reports a different valid child classification.</t>
        </is>
      </c>
      <c r="G26" s="111" t="inlineStr">
        <is>
          <t>Good</t>
        </is>
      </c>
      <c r="H26" s="111" t="n"/>
      <c r="I26" s="111" t="n"/>
      <c r="J26" s="111" t="inlineStr">
        <is>
          <t>OPC 40450-1 Section 11.1 CU-26</t>
        </is>
      </c>
      <c r="K26" s="111" t="inlineStr">
        <is>
          <t>Requirement source: OPC 40450-1 Section 10.9 - Sub-results must be SINGLE_RESULT(1).</t>
        </is>
      </c>
    </row>
  </sheetData>
  <mergeCells count="2">
    <mergeCell ref="A1:K1"/>
    <mergeCell ref="C2:J2"/>
  </mergeCells>
  <pageMargins left="0.7" right="0.7" top="0.75" bottom="0.75" header="0.3" footer="0.3"/>
</worksheet>
</file>

<file path=xl/worksheets/sheet33.xml><?xml version="1.0" encoding="utf-8"?>
<worksheet xmlns="http://schemas.openxmlformats.org/spreadsheetml/2006/main">
  <sheetPr codeName="Sheet29">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CU-27: IJT Sync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CU-27 — IJT Sync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SYNC_RESULT</t>
        </is>
      </c>
      <c r="E4" s="58" t="n"/>
      <c r="F4" s="58" t="n"/>
      <c r="G4" s="58" t="n"/>
      <c r="H4" s="58" t="n"/>
      <c r="I4" s="58" t="inlineStr">
        <is>
          <t>n</t>
        </is>
      </c>
      <c r="J4" s="58" t="inlineStr">
        <is>
          <t>OPC 40450-1 Section 11 (CU-27)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SYNC_RESULT (Classification=2). Inspect ResultMetaData.ResultCounters[].</t>
        </is>
      </c>
      <c r="E5" s="61" t="inlineStr">
        <is>
          <t>SYNC_RESULT available.</t>
        </is>
      </c>
      <c r="F5" s="61" t="inlineStr">
        <is>
          <t>ResultCounters[] is non-empty. Contains at least one ResultCounterDataType. Each entry has CounterValue (UInt32, mandatory) and CounterType (Int16, mandatory).</t>
        </is>
      </c>
      <c r="G5" s="61" t="inlineStr">
        <is>
          <t>Good</t>
        </is>
      </c>
      <c r="H5" s="61" t="inlineStr">
        <is>
          <t>Good</t>
        </is>
      </c>
      <c r="I5" s="61" t="n"/>
      <c r="J5" s="61" t="inlineStr">
        <is>
          <t>OPC 40450-1 Section 10 Table 228</t>
        </is>
      </c>
      <c r="K5" s="62" t="n"/>
    </row>
    <row r="6" ht="25.8" customHeight="1" s="132">
      <c r="A6" s="70" t="inlineStr">
        <is>
          <t>y</t>
        </is>
      </c>
      <c r="B6" s="71" t="n">
        <v>2</v>
      </c>
      <c r="C6" s="72" t="n">
        <v>0</v>
      </c>
      <c r="D6" s="72" t="inlineStr">
        <is>
          <t>Verify ResultCounters includes CHANNEL_NUMBER (6) or SPINDLE_NUMBER (7)</t>
        </is>
      </c>
      <c r="E6" s="72" t="n"/>
      <c r="F6" s="72" t="n"/>
      <c r="G6" s="72" t="n"/>
      <c r="H6" s="72" t="n"/>
      <c r="I6" s="72" t="inlineStr">
        <is>
          <t>n</t>
        </is>
      </c>
      <c r="J6" s="72" t="inlineStr">
        <is>
          <t>OPC 40450-1 Section 11 (CU-27) / Table 228</t>
        </is>
      </c>
      <c r="K6" s="73" t="n"/>
    </row>
    <row r="7" ht="51.6" customHeight="1" s="132">
      <c r="A7" s="61" t="n"/>
      <c r="B7" s="61" t="n"/>
      <c r="C7" s="61" t="n">
        <v>1</v>
      </c>
      <c r="D7" s="61" t="inlineStr">
        <is>
          <t>Inspect ResultCounters[] in a SYNC_RESULT. Filter entries where CounterType = 6 or CounterType = 7.</t>
        </is>
      </c>
      <c r="E7" s="61" t="inlineStr">
        <is>
          <t>ResultCounters[] non-empty in a SYNC_RESULT.</t>
        </is>
      </c>
      <c r="F7" s="61" t="inlineStr">
        <is>
          <t>At least one ResultCounterDataType has CounterType = 6 (CHANNEL_NUMBER) or CounterType = 7 (SPINDLE_NUMBER). CounterValue &gt;= 1 (channels/spindles are numbered from 1). This is the mandatory requirement for CU-27.</t>
        </is>
      </c>
      <c r="G7" s="61" t="inlineStr">
        <is>
          <t>Good</t>
        </is>
      </c>
      <c r="H7" s="61" t="inlineStr">
        <is>
          <t>Good</t>
        </is>
      </c>
      <c r="I7" s="61" t="n"/>
      <c r="J7" s="61" t="inlineStr">
        <is>
          <t>OPC 40450-1 Section 11 (CU-27) / Table 228</t>
        </is>
      </c>
      <c r="K7" s="61" t="inlineStr">
        <is>
          <t>CounterType 6=CHANNEL_NUMBER, 7=SPINDLE_NUMBER per Table 228</t>
        </is>
      </c>
    </row>
    <row r="8" ht="25.8" customHeight="1" s="132">
      <c r="A8" s="67" t="inlineStr">
        <is>
          <t>y</t>
        </is>
      </c>
      <c r="B8" s="67" t="n">
        <v>3</v>
      </c>
      <c r="C8" s="67" t="n">
        <v>0</v>
      </c>
      <c r="D8" s="67" t="inlineStr">
        <is>
          <t>Verify CHANNEL_NUMBER CounterValue matches the number of synchronized channels</t>
        </is>
      </c>
      <c r="E8" s="67" t="n"/>
      <c r="F8" s="67" t="n"/>
      <c r="G8" s="67" t="n"/>
      <c r="H8" s="67" t="n"/>
      <c r="I8" s="67" t="inlineStr">
        <is>
          <t>n</t>
        </is>
      </c>
      <c r="J8" s="67" t="inlineStr">
        <is>
          <t>OPC 40450-1 Section 10 Table 228</t>
        </is>
      </c>
      <c r="K8" s="67" t="n"/>
    </row>
    <row r="9" ht="38.7" customHeight="1" s="132">
      <c r="A9" s="61" t="n"/>
      <c r="B9" s="61" t="n"/>
      <c r="C9" s="61" t="n">
        <v>1</v>
      </c>
      <c r="D9" s="61" t="inlineStr">
        <is>
          <t>Read CHANNEL_NUMBER from a SYNC_RESULT. Compare with the known channel count of the device.</t>
        </is>
      </c>
      <c r="E9" s="61" t="inlineStr">
        <is>
          <t>SYNC_RESULT with CHANNEL_NUMBER counter. Device channel count known from AssetManagement.</t>
        </is>
      </c>
      <c r="F9" s="61" t="inlineStr">
        <is>
          <t>CHANNEL_NUMBER CounterValue = known number of synchronized channels in the operation. Value is consistent across multiple SYNC_RESULTs from the same synchronization group.</t>
        </is>
      </c>
      <c r="G9" s="61" t="inlineStr">
        <is>
          <t>Good</t>
        </is>
      </c>
      <c r="H9" s="61" t="inlineStr">
        <is>
          <t>Good</t>
        </is>
      </c>
      <c r="I9" s="61" t="n"/>
      <c r="J9" s="61" t="inlineStr">
        <is>
          <t>OPC 40450-1 Section 10 Table 228</t>
        </is>
      </c>
      <c r="K9" s="61" t="inlineStr">
        <is>
          <t>Channel = servo + spindle pair with assigned number (fixtured system)</t>
        </is>
      </c>
    </row>
    <row r="10">
      <c r="A10" s="67" t="inlineStr">
        <is>
          <t>y</t>
        </is>
      </c>
      <c r="B10" s="67" t="n">
        <v>4</v>
      </c>
      <c r="C10" s="67" t="n">
        <v>0</v>
      </c>
      <c r="D10" s="67" t="inlineStr">
        <is>
          <t>Verify CounterType values are within the defined range</t>
        </is>
      </c>
      <c r="E10" s="67" t="n"/>
      <c r="F10" s="67" t="n"/>
      <c r="G10" s="67" t="n"/>
      <c r="H10" s="67" t="n"/>
      <c r="I10" s="67" t="inlineStr">
        <is>
          <t>n</t>
        </is>
      </c>
      <c r="J10" s="67" t="inlineStr">
        <is>
          <t>OPC 40450-1 Section 10 Table 228</t>
        </is>
      </c>
      <c r="K10" s="67" t="n"/>
    </row>
    <row r="11" ht="64.5" customHeight="1" s="132">
      <c r="A11" s="61" t="n"/>
      <c r="B11" s="61" t="n"/>
      <c r="C11" s="61" t="n">
        <v>1</v>
      </c>
      <c r="D11" s="61" t="inlineStr">
        <is>
          <t>Inspect all CounterType values in ResultCounters[] across 3 SYNC_RESULTs.</t>
        </is>
      </c>
      <c r="E11" s="61" t="inlineStr">
        <is>
          <t>Three SYNC_RESULTs with non-empty ResultCounters[].</t>
        </is>
      </c>
      <c r="F11" s="61" t="inlineStr">
        <is>
          <t>All CounterType values are in range {0–12} per Table 228 pre-defined values. CounterType &lt; 0 is allowed for vendor-specific extensions. No value &gt; 12 is present.</t>
        </is>
      </c>
      <c r="G11" s="61" t="inlineStr">
        <is>
          <t>Good</t>
        </is>
      </c>
      <c r="H11" s="61" t="inlineStr">
        <is>
          <t>Good</t>
        </is>
      </c>
      <c r="I11" s="61" t="n"/>
      <c r="J11" s="61" t="inlineStr">
        <is>
          <t>OPC 40450-1 Section 10 Table 228</t>
        </is>
      </c>
      <c r="K11" s="61" t="inlineStr">
        <is>
          <t>CounterType: 0=UNDEFINED, 1=OTHER, 2=BATCH_SIZE, 3=BATCH_COUNT, 4=RETRY_COUNT, 5=SOCKET_NUMBER, 6=CHANNEL_NUMBER, 7=SPINDLE_NUMBER, 8=TOTAL_CHANNELS, 9=TOTAL_SPINDLES</t>
        </is>
      </c>
    </row>
    <row r="12">
      <c r="A12" s="67" t="inlineStr">
        <is>
          <t>y</t>
        </is>
      </c>
      <c r="B12" s="67" t="n">
        <v>5</v>
      </c>
      <c r="C12" s="67" t="n">
        <v>0</v>
      </c>
      <c r="D12" s="67" t="inlineStr">
        <is>
          <t>Verify Name field in ResultCounterDataType when present</t>
        </is>
      </c>
      <c r="E12" s="67" t="n"/>
      <c r="F12" s="67" t="n"/>
      <c r="G12" s="67" t="n"/>
      <c r="H12" s="67" t="n"/>
      <c r="I12" s="67" t="inlineStr">
        <is>
          <t>n</t>
        </is>
      </c>
      <c r="J12" s="67" t="inlineStr">
        <is>
          <t>OPC 40450-1 Section 10 Table 228</t>
        </is>
      </c>
      <c r="K12" s="67" t="n"/>
    </row>
    <row r="13" ht="38.7" customHeight="1" s="132">
      <c r="A13" s="61" t="n"/>
      <c r="B13" s="61" t="n"/>
      <c r="C13" s="61" t="n">
        <v>1</v>
      </c>
      <c r="D13" s="61" t="inlineStr">
        <is>
          <t>Inspect Name field in ResultCounterDataType entries.</t>
        </is>
      </c>
      <c r="E13" s="61" t="inlineStr">
        <is>
          <t>ResultCounters[] with at least one entry having Name populated.</t>
        </is>
      </c>
      <c r="F13" s="61" t="inlineStr">
        <is>
          <t>Name is a non-empty String when present. Provides human-readable label for the counter. e.g. "Channel 1", "Spindle 3". Name is Optional per Table 228.</t>
        </is>
      </c>
      <c r="G13" s="61" t="inlineStr">
        <is>
          <t>Good</t>
        </is>
      </c>
      <c r="H13" s="61" t="inlineStr">
        <is>
          <t>Good</t>
        </is>
      </c>
      <c r="I13" s="61" t="n"/>
      <c r="J13" s="61" t="inlineStr">
        <is>
          <t>OPC 40450-1 Section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SYNC_RESULT without ResultCounters[] is rejected (CU-27 requires counters)</t>
        </is>
      </c>
      <c r="E15" s="69" t="n"/>
      <c r="F15" s="69" t="n"/>
      <c r="G15" s="69" t="n"/>
      <c r="H15" s="69" t="n"/>
      <c r="I15" s="69" t="inlineStr">
        <is>
          <t>n</t>
        </is>
      </c>
      <c r="J15" s="69" t="inlineStr">
        <is>
          <t>OPC 40450-1 Section 11 (CU-27)</t>
        </is>
      </c>
      <c r="K15" s="69" t="n"/>
    </row>
    <row r="16" ht="51.6" customHeight="1" s="132">
      <c r="A16" s="61" t="n"/>
      <c r="B16" s="61" t="n"/>
      <c r="C16" s="61" t="n">
        <v>1</v>
      </c>
      <c r="D16" s="61" t="inlineStr">
        <is>
          <t>If a SYNC_RESULT is received with empty/absent ResultCounters[] while CU-27 is claimed: flag as non-conformant.</t>
        </is>
      </c>
      <c r="E16" s="61" t="inlineStr">
        <is>
          <t>A SYNC_RESULT where the server claims CU-27 conformance.</t>
        </is>
      </c>
      <c r="F16" s="61" t="inlineStr">
        <is>
          <t>ResultCounters[] is non-empty with at least one CHANNEL_NUMBER or SPINDLE_NUMBER entry. If ResultCounters[] is empty or absent, the CU-27 conformance claim is violated.</t>
        </is>
      </c>
      <c r="G16" s="61" t="inlineStr">
        <is>
          <t>Good</t>
        </is>
      </c>
      <c r="H16" s="61" t="inlineStr">
        <is>
          <t>Good</t>
        </is>
      </c>
      <c r="I16" s="61" t="n"/>
      <c r="J16" s="61" t="inlineStr">
        <is>
          <t>OPC 40450-1 Section 11 (CU-27)</t>
        </is>
      </c>
      <c r="K16" s="61" t="n"/>
    </row>
    <row r="17" ht="25.8" customHeight="1" s="132">
      <c r="A17" s="69" t="inlineStr">
        <is>
          <t>n</t>
        </is>
      </c>
      <c r="B17" s="69" t="n">
        <v>2</v>
      </c>
      <c r="C17" s="69" t="n">
        <v>0</v>
      </c>
      <c r="D17" s="69" t="inlineStr">
        <is>
          <t>Verify CounterValue = 0 is not present for CHANNEL_NUMBER or SPINDLE_NUMBER</t>
        </is>
      </c>
      <c r="E17" s="69" t="n"/>
      <c r="F17" s="69" t="n"/>
      <c r="G17" s="69" t="n"/>
      <c r="H17" s="69" t="n"/>
      <c r="I17" s="69" t="inlineStr">
        <is>
          <t>n</t>
        </is>
      </c>
      <c r="J17" s="69" t="inlineStr">
        <is>
          <t>OPC 40450-1 Section 10 Table 228</t>
        </is>
      </c>
      <c r="K17" s="69" t="n"/>
    </row>
    <row r="18" ht="38.7" customHeight="1" s="132">
      <c r="A18" s="61" t="n"/>
      <c r="B18" s="61" t="n"/>
      <c r="C18" s="61" t="n">
        <v>1</v>
      </c>
      <c r="D18" s="61" t="inlineStr">
        <is>
          <t>Read CHANNEL_NUMBER and SPINDLE_NUMBER CounterValues from 3 SYNC_RESULTs.</t>
        </is>
      </c>
      <c r="E18" s="61" t="inlineStr">
        <is>
          <t>Three SYNC_RESULTs with channel/spindle counter entries.</t>
        </is>
      </c>
      <c r="F18" s="61" t="inlineStr">
        <is>
          <t>CounterValue &gt; 0 for CHANNEL_NUMBER and SPINDLE_NUMBER. A zero value would indicate no channels/spindles, which is physically impossible for a sync result.</t>
        </is>
      </c>
      <c r="G18" s="61" t="inlineStr">
        <is>
          <t>Good</t>
        </is>
      </c>
      <c r="H18" s="61" t="inlineStr">
        <is>
          <t>Good</t>
        </is>
      </c>
      <c r="I18" s="61" t="n"/>
      <c r="J18" s="61" t="inlineStr">
        <is>
          <t>OPC 40450-1 Section 10 Table 228</t>
        </is>
      </c>
      <c r="K18" s="61" t="n"/>
    </row>
    <row r="19" ht="25.8" customHeight="1" s="132">
      <c r="A19" s="110" t="inlineStr">
        <is>
          <t>n</t>
        </is>
      </c>
      <c r="B19" s="110" t="n">
        <v>3</v>
      </c>
      <c r="C19" s="110" t="n">
        <v>0</v>
      </c>
      <c r="D19" s="110" t="inlineStr">
        <is>
          <t>Verify CounterType CHANNEL_NUMBER(6) or SPINDLE_NUMBER(7) present</t>
        </is>
      </c>
      <c r="E19" s="110" t="n"/>
      <c r="F19" s="110" t="n"/>
      <c r="G19" s="110" t="n"/>
      <c r="H19" s="110" t="n"/>
      <c r="I19" s="110" t="inlineStr">
        <is>
          <t>n</t>
        </is>
      </c>
      <c r="J19" s="110" t="inlineStr">
        <is>
          <t>OPC 40450-1 Section 11.1 CU-27</t>
        </is>
      </c>
      <c r="K19" s="110" t="n"/>
    </row>
    <row r="20">
      <c r="A20" s="111" t="n"/>
      <c r="B20" s="111" t="n"/>
      <c r="C20" s="111" t="n">
        <v>1</v>
      </c>
      <c r="D20" s="111" t="inlineStr">
        <is>
          <t>Inspect ResultCounters of SYNC_RESULT.</t>
        </is>
      </c>
      <c r="E20" s="111" t="inlineStr">
        <is>
          <t>Server claims this Conformance Unit; no additional runtime setup is needed for this step.</t>
        </is>
      </c>
      <c r="F20" s="111" t="inlineStr">
        <is>
          <t>At least one ResultCounter has CounterType=6 or 7.</t>
        </is>
      </c>
      <c r="G20" s="111" t="inlineStr">
        <is>
          <t>Good</t>
        </is>
      </c>
      <c r="H20" s="111" t="n"/>
      <c r="I20" s="111" t="n"/>
      <c r="J20" s="111" t="inlineStr">
        <is>
          <t>OPC 40450-1 Section 11.1 CU-27</t>
        </is>
      </c>
      <c r="K20" s="111" t="inlineStr">
        <is>
          <t>Requirement source: OPC 40450-1 Section 10.9 - Must identify channels/spindles.</t>
        </is>
      </c>
    </row>
    <row r="21">
      <c r="A21" s="110" t="inlineStr">
        <is>
          <t>n</t>
        </is>
      </c>
      <c r="B21" s="110" t="n">
        <v>4</v>
      </c>
      <c r="C21" s="110" t="n">
        <v>0</v>
      </c>
      <c r="D21" s="110" t="inlineStr">
        <is>
          <t>Verify CounterValue is non-negative UInt32</t>
        </is>
      </c>
      <c r="E21" s="110" t="n"/>
      <c r="F21" s="110" t="n"/>
      <c r="G21" s="110" t="n"/>
      <c r="H21" s="110" t="n"/>
      <c r="I21" s="110" t="inlineStr">
        <is>
          <t>n</t>
        </is>
      </c>
      <c r="J21" s="110" t="inlineStr">
        <is>
          <t>OPC 40450-1 Section 11.1 CU-27</t>
        </is>
      </c>
      <c r="K21" s="110" t="n"/>
    </row>
    <row r="22">
      <c r="A22" s="111" t="n"/>
      <c r="B22" s="111" t="n"/>
      <c r="C22" s="111" t="n">
        <v>1</v>
      </c>
      <c r="D22" s="111" t="inlineStr">
        <is>
          <t>Read CounterValue from ResultCounters.</t>
        </is>
      </c>
      <c r="E22" s="111" t="inlineStr">
        <is>
          <t>Server claims this Conformance Unit; no additional runtime setup is needed for this step.</t>
        </is>
      </c>
      <c r="F22" s="111" t="inlineStr">
        <is>
          <t>All CounterValue entries &gt;= 0.</t>
        </is>
      </c>
      <c r="G22" s="111" t="inlineStr">
        <is>
          <t>Good</t>
        </is>
      </c>
      <c r="H22" s="111" t="n"/>
      <c r="I22" s="111" t="n"/>
      <c r="J22" s="111" t="inlineStr">
        <is>
          <t>OPC 40450-1 Section 11.1 CU-27</t>
        </is>
      </c>
      <c r="K22" s="111" t="inlineStr">
        <is>
          <t>Requirement source: OPC 40450-1 Section 10.9 - CounterValue is UInt32.</t>
        </is>
      </c>
    </row>
    <row r="23">
      <c r="A23" s="110" t="inlineStr">
        <is>
          <t>n</t>
        </is>
      </c>
      <c r="B23" s="110" t="n">
        <v>5</v>
      </c>
      <c r="C23" s="110" t="n">
        <v>0</v>
      </c>
      <c r="D23" s="110" t="inlineStr">
        <is>
          <t>Verify CounterType UNDEFINED(0) is not used for sync result counters</t>
        </is>
      </c>
      <c r="E23" s="110" t="n"/>
      <c r="F23" s="110" t="n"/>
      <c r="G23" s="110" t="n"/>
      <c r="H23" s="110" t="n"/>
      <c r="I23" s="110" t="inlineStr">
        <is>
          <t>n</t>
        </is>
      </c>
      <c r="J23" s="110" t="inlineStr">
        <is>
          <t>OPC 40450-1 Section 11.1 CU-27</t>
        </is>
      </c>
      <c r="K23" s="110" t="n"/>
    </row>
    <row r="24">
      <c r="A24" s="111" t="n"/>
      <c r="B24" s="111" t="n"/>
      <c r="C24" s="111" t="n">
        <v>1</v>
      </c>
      <c r="D24" s="111" t="inlineStr">
        <is>
          <t>Inspect all ResultCounters in SYNC_RESULT.</t>
        </is>
      </c>
      <c r="E24" s="111" t="inlineStr">
        <is>
          <t>Server claims this Conformance Unit; no additional runtime setup is needed for this step.</t>
        </is>
      </c>
      <c r="F24" s="111" t="inlineStr">
        <is>
          <t>No ResultCounter has CounterType=0.</t>
        </is>
      </c>
      <c r="G24" s="111" t="inlineStr">
        <is>
          <t>Good</t>
        </is>
      </c>
      <c r="H24" s="111" t="n"/>
      <c r="I24" s="111" t="n"/>
      <c r="J24" s="111" t="inlineStr">
        <is>
          <t>OPC 40450-1 Section 11.1 CU-27</t>
        </is>
      </c>
      <c r="K24" s="111" t="inlineStr">
        <is>
          <t>Requirement source: OPC 40450-1 Section 10.9 - UNDEFINED(0) not for production.</t>
        </is>
      </c>
    </row>
  </sheetData>
  <mergeCells count="2">
    <mergeCell ref="A1:K1"/>
    <mergeCell ref="C2:J2"/>
  </mergeCells>
  <pageMargins left="0.7" right="0.7" top="0.75" bottom="0.75" header="0.3" footer="0.3"/>
</worksheet>
</file>

<file path=xl/worksheets/sheet34.xml><?xml version="1.0" encoding="utf-8"?>
<worksheet xmlns="http://schemas.openxmlformats.org/spreadsheetml/2006/main">
  <sheetPr codeName="Sheet31">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CU-28: IJT Batch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CU-28 — IJT Batch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Batch Result exists with Classification = BATCH_RESULT (3)</t>
        </is>
      </c>
      <c r="E4" s="58" t="n"/>
      <c r="F4" s="58" t="n"/>
      <c r="G4" s="58" t="n"/>
      <c r="H4" s="58" t="n"/>
      <c r="I4" s="58" t="inlineStr">
        <is>
          <t>n</t>
        </is>
      </c>
      <c r="J4" s="58" t="inlineStr">
        <is>
          <t>OPC 40450-1 Section 10 Table 208 / Section 11 (CU-28)</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ResultMetaData.Classification = 3 (BATCH_RESULT).</t>
        </is>
      </c>
      <c r="E5" s="61" t="inlineStr">
        <is>
          <t>Device that performs batch joining operations. At least one BATCH_RESULT available.</t>
        </is>
      </c>
      <c r="F5" s="61" t="inlineStr">
        <is>
          <t>ResultMetaData.Classification = 3 (BATCH_RESULT). A batch represents multiple results performed with the same program.</t>
        </is>
      </c>
      <c r="G5" s="61" t="inlineStr">
        <is>
          <t>Good</t>
        </is>
      </c>
      <c r="H5" s="61" t="inlineStr">
        <is>
          <t>Good</t>
        </is>
      </c>
      <c r="I5" s="61" t="n"/>
      <c r="J5" s="61" t="inlineStr">
        <is>
          <t>OPC 40450-1 Section 10 Table 208</t>
        </is>
      </c>
      <c r="K5" s="62" t="n"/>
    </row>
    <row r="6" ht="25.8" customHeight="1" s="132">
      <c r="A6" s="70" t="inlineStr">
        <is>
          <t>y</t>
        </is>
      </c>
      <c r="B6" s="71" t="n">
        <v>2</v>
      </c>
      <c r="C6" s="72" t="n">
        <v>0</v>
      </c>
      <c r="D6" s="72" t="inlineStr">
        <is>
          <t>Verify BATCH_RESULT ResultContent contains array of ResultDataType sub-results</t>
        </is>
      </c>
      <c r="E6" s="72" t="n"/>
      <c r="F6" s="72" t="n"/>
      <c r="G6" s="72" t="n"/>
      <c r="H6" s="72" t="n"/>
      <c r="I6" s="72" t="inlineStr">
        <is>
          <t>n</t>
        </is>
      </c>
      <c r="J6" s="72" t="inlineStr">
        <is>
          <t>OPC 40450-1 Section 10 Table 208</t>
        </is>
      </c>
      <c r="K6" s="73" t="n"/>
    </row>
    <row r="7" ht="38.7" customHeight="1" s="132">
      <c r="A7" s="61" t="n"/>
      <c r="B7" s="61" t="n"/>
      <c r="C7" s="61" t="n">
        <v>1</v>
      </c>
      <c r="D7" s="61" t="inlineStr">
        <is>
          <t>Decode ResultContent of the BATCH_RESULT.</t>
        </is>
      </c>
      <c r="E7" s="61" t="inlineStr">
        <is>
          <t>BATCH_RESULT retrieved.</t>
        </is>
      </c>
      <c r="F7" s="61" t="inlineStr">
        <is>
          <t>ResultContent decodes as one or more 5:ResultDataType sub-results. Each sub-result is an individual joining operation that is part of the batch.</t>
        </is>
      </c>
      <c r="G7" s="61" t="inlineStr">
        <is>
          <t>Good</t>
        </is>
      </c>
      <c r="H7" s="61" t="inlineStr">
        <is>
          <t>Good</t>
        </is>
      </c>
      <c r="I7" s="61" t="n"/>
      <c r="J7" s="61" t="inlineStr">
        <is>
          <t>OPC 40450-1 Section 10 Table 208 Classification=BATCH_RESULT rule</t>
        </is>
      </c>
      <c r="K7" s="61" t="n"/>
    </row>
    <row r="8" ht="25.8" customHeight="1" s="132">
      <c r="A8" s="67" t="inlineStr">
        <is>
          <t>y</t>
        </is>
      </c>
      <c r="B8" s="67" t="n">
        <v>3</v>
      </c>
      <c r="C8" s="67" t="n">
        <v>0</v>
      </c>
      <c r="D8" s="67" t="inlineStr">
        <is>
          <t>Verify all sub-results in BATCH_RESULT were performed with the same program</t>
        </is>
      </c>
      <c r="E8" s="67" t="n"/>
      <c r="F8" s="67" t="n"/>
      <c r="G8" s="67" t="n"/>
      <c r="H8" s="67" t="n"/>
      <c r="I8" s="67" t="inlineStr">
        <is>
          <t>n</t>
        </is>
      </c>
      <c r="J8" s="67" t="inlineStr">
        <is>
          <t>OPC 40450-1 Section 10 Table 208</t>
        </is>
      </c>
      <c r="K8" s="67" t="n"/>
    </row>
    <row r="9" ht="38.7" customHeight="1" s="132">
      <c r="A9" s="61" t="n"/>
      <c r="B9" s="61" t="n"/>
      <c r="C9" s="61" t="n">
        <v>1</v>
      </c>
      <c r="D9" s="61" t="inlineStr">
        <is>
          <t>Inspect sub-results of a BATCH_RESULT. For each sub-result, check AssociatedEntities for PROGRAM (EntityType=27) or JOINING_PROCESS (26).</t>
        </is>
      </c>
      <c r="E9" s="61" t="inlineStr">
        <is>
          <t>BATCH_RESULT with at least 2 sub-results. AssociatedEntities populated.</t>
        </is>
      </c>
      <c r="F9" s="61" t="inlineStr">
        <is>
          <t>All sub-results reference the same ProgramId (EntityType=27 EntityId is identical for all sub-results). This confirms the "same program" constraint for BATCH_RESULT per spec definition.</t>
        </is>
      </c>
      <c r="G9" s="61" t="inlineStr">
        <is>
          <t>Good</t>
        </is>
      </c>
      <c r="H9" s="61" t="inlineStr">
        <is>
          <t>Good</t>
        </is>
      </c>
      <c r="I9" s="61" t="n"/>
      <c r="J9" s="61" t="inlineStr">
        <is>
          <t>OPC 40450-1 Section 10 Table 208 / Table 226</t>
        </is>
      </c>
      <c r="K9" s="61" t="inlineStr">
        <is>
          <t>BATCH_RESULT = group of results done with the SAME program per spec definition</t>
        </is>
      </c>
    </row>
    <row r="10">
      <c r="A10" s="67" t="inlineStr">
        <is>
          <t>y</t>
        </is>
      </c>
      <c r="B10" s="67" t="n">
        <v>4</v>
      </c>
      <c r="C10" s="67" t="n">
        <v>0</v>
      </c>
      <c r="D10" s="67" t="inlineStr">
        <is>
          <t>Verify BATCH_RESULT ResultEvaluation aggregates sub-result evaluations</t>
        </is>
      </c>
      <c r="E10" s="67" t="n"/>
      <c r="F10" s="67" t="n"/>
      <c r="G10" s="67" t="n"/>
      <c r="H10" s="67" t="n"/>
      <c r="I10" s="67" t="inlineStr">
        <is>
          <t>n</t>
        </is>
      </c>
      <c r="J10" s="67" t="inlineStr">
        <is>
          <t>OPC 40450-1 Section 10 Table 208</t>
        </is>
      </c>
      <c r="K10" s="67" t="n"/>
    </row>
    <row r="11" ht="25.8" customHeight="1" s="132">
      <c r="A11" s="61" t="n"/>
      <c r="B11" s="61" t="n"/>
      <c r="C11" s="61" t="n">
        <v>1</v>
      </c>
      <c r="D11" s="61" t="inlineStr">
        <is>
          <t>For a BATCH_RESULT with a mix of OK and NotOK sub-results: check parent ResultEvaluation.</t>
        </is>
      </c>
      <c r="E11" s="61" t="inlineStr">
        <is>
          <t>A BATCH_RESULT with at least one NotOK sub-result.</t>
        </is>
      </c>
      <c r="F11" s="61" t="inlineStr">
        <is>
          <t>Parent BATCH_RESULT ResultEvaluation = NotOK when any sub-result is NotOK.</t>
        </is>
      </c>
      <c r="G11" s="61" t="inlineStr">
        <is>
          <t>Good</t>
        </is>
      </c>
      <c r="H11" s="61" t="inlineStr">
        <is>
          <t>Good</t>
        </is>
      </c>
      <c r="I11" s="61" t="n"/>
      <c r="J11" s="61" t="inlineStr">
        <is>
          <t>OPC 40450-1 Section 10 Table 208 / OPC 40001-101</t>
        </is>
      </c>
      <c r="K11" s="61" t="n"/>
    </row>
    <row r="12">
      <c r="A12" s="67" t="inlineStr">
        <is>
          <t>y</t>
        </is>
      </c>
      <c r="B12" s="67" t="n">
        <v>5</v>
      </c>
      <c r="C12" s="67" t="n">
        <v>0</v>
      </c>
      <c r="D12" s="67" t="inlineStr">
        <is>
          <t>Verify BATCH_RESULT SequenceNumber is monotonically increasing</t>
        </is>
      </c>
      <c r="E12" s="67" t="n"/>
      <c r="F12" s="67" t="n"/>
      <c r="G12" s="67" t="n"/>
      <c r="H12" s="67" t="n"/>
      <c r="I12" s="67" t="inlineStr">
        <is>
          <t>n</t>
        </is>
      </c>
      <c r="J12" s="67" t="inlineStr">
        <is>
          <t>OPC 40450-1 Section 10 Table 208</t>
        </is>
      </c>
      <c r="K12" s="67" t="n"/>
    </row>
    <row r="13" ht="25.8" customHeight="1" s="132">
      <c r="A13" s="61" t="n"/>
      <c r="B13" s="61" t="n"/>
      <c r="C13" s="61" t="n">
        <v>1</v>
      </c>
      <c r="D13" s="61" t="inlineStr">
        <is>
          <t>Retrieve 5 consecutive BATCH_RESULTs. Compare SequenceNumber values.</t>
        </is>
      </c>
      <c r="E13" s="61" t="inlineStr">
        <is>
          <t>Five consecutive BATCH_RESULTs from the same device session.</t>
        </is>
      </c>
      <c r="F13" s="61" t="inlineStr">
        <is>
          <t>SequenceNumber increases monotonically across consecutive BATCH_RESULTs.</t>
        </is>
      </c>
      <c r="G13" s="61" t="inlineStr">
        <is>
          <t>Good</t>
        </is>
      </c>
      <c r="H13" s="61" t="inlineStr">
        <is>
          <t>Good</t>
        </is>
      </c>
      <c r="I13" s="61" t="n"/>
      <c r="J13" s="61" t="inlineStr">
        <is>
          <t>OPC 40450-1 Section 10 Table 208</t>
        </is>
      </c>
      <c r="K13" s="61" t="n"/>
    </row>
    <row r="14" ht="25.8" customHeight="1" s="132">
      <c r="A14" s="67" t="inlineStr">
        <is>
          <t>n</t>
        </is>
      </c>
      <c r="B14" s="67" t="n">
        <v>6</v>
      </c>
      <c r="C14" s="67" t="n">
        <v>0</v>
      </c>
      <c r="D14" s="67" t="inlineStr">
        <is>
          <t>[Optional helper — method filter test, not content conformance] Check GetResultIdListFiltered behavior for BATCH_RESULT using a ContentFilter WHERE clause selecting Classification = 3.</t>
        </is>
      </c>
      <c r="E14" s="67" t="n"/>
      <c r="F14" s="67" t="n"/>
      <c r="G14" s="67" t="n"/>
      <c r="H14" s="67" t="n"/>
      <c r="I14" s="67" t="inlineStr">
        <is>
          <t>n</t>
        </is>
      </c>
      <c r="J14" s="67" t="inlineStr">
        <is>
          <t>OPC 40450-1 Section 7.5</t>
        </is>
      </c>
      <c r="K14" s="67" t="n"/>
    </row>
    <row r="15" ht="38.7" customHeight="1" s="132">
      <c r="A15" s="61" t="n"/>
      <c r="B15" s="61" t="n"/>
      <c r="C15" s="61" t="n">
        <v>1</v>
      </c>
      <c r="D15" s="61" t="inlineStr">
        <is>
          <t>[Optional helper — method filter test] Call GetResultIdListFiltered with a ContentFilter WHERE clause selecting Classification = 3 (BATCH_RESULT only).</t>
        </is>
      </c>
      <c r="E15" s="61" t="inlineStr">
        <is>
          <t>Optional helper precondition: GetResultIdListFiltered available. At least one BATCH_RESULT stored.</t>
        </is>
      </c>
      <c r="F15" s="61" t="inlineStr">
        <is>
          <t>Optional helper expected result: Returned ResultIdList contains only BATCH_RESULT ResultIds. No SINGLE_RESULT or other Classification result is included in the filtered output.</t>
        </is>
      </c>
      <c r="G15" s="61" t="inlineStr">
        <is>
          <t>Good</t>
        </is>
      </c>
      <c r="H15" s="61" t="inlineStr">
        <is>
          <t>Good</t>
        </is>
      </c>
      <c r="I15" s="61" t="n"/>
      <c r="J15" s="61" t="inlineStr">
        <is>
          <t>OPC 40450-1 Section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BATCH_RESULT with empty sub-results array is handled</t>
        </is>
      </c>
      <c r="E17" s="69" t="n"/>
      <c r="F17" s="69" t="n"/>
      <c r="G17" s="69" t="n"/>
      <c r="H17" s="69" t="n"/>
      <c r="I17" s="69" t="inlineStr">
        <is>
          <t>n</t>
        </is>
      </c>
      <c r="J17" s="69" t="inlineStr">
        <is>
          <t>OPC 40450-1 Section 10 Table 208</t>
        </is>
      </c>
      <c r="K17" s="69" t="n"/>
    </row>
    <row r="18" ht="38.7" customHeight="1" s="132">
      <c r="A18" s="61" t="n"/>
      <c r="B18" s="61" t="n"/>
      <c r="C18" s="61" t="n">
        <v>1</v>
      </c>
      <c r="D18" s="61" t="inlineStr">
        <is>
          <t>If available, retrieve a BATCH_RESULT with an empty ResultContent array (edge case).</t>
        </is>
      </c>
      <c r="E18" s="61" t="inlineStr">
        <is>
          <t>A BATCH_RESULT where no sub-results were generated (batch aborted before first operation).</t>
        </is>
      </c>
      <c r="F18" s="61" t="inlineStr">
        <is>
          <t>An empty parent ResultContent is not valid positive evidence for BATCH_RESULT content. For CU-36/CU-27 conformance, the BATCH_RESULT parent ResultContent shall contain one or more child ResultDataType entries. If a server exposes an aborted batch with no sub-results, record it as implementation-specific and do not count it as the positive content-shape test.</t>
        </is>
      </c>
      <c r="G18" s="61" t="inlineStr">
        <is>
          <t>Good</t>
        </is>
      </c>
      <c r="H18" s="61" t="inlineStr">
        <is>
          <t>Implementation-specific; not positive CU evidence</t>
        </is>
      </c>
      <c r="I18" s="61" t="n"/>
      <c r="J18" s="61" t="inlineStr">
        <is>
          <t>OPC 40450-1 Section 10 Table 208</t>
        </is>
      </c>
      <c r="K18" s="61" t="n"/>
    </row>
    <row r="19">
      <c r="A19" s="69" t="inlineStr">
        <is>
          <t>n</t>
        </is>
      </c>
      <c r="B19" s="69" t="n">
        <v>2</v>
      </c>
      <c r="C19" s="69" t="n">
        <v>0</v>
      </c>
      <c r="D19" s="69" t="inlineStr">
        <is>
          <t>Verify BATCH_RESULT cannot be written via address space</t>
        </is>
      </c>
      <c r="E19" s="69" t="n"/>
      <c r="F19" s="69" t="n"/>
      <c r="G19" s="69" t="n"/>
      <c r="H19" s="69" t="n"/>
      <c r="I19" s="69" t="inlineStr">
        <is>
          <t>n</t>
        </is>
      </c>
      <c r="J19" s="69" t="inlineStr">
        <is>
          <t>OPC 10000-4 Section 5.10.4</t>
        </is>
      </c>
      <c r="K19" s="69" t="n"/>
    </row>
    <row r="20" ht="25.8" customHeight="1" s="132">
      <c r="A20" s="61" t="n"/>
      <c r="B20" s="61" t="n"/>
      <c r="C20" s="61" t="n">
        <v>1</v>
      </c>
      <c r="D20" s="61" t="inlineStr">
        <is>
          <t>Attempt to Write an invalid ExtensionObject to the ResultVariable while it holds a BATCH_RESULT.</t>
        </is>
      </c>
      <c r="E20" s="61" t="inlineStr">
        <is>
          <t>ResultVariable with a BATCH_RESULT value accessible.</t>
        </is>
      </c>
      <c r="F20" s="61" t="inlineStr">
        <is>
          <t>Write returns Bad_NotWritable. BATCH_RESULT content is not modified.</t>
        </is>
      </c>
      <c r="G20" s="61" t="inlineStr">
        <is>
          <t>Good</t>
        </is>
      </c>
      <c r="H20" s="61" t="inlineStr">
        <is>
          <t>Bad_NotWritable</t>
        </is>
      </c>
      <c r="I20" s="61" t="n"/>
      <c r="J20" s="61" t="inlineStr">
        <is>
          <t>OPC 10000-4 Section 5.10.4</t>
        </is>
      </c>
      <c r="K20" s="61" t="n"/>
    </row>
    <row r="21">
      <c r="A21" s="110" t="inlineStr">
        <is>
          <t>n</t>
        </is>
      </c>
      <c r="B21" s="110" t="n">
        <v>3</v>
      </c>
      <c r="C21" s="110" t="n">
        <v>0</v>
      </c>
      <c r="D21" s="110" t="inlineStr">
        <is>
          <t>Verify BATCH_RESULT Classification=3</t>
        </is>
      </c>
      <c r="E21" s="110" t="n"/>
      <c r="F21" s="110" t="n"/>
      <c r="G21" s="110" t="n"/>
      <c r="H21" s="110" t="n"/>
      <c r="I21" s="110" t="inlineStr">
        <is>
          <t>n</t>
        </is>
      </c>
      <c r="J21" s="110" t="inlineStr">
        <is>
          <t>OPC 40450-1 Section 11.1 CU-28</t>
        </is>
      </c>
      <c r="K21" s="110" t="n"/>
    </row>
    <row r="22">
      <c r="A22" s="111" t="n"/>
      <c r="B22" s="111" t="n"/>
      <c r="C22" s="111" t="n">
        <v>1</v>
      </c>
      <c r="D22" s="111" t="inlineStr">
        <is>
          <t>Read Classification from BATCH_RESULT.</t>
        </is>
      </c>
      <c r="E22" s="111" t="inlineStr">
        <is>
          <t>Server claims this Conformance Unit; no additional runtime setup is needed for this step.</t>
        </is>
      </c>
      <c r="F22" s="111" t="inlineStr">
        <is>
          <t>Classification is exactly 3.</t>
        </is>
      </c>
      <c r="G22" s="111" t="inlineStr">
        <is>
          <t>Good</t>
        </is>
      </c>
      <c r="H22" s="111" t="n"/>
      <c r="I22" s="111" t="n"/>
      <c r="J22" s="111" t="inlineStr">
        <is>
          <t>OPC 40450-1 Section 11.1 CU-28</t>
        </is>
      </c>
      <c r="K22" s="111" t="inlineStr">
        <is>
          <t>Requirement source: OPC 40450-1 Table 208 - BATCH_RESULT=3.</t>
        </is>
      </c>
    </row>
    <row r="23">
      <c r="A23" s="110" t="inlineStr">
        <is>
          <t>n</t>
        </is>
      </c>
      <c r="B23" s="110" t="n">
        <v>4</v>
      </c>
      <c r="C23" s="110" t="n">
        <v>0</v>
      </c>
      <c r="D23" s="110" t="inlineStr">
        <is>
          <t>Verify BATCH_RESULT contains at least one sub-result</t>
        </is>
      </c>
      <c r="E23" s="110" t="n"/>
      <c r="F23" s="110" t="n"/>
      <c r="G23" s="110" t="n"/>
      <c r="H23" s="110" t="n"/>
      <c r="I23" s="110" t="inlineStr">
        <is>
          <t>n</t>
        </is>
      </c>
      <c r="J23" s="110" t="inlineStr">
        <is>
          <t>OPC 40450-1 Section 11.1 CU-28</t>
        </is>
      </c>
      <c r="K23" s="110" t="n"/>
    </row>
    <row r="24">
      <c r="A24" s="111" t="n"/>
      <c r="B24" s="111" t="n"/>
      <c r="C24" s="111" t="n">
        <v>1</v>
      </c>
      <c r="D24" s="111" t="inlineStr">
        <is>
          <t>Inspect ResultContent of BATCH_RESULT.</t>
        </is>
      </c>
      <c r="E24" s="111" t="inlineStr">
        <is>
          <t>Server claims this Conformance Unit; no additional runtime setup is needed for this step.</t>
        </is>
      </c>
      <c r="F24" s="111" t="inlineStr">
        <is>
          <t>ResultContent is non-empty array.</t>
        </is>
      </c>
      <c r="G24" s="111" t="inlineStr">
        <is>
          <t>Good</t>
        </is>
      </c>
      <c r="H24" s="111" t="n"/>
      <c r="I24" s="111" t="n"/>
      <c r="J24" s="111" t="inlineStr">
        <is>
          <t>OPC 40450-1 Section 11.1 CU-28</t>
        </is>
      </c>
      <c r="K24" s="111" t="inlineStr">
        <is>
          <t>Requirement source: OPC 40450-1 Section 10.10 - Must contain &gt;= 1 sub-result.</t>
        </is>
      </c>
    </row>
    <row r="25">
      <c r="A25" s="110" t="inlineStr">
        <is>
          <t>n</t>
        </is>
      </c>
      <c r="B25" s="110" t="n">
        <v>5</v>
      </c>
      <c r="C25" s="110" t="n">
        <v>0</v>
      </c>
      <c r="D25" s="110" t="inlineStr">
        <is>
          <t>Verify BATCH_RESULT sub-results share same JoiningProcess</t>
        </is>
      </c>
      <c r="E25" s="110" t="n"/>
      <c r="F25" s="110" t="n"/>
      <c r="G25" s="110" t="n"/>
      <c r="H25" s="110" t="n"/>
      <c r="I25" s="110" t="inlineStr">
        <is>
          <t>n</t>
        </is>
      </c>
      <c r="J25" s="110" t="inlineStr">
        <is>
          <t>OPC 40450-1 Section 11.1 CU-28</t>
        </is>
      </c>
      <c r="K25" s="110" t="n"/>
    </row>
    <row r="26">
      <c r="A26" s="111" t="n"/>
      <c r="B26" s="111" t="n"/>
      <c r="C26" s="111" t="n">
        <v>1</v>
      </c>
      <c r="D26" s="111" t="inlineStr">
        <is>
          <t>Read AssociatedEntities[] from each sub-result. Compare the process/program entity entries by EntityType and EntityId.</t>
        </is>
      </c>
      <c r="E26" s="111" t="inlineStr">
        <is>
          <t>Server claims this Conformance Unit; no additional runtime setup is needed for this step.</t>
        </is>
      </c>
      <c r="F26" s="111" t="inlineStr">
        <is>
          <t>All sub-results reference the same process/program entity where such an entity is reported.</t>
        </is>
      </c>
      <c r="G26" s="111" t="inlineStr">
        <is>
          <t>Good</t>
        </is>
      </c>
      <c r="H26" s="111" t="inlineStr">
        <is>
          <t>Same process/program EntityDataType entry across reported sub-results</t>
        </is>
      </c>
      <c r="I26" s="111" t="n"/>
      <c r="J26" s="111" t="inlineStr">
        <is>
          <t>OPC 40450-1 Section 11.1 CU-28</t>
        </is>
      </c>
      <c r="K26" s="111" t="inlineStr">
        <is>
          <t>Requirement source: OPC 40450-1 Section 10.10 - Batch ops use same program.</t>
        </is>
      </c>
    </row>
  </sheetData>
  <mergeCells count="2">
    <mergeCell ref="A1:K1"/>
    <mergeCell ref="C2:J2"/>
  </mergeCells>
  <pageMargins left="0.7" right="0.7" top="0.75" bottom="0.75" header="0.3" footer="0.3"/>
</worksheet>
</file>

<file path=xl/worksheets/sheet35.xml><?xml version="1.0" encoding="utf-8"?>
<worksheet xmlns="http://schemas.openxmlformats.org/spreadsheetml/2006/main">
  <sheetPr codeName="Sheet32">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CU-29: IJT Intervention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CU-29 — IJT Intervention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64.5" customHeight="1" s="132">
      <c r="A4" s="56" t="inlineStr">
        <is>
          <t>y</t>
        </is>
      </c>
      <c r="B4" s="57" t="n">
        <v>1</v>
      </c>
      <c r="C4" s="58" t="n">
        <v>0</v>
      </c>
      <c r="D4" s="58" t="inlineStr">
        <is>
          <t>Verify Intervention Result exists with Classification = INTERVENTION_RESULT (6)</t>
        </is>
      </c>
      <c r="E4" s="58" t="inlineStr">
        <is>
          <t>Server claims this Conformance Unit; no additional runtime setup is needed for this step.</t>
        </is>
      </c>
      <c r="F4" s="58" t="n"/>
      <c r="G4" s="58" t="n"/>
      <c r="H4" s="58" t="n"/>
      <c r="I4" s="58" t="inlineStr">
        <is>
          <t>n</t>
        </is>
      </c>
      <c r="J4" s="58" t="inlineStr">
        <is>
          <t>OPC 40450-1 Section 10 Table 208 / Section 11 (CU-29)</t>
        </is>
      </c>
      <c r="K4" s="59" t="inlineStr">
        <is>
          <t>NOTE: Namespace indices (0:,2:,4:,5:) are server-assigned. Resolve from NamespaceArray (ns=0;i=2255). 2:=DI, 4:=Machinery, 5:=Machinery Result (OPC 40001-101). | Requirement source: Result.ResultMetaData.Classification MUST = INTERVENTION_RESULT. Result.ResultMetaData.InterventionType MUST be populated with appropriate InterventionTypeEnumeration value per spec.</t>
        </is>
      </c>
    </row>
    <row r="5" ht="38.7" customFormat="1" customHeight="1" s="138">
      <c r="A5" s="60" t="n"/>
      <c r="B5" s="61" t="n"/>
      <c r="C5" s="61" t="n">
        <v>1</v>
      </c>
      <c r="D5" s="61" t="inlineStr">
        <is>
          <t>Retrieve a result where ResultMetaData.Classification = 6 (INTERVENTION_RESULT).</t>
        </is>
      </c>
      <c r="E5" s="61" t="inlineStr">
        <is>
          <t>Device that supports operator intervention during joining. At least one INTERVENTION_RESULT available.</t>
        </is>
      </c>
      <c r="F5" s="61" t="inlineStr">
        <is>
          <t>ResultMetaData.Classification = 6 (INTERVENTION_RESULT). An intervention result is generated when an operator action interrupts/overrides the joining process.</t>
        </is>
      </c>
      <c r="G5" s="61" t="inlineStr">
        <is>
          <t>Good</t>
        </is>
      </c>
      <c r="H5" s="61" t="inlineStr">
        <is>
          <t>Good</t>
        </is>
      </c>
      <c r="I5" s="61" t="n"/>
      <c r="J5" s="61" t="inlineStr">
        <is>
          <t>OPC 40450-1 Section 10 Table 208</t>
        </is>
      </c>
      <c r="K5" s="62" t="n"/>
    </row>
    <row r="6">
      <c r="A6" s="70" t="inlineStr">
        <is>
          <t>y</t>
        </is>
      </c>
      <c r="B6" s="71" t="n">
        <v>2</v>
      </c>
      <c r="C6" s="72" t="n">
        <v>0</v>
      </c>
      <c r="D6" s="72" t="inlineStr">
        <is>
          <t>Verify InterventionType is populated with a valid value</t>
        </is>
      </c>
      <c r="E6" s="72" t="n"/>
      <c r="F6" s="72" t="n"/>
      <c r="G6" s="72" t="n"/>
      <c r="H6" s="72" t="n"/>
      <c r="I6" s="72" t="inlineStr">
        <is>
          <t>n</t>
        </is>
      </c>
      <c r="J6" s="72" t="inlineStr">
        <is>
          <t>OPC 40450-1 Section 10 Table 208</t>
        </is>
      </c>
      <c r="K6" s="73" t="n"/>
    </row>
    <row r="7" ht="51.6" customHeight="1" s="132">
      <c r="A7" s="61" t="n"/>
      <c r="B7" s="61" t="n"/>
      <c r="C7" s="61" t="n">
        <v>1</v>
      </c>
      <c r="D7" s="61" t="inlineStr">
        <is>
          <t>Read ResultMetaData.InterventionType from the INTERVENTION_RESULT.</t>
        </is>
      </c>
      <c r="E7" s="61" t="inlineStr">
        <is>
          <t>INTERVENTION_RESULT retrieved.</t>
        </is>
      </c>
      <c r="F7" s="61" t="inlineStr">
        <is>
          <t>InterventionType is a Byte in range 0–7: 0=UNDEFINED, 1=OTHER, 2=INCREMENTED, 3=DECREMENTED, 4=BYPASSED, 5=ABORTED, 6=RESET, 7=MANUAL. Non-zero value is expected (UNDEFINED is allowed but informative).</t>
        </is>
      </c>
      <c r="G7" s="61" t="inlineStr">
        <is>
          <t>Good</t>
        </is>
      </c>
      <c r="H7" s="61" t="inlineStr">
        <is>
          <t>Good</t>
        </is>
      </c>
      <c r="I7" s="61" t="n"/>
      <c r="J7" s="61" t="inlineStr">
        <is>
          <t>OPC 40450-1 Section 10 Table 208</t>
        </is>
      </c>
      <c r="K7" s="61" t="inlineStr">
        <is>
          <t>InterventionType field is ONLY applicable when Classification = INTERVENTION_RESULT (6)</t>
        </is>
      </c>
    </row>
    <row r="8">
      <c r="A8" s="67" t="inlineStr">
        <is>
          <t>y</t>
        </is>
      </c>
      <c r="B8" s="67" t="n">
        <v>3</v>
      </c>
      <c r="C8" s="67" t="n">
        <v>0</v>
      </c>
      <c r="D8" s="67" t="inlineStr">
        <is>
          <t>Verify InterventionType reflects the type of operator action</t>
        </is>
      </c>
      <c r="E8" s="67" t="n"/>
      <c r="F8" s="67" t="n"/>
      <c r="G8" s="67" t="n"/>
      <c r="H8" s="67" t="n"/>
      <c r="I8" s="67" t="inlineStr">
        <is>
          <t>n</t>
        </is>
      </c>
      <c r="J8" s="67" t="inlineStr">
        <is>
          <t>OPC 40450-1 Section 10 Table 208</t>
        </is>
      </c>
      <c r="K8" s="67" t="n"/>
    </row>
    <row r="9" ht="38.7" customHeight="1" s="132">
      <c r="A9" s="61" t="n"/>
      <c r="B9" s="61" t="n"/>
      <c r="C9" s="61" t="n">
        <v>1</v>
      </c>
      <c r="D9" s="61" t="inlineStr">
        <is>
          <t>Trigger an intervention: manually abort a joining operation. Retrieve the resulting INTERVENTION_RESULT.</t>
        </is>
      </c>
      <c r="E9" s="61" t="inlineStr">
        <is>
          <t>Device with manual abort capability. Operator can abort operation.</t>
        </is>
      </c>
      <c r="F9" s="61" t="inlineStr">
        <is>
          <t>InterventionType = 5 (ABORTED) in the resulting INTERVENTION_RESULT. ResultEvaluation reflects the outcome (typically NotOK for an aborted operation).</t>
        </is>
      </c>
      <c r="G9" s="61" t="inlineStr">
        <is>
          <t>Good</t>
        </is>
      </c>
      <c r="H9" s="61" t="inlineStr">
        <is>
          <t>Good</t>
        </is>
      </c>
      <c r="I9" s="61" t="n"/>
      <c r="J9" s="61" t="inlineStr">
        <is>
          <t>OPC 40450-1 Section 10 Table 208</t>
        </is>
      </c>
      <c r="K9" s="61" t="inlineStr">
        <is>
          <t>CTT=n: requires physical operator interaction</t>
        </is>
      </c>
    </row>
    <row r="10">
      <c r="A10" s="67" t="inlineStr">
        <is>
          <t>y</t>
        </is>
      </c>
      <c r="B10" s="67" t="n">
        <v>4</v>
      </c>
      <c r="C10" s="67" t="n">
        <v>0</v>
      </c>
      <c r="D10" s="67" t="inlineStr">
        <is>
          <t>Verify ResultContent for INTERVENTION_RESULT follows spec rules</t>
        </is>
      </c>
      <c r="E10" s="67" t="n"/>
      <c r="F10" s="67" t="n"/>
      <c r="G10" s="67" t="n"/>
      <c r="H10" s="67" t="n"/>
      <c r="I10" s="67" t="inlineStr">
        <is>
          <t>n</t>
        </is>
      </c>
      <c r="J10" s="67" t="inlineStr">
        <is>
          <t>OPC 40450-1 Section 10 Table 208</t>
        </is>
      </c>
      <c r="K10" s="67" t="n"/>
    </row>
    <row r="11" ht="64.5" customHeight="1" s="132">
      <c r="A11" s="61" t="n"/>
      <c r="B11" s="61" t="n"/>
      <c r="C11" s="61" t="n">
        <v>1</v>
      </c>
      <c r="D11" s="61" t="inlineStr">
        <is>
          <t>Decode ResultContent of an INTERVENTION_RESULT.</t>
        </is>
      </c>
      <c r="E11" s="61" t="inlineStr">
        <is>
          <t>INTERVENTION_RESULT retrieved.</t>
        </is>
      </c>
      <c r="F11" s="61" t="inlineStr">
        <is>
          <t>ResultContent is either: NULL (no measurement values) OR a JoiningResultDataType instance (if measurement values are available). Both are valid per spec: "ResultContent = NULL or an instance of JoiningResultDataType if any measurement values are applicable."</t>
        </is>
      </c>
      <c r="G11" s="61" t="inlineStr">
        <is>
          <t>Good</t>
        </is>
      </c>
      <c r="H11" s="61" t="inlineStr">
        <is>
          <t>Good</t>
        </is>
      </c>
      <c r="I11" s="61" t="n"/>
      <c r="J11" s="61" t="inlineStr">
        <is>
          <t>OPC 40450-1 Section 10 Table 208 Classification=INTERVENTION_RESULT rule</t>
        </is>
      </c>
      <c r="K11" s="61" t="n"/>
    </row>
    <row r="12" ht="25.8" customHeight="1" s="132">
      <c r="A12" s="67" t="inlineStr">
        <is>
          <t>y</t>
        </is>
      </c>
      <c r="B12" s="67" t="n">
        <v>5</v>
      </c>
      <c r="C12" s="67" t="n">
        <v>0</v>
      </c>
      <c r="D12" s="67" t="inlineStr">
        <is>
          <t>Verify BYPASSED InterventionType does not have NotOK ResultEvaluation if operation was successful</t>
        </is>
      </c>
      <c r="E12" s="67" t="n"/>
      <c r="F12" s="67" t="n"/>
      <c r="G12" s="67" t="n"/>
      <c r="H12" s="67" t="n"/>
      <c r="I12" s="67" t="inlineStr">
        <is>
          <t>n</t>
        </is>
      </c>
      <c r="J12" s="67" t="inlineStr">
        <is>
          <t>OPC 40450-1 Section 10 Table 208</t>
        </is>
      </c>
      <c r="K12" s="67" t="n"/>
    </row>
    <row r="13" ht="64.5" customHeight="1" s="132">
      <c r="A13" s="61" t="n"/>
      <c r="B13" s="61" t="n"/>
      <c r="C13" s="61" t="n">
        <v>1</v>
      </c>
      <c r="D13" s="61" t="inlineStr">
        <is>
          <t>Retrieve an INTERVENTION_RESULT with InterventionType = 4 (BYPASSED).</t>
        </is>
      </c>
      <c r="E13" s="61" t="inlineStr">
        <is>
          <t>An INTERVENTION_RESULT with BYPASSED type available.</t>
        </is>
      </c>
      <c r="F13" s="61" t="inlineStr">
        <is>
          <t>ResultEvaluation may be OK or NotOK depending on device behavior. BYPASSED indicates a bypass of normal operation flow; the result evaluation depends on device policy. Verify ResultEvaluation is set explicitly (not null) for BYPASSED interventions.</t>
        </is>
      </c>
      <c r="G13" s="61" t="inlineStr">
        <is>
          <t>Good</t>
        </is>
      </c>
      <c r="H13" s="61" t="inlineStr">
        <is>
          <t>Good</t>
        </is>
      </c>
      <c r="I13" s="61" t="n"/>
      <c r="J13" s="61" t="inlineStr">
        <is>
          <t>OPC 40450-1 Section 10 Table 208</t>
        </is>
      </c>
      <c r="K13" s="61" t="n"/>
    </row>
    <row r="14">
      <c r="A14" s="67" t="inlineStr">
        <is>
          <t>n</t>
        </is>
      </c>
      <c r="B14" s="67" t="n">
        <v>6</v>
      </c>
      <c r="C14" s="67" t="n">
        <v>0</v>
      </c>
      <c r="D14" s="67" t="inlineStr">
        <is>
          <t>[Optional helper — method retrieval test, not content conformance] Verify INTERVENTION_RESULT is retrievable via GetResultById</t>
        </is>
      </c>
      <c r="E14" s="67" t="n"/>
      <c r="F14" s="67" t="n"/>
      <c r="G14" s="67" t="n"/>
      <c r="H14" s="67" t="n"/>
      <c r="I14" s="67" t="inlineStr">
        <is>
          <t>n</t>
        </is>
      </c>
      <c r="J14" s="67" t="inlineStr">
        <is>
          <t>OPC 40450-1 Section 7.5</t>
        </is>
      </c>
      <c r="K14" s="67" t="n"/>
    </row>
    <row r="15" ht="25.8" customHeight="1" s="132">
      <c r="A15" s="61" t="n"/>
      <c r="B15" s="61" t="n"/>
      <c r="C15" s="61" t="n">
        <v>1</v>
      </c>
      <c r="D15" s="61" t="inlineStr">
        <is>
          <t>[Optional helper — method retrieval test] Obtain ResultId of an INTERVENTION_RESULT. Call GetResultById.</t>
        </is>
      </c>
      <c r="E15" s="61" t="inlineStr">
        <is>
          <t>Optional helper precondition: INTERVENTION_RESULT ResultId known. GetResultById available.</t>
        </is>
      </c>
      <c r="F15" s="61" t="inlineStr">
        <is>
          <t>Optional helper expected result: GetResultById returns the INTERVENTION_RESULT. Classification = 6 confirmed. InterventionType is preserved in the retrieved result.</t>
        </is>
      </c>
      <c r="G15" s="61" t="inlineStr">
        <is>
          <t>Good</t>
        </is>
      </c>
      <c r="H15" s="61" t="inlineStr">
        <is>
          <t>Good</t>
        </is>
      </c>
      <c r="I15" s="61" t="n"/>
      <c r="J15" s="61" t="inlineStr">
        <is>
          <t>OPC 40450-1 Section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InterventionType = 0 (UNDEFINED) is accepted without error</t>
        </is>
      </c>
      <c r="E17" s="69" t="n"/>
      <c r="F17" s="69" t="n"/>
      <c r="G17" s="69" t="n"/>
      <c r="H17" s="69" t="n"/>
      <c r="I17" s="69" t="inlineStr">
        <is>
          <t>n</t>
        </is>
      </c>
      <c r="J17" s="69" t="inlineStr">
        <is>
          <t>OPC 40450-1 Section 10 Table 208</t>
        </is>
      </c>
      <c r="K17" s="69" t="n"/>
    </row>
    <row r="18" ht="25.8" customHeight="1" s="132">
      <c r="A18" s="61" t="n"/>
      <c r="B18" s="61" t="n"/>
      <c r="C18" s="61" t="n">
        <v>1</v>
      </c>
      <c r="D18" s="61" t="inlineStr">
        <is>
          <t>Retrieve an INTERVENTION_RESULT with InterventionType = 0 (UNDEFINED). Decode successfully.</t>
        </is>
      </c>
      <c r="E18" s="61" t="inlineStr">
        <is>
          <t>An INTERVENTION_RESULT with InterventionType=0 available.</t>
        </is>
      </c>
      <c r="F18" s="61" t="inlineStr">
        <is>
          <t>Server returns Good. UNDEFINED is a valid InterventionType value. No service error for UNDEFINED intervention type.</t>
        </is>
      </c>
      <c r="G18" s="61" t="inlineStr">
        <is>
          <t>Good</t>
        </is>
      </c>
      <c r="H18" s="61" t="inlineStr">
        <is>
          <t>Good</t>
        </is>
      </c>
      <c r="I18" s="61" t="n"/>
      <c r="J18" s="61" t="inlineStr">
        <is>
          <t>OPC 40450-1 Section 10 Table 208</t>
        </is>
      </c>
      <c r="K18" s="61" t="n"/>
    </row>
    <row r="19" ht="25.8" customHeight="1" s="132">
      <c r="A19" s="69" t="inlineStr">
        <is>
          <t>n</t>
        </is>
      </c>
      <c r="B19" s="69" t="n">
        <v>2</v>
      </c>
      <c r="C19" s="69" t="n">
        <v>0</v>
      </c>
      <c r="D19" s="69" t="inlineStr">
        <is>
          <t>Verify InterventionType field is absent (null) for non-INTERVENTION results</t>
        </is>
      </c>
      <c r="E19" s="69" t="n"/>
      <c r="F19" s="69" t="n"/>
      <c r="G19" s="69" t="n"/>
      <c r="H19" s="69" t="n"/>
      <c r="I19" s="69" t="inlineStr">
        <is>
          <t>n</t>
        </is>
      </c>
      <c r="J19" s="69" t="inlineStr">
        <is>
          <t>OPC 40450-1 Section 10 Table 208</t>
        </is>
      </c>
      <c r="K19" s="69" t="n"/>
    </row>
    <row r="20" ht="38.7" customHeight="1" s="132">
      <c r="A20" s="61" t="n"/>
      <c r="B20" s="61" t="n"/>
      <c r="C20" s="61" t="n">
        <v>1</v>
      </c>
      <c r="D20" s="61" t="inlineStr">
        <is>
          <t>Retrieve 3 SINGLE_RESULTs. Check InterventionType in ResultMetaData.</t>
        </is>
      </c>
      <c r="E20" s="61" t="inlineStr">
        <is>
          <t>Three SINGLE_RESULTs available.</t>
        </is>
      </c>
      <c r="F20" s="61" t="inlineStr">
        <is>
          <t>InterventionType is absent or null for all SINGLE_RESULTs. Per spec: InterventionType "is only applicable when Classification is INTERVENTION_RESULT."</t>
        </is>
      </c>
      <c r="G20" s="61" t="inlineStr">
        <is>
          <t>Good</t>
        </is>
      </c>
      <c r="H20" s="61" t="inlineStr">
        <is>
          <t>Good</t>
        </is>
      </c>
      <c r="I20" s="61" t="n"/>
      <c r="J20" s="61" t="inlineStr">
        <is>
          <t>OPC 40450-1 Section 10 Table 208</t>
        </is>
      </c>
      <c r="K20" s="61" t="n"/>
    </row>
    <row r="21">
      <c r="A21" s="110" t="inlineStr">
        <is>
          <t>n</t>
        </is>
      </c>
      <c r="B21" s="110" t="n">
        <v>3</v>
      </c>
      <c r="C21" s="110" t="n">
        <v>0</v>
      </c>
      <c r="D21" s="110" t="inlineStr">
        <is>
          <t>Verify INTERVENTION_RESULT Classification=6</t>
        </is>
      </c>
      <c r="E21" s="110" t="n"/>
      <c r="F21" s="110" t="n"/>
      <c r="G21" s="110" t="n"/>
      <c r="H21" s="110" t="n"/>
      <c r="I21" s="110" t="inlineStr">
        <is>
          <t>n</t>
        </is>
      </c>
      <c r="J21" s="110" t="inlineStr">
        <is>
          <t>OPC 40450-1 Section 11.1 CU-29</t>
        </is>
      </c>
      <c r="K21" s="110" t="n"/>
    </row>
    <row r="22">
      <c r="A22" s="111" t="n"/>
      <c r="B22" s="111" t="n"/>
      <c r="C22" s="111" t="n">
        <v>1</v>
      </c>
      <c r="D22" s="111" t="inlineStr">
        <is>
          <t>Read Classification.</t>
        </is>
      </c>
      <c r="E22" s="111" t="inlineStr">
        <is>
          <t>Server claims this Conformance Unit; no additional runtime setup is needed for this step.</t>
        </is>
      </c>
      <c r="F22" s="111" t="inlineStr">
        <is>
          <t>Classification is exactly 6.</t>
        </is>
      </c>
      <c r="G22" s="111" t="inlineStr">
        <is>
          <t>Good</t>
        </is>
      </c>
      <c r="H22" s="111" t="n"/>
      <c r="I22" s="111" t="n"/>
      <c r="J22" s="111" t="inlineStr">
        <is>
          <t>OPC 40450-1 Section 11.1 CU-29</t>
        </is>
      </c>
      <c r="K22" s="111" t="inlineStr">
        <is>
          <t>Requirement source: OPC 40450-1 Table 208 - INTERVENTION_RESULT=6.</t>
        </is>
      </c>
    </row>
    <row r="23">
      <c r="A23" s="110" t="inlineStr">
        <is>
          <t>n</t>
        </is>
      </c>
      <c r="B23" s="110" t="n">
        <v>4</v>
      </c>
      <c r="C23" s="110" t="n">
        <v>0</v>
      </c>
      <c r="D23" s="110" t="inlineStr">
        <is>
          <t>Verify InterventionType is not UNDEFINED(0) for actual intervention</t>
        </is>
      </c>
      <c r="E23" s="110" t="n"/>
      <c r="F23" s="110" t="n"/>
      <c r="G23" s="110" t="n"/>
      <c r="H23" s="110" t="n"/>
      <c r="I23" s="110" t="inlineStr">
        <is>
          <t>n</t>
        </is>
      </c>
      <c r="J23" s="110" t="inlineStr">
        <is>
          <t>OPC 40450-1 Section 11.1 CU-29</t>
        </is>
      </c>
      <c r="K23" s="110" t="n"/>
    </row>
    <row r="24">
      <c r="A24" s="111" t="n"/>
      <c r="B24" s="111" t="n"/>
      <c r="C24" s="111" t="n">
        <v>1</v>
      </c>
      <c r="D24" s="111" t="inlineStr">
        <is>
          <t>Read InterventionType from INTERVENTION_RESULT.</t>
        </is>
      </c>
      <c r="E24" s="111" t="inlineStr">
        <is>
          <t>Server claims this Conformance Unit; no additional runtime setup is needed for this step.</t>
        </is>
      </c>
      <c r="F24" s="111" t="inlineStr">
        <is>
          <t>InterventionType is in 1..7, not 0.</t>
        </is>
      </c>
      <c r="G24" s="111" t="inlineStr">
        <is>
          <t>Good</t>
        </is>
      </c>
      <c r="H24" s="111" t="n"/>
      <c r="I24" s="111" t="n"/>
      <c r="J24" s="111" t="inlineStr">
        <is>
          <t>OPC 40450-1 Section 11.1 CU-29</t>
        </is>
      </c>
      <c r="K24" s="111" t="inlineStr">
        <is>
          <t>Requirement source: OPC 40450-1 Section 10.11 - InterventionType specific (1..7).</t>
        </is>
      </c>
    </row>
    <row r="25">
      <c r="A25" s="110" t="inlineStr">
        <is>
          <t>n</t>
        </is>
      </c>
      <c r="B25" s="110" t="n">
        <v>5</v>
      </c>
      <c r="C25" s="110" t="n">
        <v>0</v>
      </c>
      <c r="D25" s="110" t="inlineStr">
        <is>
          <t>Verify InterventionType 5 (ABORTED) when manual abort performed</t>
        </is>
      </c>
      <c r="E25" s="110" t="n"/>
      <c r="F25" s="110" t="n"/>
      <c r="G25" s="110" t="n"/>
      <c r="H25" s="110" t="n"/>
      <c r="I25" s="110" t="inlineStr">
        <is>
          <t>n</t>
        </is>
      </c>
      <c r="J25" s="110" t="inlineStr">
        <is>
          <t>OPC 40450-1 Section 11.1 CU-29</t>
        </is>
      </c>
      <c r="K25" s="110" t="n"/>
    </row>
    <row r="26">
      <c r="A26" s="111" t="n"/>
      <c r="B26" s="111" t="n"/>
      <c r="C26" s="111" t="n">
        <v>1</v>
      </c>
      <c r="D26" s="111" t="inlineStr">
        <is>
          <t>Manually abort joining operation. Read resulting InterventionType.</t>
        </is>
      </c>
      <c r="E26" s="111" t="inlineStr">
        <is>
          <t>Server claims this Conformance Unit; no additional runtime setup is needed for this step.</t>
        </is>
      </c>
      <c r="F26" s="111" t="inlineStr">
        <is>
          <t>InterventionType is 5 for abort intervention.</t>
        </is>
      </c>
      <c r="G26" s="111" t="inlineStr">
        <is>
          <t>Good</t>
        </is>
      </c>
      <c r="H26" s="111" t="n"/>
      <c r="I26" s="111" t="n"/>
      <c r="J26" s="111" t="inlineStr">
        <is>
          <t>OPC 40450-1 Section 11.1 CU-29</t>
        </is>
      </c>
      <c r="K26" s="111" t="inlineStr">
        <is>
          <t>Requirement source: OPC 40450-1 Section 10.11 - ABORTED=5.</t>
        </is>
      </c>
    </row>
  </sheetData>
  <mergeCells count="2">
    <mergeCell ref="A1:K1"/>
    <mergeCell ref="C2:J2"/>
  </mergeCells>
  <pageMargins left="0.7" right="0.7" top="0.75" bottom="0.75" header="0.3" footer="0.3"/>
</worksheet>
</file>

<file path=xl/worksheets/sheet36.xml><?xml version="1.0" encoding="utf-8"?>
<worksheet xmlns="http://schemas.openxmlformats.org/spreadsheetml/2006/main">
  <sheetPr codeName="Sheet33">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CU-30: IJT Batch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CU-30 — IJT Batch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BATCH_RESULT</t>
        </is>
      </c>
      <c r="E4" s="58" t="n"/>
      <c r="F4" s="58" t="n"/>
      <c r="G4" s="58" t="n"/>
      <c r="H4" s="58" t="n"/>
      <c r="I4" s="58" t="inlineStr">
        <is>
          <t>n</t>
        </is>
      </c>
      <c r="J4" s="58" t="inlineStr">
        <is>
          <t>OPC 40450-1 Section 11 (CU-30)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BATCH_RESULT (Classification=3). Inspect ResultMetaData.ResultCounters[].</t>
        </is>
      </c>
      <c r="E5" s="61" t="inlineStr">
        <is>
          <t>BATCH_RESULT available.</t>
        </is>
      </c>
      <c r="F5" s="61" t="inlineStr">
        <is>
          <t>ResultCounters[] is non-empty. Contains at least one ResultCounterDataType. Mandatory per CU-30 conformance requirement.</t>
        </is>
      </c>
      <c r="G5" s="61" t="inlineStr">
        <is>
          <t>Good</t>
        </is>
      </c>
      <c r="H5" s="61" t="inlineStr">
        <is>
          <t>Good</t>
        </is>
      </c>
      <c r="I5" s="61" t="n"/>
      <c r="J5" s="61" t="inlineStr">
        <is>
          <t>OPC 40450-1 Section 10 Table 228</t>
        </is>
      </c>
      <c r="K5" s="62" t="n"/>
    </row>
    <row r="6" ht="25.8" customHeight="1" s="132">
      <c r="A6" s="70" t="inlineStr">
        <is>
          <t>y</t>
        </is>
      </c>
      <c r="B6" s="71" t="n">
        <v>2</v>
      </c>
      <c r="C6" s="72" t="n">
        <v>0</v>
      </c>
      <c r="D6" s="72" t="inlineStr">
        <is>
          <t>Verify ResultCounters includes BATCH_SIZE (2) or BATCH_COUNT (3)</t>
        </is>
      </c>
      <c r="E6" s="72" t="n"/>
      <c r="F6" s="72" t="n"/>
      <c r="G6" s="72" t="n"/>
      <c r="H6" s="72" t="n"/>
      <c r="I6" s="72" t="inlineStr">
        <is>
          <t>n</t>
        </is>
      </c>
      <c r="J6" s="72" t="inlineStr">
        <is>
          <t>OPC 40450-1 Section 11 (CU-30) / Table 228</t>
        </is>
      </c>
      <c r="K6" s="73" t="n"/>
    </row>
    <row r="7" ht="38.7" customHeight="1" s="132">
      <c r="A7" s="61" t="n"/>
      <c r="B7" s="61" t="n"/>
      <c r="C7" s="61" t="n">
        <v>1</v>
      </c>
      <c r="D7" s="61" t="inlineStr">
        <is>
          <t>Inspect ResultCounters[] in a BATCH_RESULT. Filter entries where CounterType = 2 or CounterType = 3.</t>
        </is>
      </c>
      <c r="E7" s="61" t="inlineStr">
        <is>
          <t>ResultCounters[] non-empty in a BATCH_RESULT.</t>
        </is>
      </c>
      <c r="F7" s="61" t="inlineStr">
        <is>
          <t>At least one ResultCounterDataType has CounterType = 2 (BATCH_SIZE) or CounterType = 3 (BATCH_COUNT). CounterValue &gt; 0. This is the mandatory requirement for CU-30.</t>
        </is>
      </c>
      <c r="G7" s="61" t="inlineStr">
        <is>
          <t>Good</t>
        </is>
      </c>
      <c r="H7" s="61" t="inlineStr">
        <is>
          <t>Good</t>
        </is>
      </c>
      <c r="I7" s="61" t="n"/>
      <c r="J7" s="61" t="inlineStr">
        <is>
          <t>OPC 40450-1 Section 11 (CU-30) / Table 228</t>
        </is>
      </c>
      <c r="K7" s="61" t="inlineStr">
        <is>
          <t>CounterType 2=BATCH_SIZE (total), 3=BATCH_COUNT (completed so far)</t>
        </is>
      </c>
    </row>
    <row r="8">
      <c r="A8" s="67" t="inlineStr">
        <is>
          <t>y</t>
        </is>
      </c>
      <c r="B8" s="67" t="n">
        <v>3</v>
      </c>
      <c r="C8" s="67" t="n">
        <v>0</v>
      </c>
      <c r="D8" s="67" t="inlineStr">
        <is>
          <t>Verify BATCH_COUNT &lt;= BATCH_SIZE when both counters are present</t>
        </is>
      </c>
      <c r="E8" s="67" t="n"/>
      <c r="F8" s="67" t="n"/>
      <c r="G8" s="67" t="n"/>
      <c r="H8" s="67" t="n"/>
      <c r="I8" s="67" t="inlineStr">
        <is>
          <t>n</t>
        </is>
      </c>
      <c r="J8" s="67" t="inlineStr">
        <is>
          <t>OPC 40450-1 Section 10 Table 228</t>
        </is>
      </c>
      <c r="K8" s="67" t="n"/>
    </row>
    <row r="9" ht="38.7" customHeight="1" s="132">
      <c r="A9" s="61" t="n"/>
      <c r="B9" s="61" t="n"/>
      <c r="C9" s="61" t="n">
        <v>1</v>
      </c>
      <c r="D9" s="61" t="inlineStr">
        <is>
          <t>Find a BATCH_RESULT with both BATCH_SIZE (2) and BATCH_COUNT (3) in ResultCounters[].</t>
        </is>
      </c>
      <c r="E9" s="61" t="inlineStr">
        <is>
          <t>BATCH_RESULT with both BATCH_SIZE and BATCH_COUNT entries.</t>
        </is>
      </c>
      <c r="F9" s="61" t="inlineStr">
        <is>
          <t>BATCH_COUNT CounterValue &lt;= BATCH_SIZE CounterValue. A completed batch has BATCH_COUNT == BATCH_SIZE. A partial batch (IsPartial=True) has BATCH_COUNT &lt; BATCH_SIZE.</t>
        </is>
      </c>
      <c r="G9" s="61" t="inlineStr">
        <is>
          <t>Good</t>
        </is>
      </c>
      <c r="H9" s="61" t="inlineStr">
        <is>
          <t>Good</t>
        </is>
      </c>
      <c r="I9" s="61" t="n"/>
      <c r="J9" s="61" t="inlineStr">
        <is>
          <t>OPC 40450-1 Section 10 Table 228</t>
        </is>
      </c>
      <c r="K9" s="61" t="inlineStr">
        <is>
          <t>BATCH_SIZE = planned count; BATCH_COUNT = completed count</t>
        </is>
      </c>
    </row>
    <row r="10">
      <c r="A10" s="67" t="inlineStr">
        <is>
          <t>y</t>
        </is>
      </c>
      <c r="B10" s="67" t="n">
        <v>4</v>
      </c>
      <c r="C10" s="67" t="n">
        <v>0</v>
      </c>
      <c r="D10" s="67" t="inlineStr">
        <is>
          <t>Verify BATCH_SIZE is consistent across sub-results of the same batch</t>
        </is>
      </c>
      <c r="E10" s="67" t="n"/>
      <c r="F10" s="67" t="n"/>
      <c r="G10" s="67" t="n"/>
      <c r="H10" s="67" t="n"/>
      <c r="I10" s="67" t="inlineStr">
        <is>
          <t>n</t>
        </is>
      </c>
      <c r="J10" s="67" t="inlineStr">
        <is>
          <t>OPC 40450-1 Section 10 Table 228</t>
        </is>
      </c>
      <c r="K10" s="67" t="n"/>
    </row>
    <row r="11" ht="38.7" customHeight="1" s="132">
      <c r="A11" s="61" t="n"/>
      <c r="B11" s="61" t="n"/>
      <c r="C11" s="61" t="n">
        <v>1</v>
      </c>
      <c r="D11" s="61" t="inlineStr">
        <is>
          <t>Retrieve multiple BATCH_RESULTs from the same production run. Compare BATCH_SIZE values.</t>
        </is>
      </c>
      <c r="E11" s="61" t="inlineStr">
        <is>
          <t>Multiple BATCH_RESULTs from a single production batch sequence.</t>
        </is>
      </c>
      <c r="F11" s="61" t="inlineStr">
        <is>
          <t>BATCH_SIZE is the same value for all BATCH_RESULTs from the same configured batch. BATCH_COUNT increments by 1 for each completed operation in the batch.</t>
        </is>
      </c>
      <c r="G11" s="61" t="inlineStr">
        <is>
          <t>Good</t>
        </is>
      </c>
      <c r="H11" s="61" t="inlineStr">
        <is>
          <t>Good</t>
        </is>
      </c>
      <c r="I11" s="61" t="n"/>
      <c r="J11" s="61" t="inlineStr">
        <is>
          <t>OPC 40450-1 Section 10 Table 228</t>
        </is>
      </c>
      <c r="K11" s="61" t="n"/>
    </row>
    <row r="12">
      <c r="A12" s="67" t="inlineStr">
        <is>
          <t>y</t>
        </is>
      </c>
      <c r="B12" s="67" t="n">
        <v>5</v>
      </c>
      <c r="C12" s="67" t="n">
        <v>0</v>
      </c>
      <c r="D12" s="67" t="inlineStr">
        <is>
          <t>Verify RETRY_COUNT (4) is included when applicable</t>
        </is>
      </c>
      <c r="E12" s="67" t="n"/>
      <c r="F12" s="67" t="n"/>
      <c r="G12" s="67" t="n"/>
      <c r="H12" s="67" t="n"/>
      <c r="I12" s="67" t="inlineStr">
        <is>
          <t>n</t>
        </is>
      </c>
      <c r="J12" s="67" t="inlineStr">
        <is>
          <t>OPC 40450-1 Section 10 Table 228</t>
        </is>
      </c>
      <c r="K12" s="67" t="n"/>
    </row>
    <row r="13" ht="51.6" customHeight="1" s="132">
      <c r="A13" s="61" t="n"/>
      <c r="B13" s="61" t="n"/>
      <c r="C13" s="61" t="n">
        <v>1</v>
      </c>
      <c r="D13" s="61" t="inlineStr">
        <is>
          <t>If a batch operation includes rework/retry steps: check for CounterType = 4 (RETRY_COUNT).</t>
        </is>
      </c>
      <c r="E13" s="61" t="inlineStr">
        <is>
          <t>Device with rework/retry capability. A batch result with retries available.</t>
        </is>
      </c>
      <c r="F13" s="61" t="inlineStr">
        <is>
          <t>CounterType = 4 (RETRY_COUNT) is present in ResultCounters[] when retries occurred. CounterValue represents the number of retry operations performed.</t>
        </is>
      </c>
      <c r="G13" s="61" t="inlineStr">
        <is>
          <t>Good</t>
        </is>
      </c>
      <c r="H13" s="61" t="inlineStr">
        <is>
          <t>Good</t>
        </is>
      </c>
      <c r="I13" s="61" t="n"/>
      <c r="J13" s="61" t="inlineStr">
        <is>
          <t>OPC 40450-1 Section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BATCH_RESULT without ResultCounters[] is non-conformant for CU-30</t>
        </is>
      </c>
      <c r="E15" s="69" t="n"/>
      <c r="F15" s="69" t="n"/>
      <c r="G15" s="69" t="n"/>
      <c r="H15" s="69" t="n"/>
      <c r="I15" s="69" t="inlineStr">
        <is>
          <t>n</t>
        </is>
      </c>
      <c r="J15" s="69" t="inlineStr">
        <is>
          <t>OPC 40450-1 Section 11 (CU-30)</t>
        </is>
      </c>
      <c r="K15" s="69" t="n"/>
    </row>
    <row r="16" ht="38.7" customHeight="1" s="132">
      <c r="A16" s="61" t="n"/>
      <c r="B16" s="61" t="n"/>
      <c r="C16" s="61" t="n">
        <v>1</v>
      </c>
      <c r="D16" s="61" t="inlineStr">
        <is>
          <t>Retrieve all available BATCH_RESULTs. Verify each has at least one BATCH_SIZE or BATCH_COUNT counter.</t>
        </is>
      </c>
      <c r="E16" s="61" t="inlineStr">
        <is>
          <t>All available BATCH_RESULTs from a server claiming CU-30 conformance.</t>
        </is>
      </c>
      <c r="F16" s="61" t="inlineStr">
        <is>
          <t>Every BATCH_RESULT has ResultCounters[] non-empty with at least one BATCH_SIZE or BATCH_COUNT entry. BATCH_RESULTs without these counters violate CU-30 conformance.</t>
        </is>
      </c>
      <c r="G16" s="61" t="inlineStr">
        <is>
          <t>Good</t>
        </is>
      </c>
      <c r="H16" s="61" t="inlineStr">
        <is>
          <t>Good</t>
        </is>
      </c>
      <c r="I16" s="61" t="n"/>
      <c r="J16" s="61" t="inlineStr">
        <is>
          <t>OPC 40450-1 Section 11 (CU-30)</t>
        </is>
      </c>
      <c r="K16" s="61" t="n"/>
    </row>
    <row r="17">
      <c r="A17" s="69" t="inlineStr">
        <is>
          <t>n</t>
        </is>
      </c>
      <c r="B17" s="69" t="n">
        <v>2</v>
      </c>
      <c r="C17" s="69" t="n">
        <v>0</v>
      </c>
      <c r="D17" s="69" t="inlineStr">
        <is>
          <t>Verify CounterValue = 0 for BATCH_SIZE is not accepted</t>
        </is>
      </c>
      <c r="E17" s="69" t="n"/>
      <c r="F17" s="69" t="n"/>
      <c r="G17" s="69" t="n"/>
      <c r="H17" s="69" t="n"/>
      <c r="I17" s="69" t="inlineStr">
        <is>
          <t>n</t>
        </is>
      </c>
      <c r="J17" s="69" t="inlineStr">
        <is>
          <t>OPC 40450-1 Section 10 Table 228</t>
        </is>
      </c>
      <c r="K17" s="69" t="n"/>
    </row>
    <row r="18" ht="25.8" customHeight="1" s="132">
      <c r="A18" s="61" t="n"/>
      <c r="B18" s="61" t="n"/>
      <c r="C18" s="61" t="n">
        <v>1</v>
      </c>
      <c r="D18" s="61" t="inlineStr">
        <is>
          <t>Inspect BATCH_SIZE CounterValues across 3 BATCH_RESULTs.</t>
        </is>
      </c>
      <c r="E18" s="61" t="inlineStr">
        <is>
          <t>Three BATCH_RESULTs with BATCH_SIZE counters.</t>
        </is>
      </c>
      <c r="F18" s="61" t="inlineStr">
        <is>
          <t>BATCH_SIZE CounterValue &gt; 0 for all results. A batch with size zero is physically meaningless.</t>
        </is>
      </c>
      <c r="G18" s="61" t="inlineStr">
        <is>
          <t>Good</t>
        </is>
      </c>
      <c r="H18" s="61" t="inlineStr">
        <is>
          <t>Good</t>
        </is>
      </c>
      <c r="I18" s="61" t="n"/>
      <c r="J18" s="61" t="inlineStr">
        <is>
          <t>OPC 40450-1 Section 10 Table 228</t>
        </is>
      </c>
      <c r="K18" s="61" t="n"/>
    </row>
    <row r="19">
      <c r="A19" s="110" t="inlineStr">
        <is>
          <t>n</t>
        </is>
      </c>
      <c r="B19" s="110" t="n">
        <v>3</v>
      </c>
      <c r="C19" s="110" t="n">
        <v>0</v>
      </c>
      <c r="D19" s="110" t="inlineStr">
        <is>
          <t>Verify BATCH_SIZE(2) counter present in BATCH_RESULT</t>
        </is>
      </c>
      <c r="E19" s="110" t="n"/>
      <c r="F19" s="110" t="n"/>
      <c r="G19" s="110" t="n"/>
      <c r="H19" s="110" t="n"/>
      <c r="I19" s="110" t="inlineStr">
        <is>
          <t>n</t>
        </is>
      </c>
      <c r="J19" s="110" t="inlineStr">
        <is>
          <t>OPC 40450-1 Section 11.1 CU-30</t>
        </is>
      </c>
      <c r="K19" s="110" t="n"/>
    </row>
    <row r="20">
      <c r="A20" s="111" t="n"/>
      <c r="B20" s="111" t="n"/>
      <c r="C20" s="111" t="n">
        <v>1</v>
      </c>
      <c r="D20" s="111" t="inlineStr">
        <is>
          <t>Inspect ResultCounters of BATCH_RESULT.</t>
        </is>
      </c>
      <c r="E20" s="111" t="inlineStr">
        <is>
          <t>Server claims this Conformance Unit; no additional runtime setup is needed for this step.</t>
        </is>
      </c>
      <c r="F20" s="111" t="inlineStr">
        <is>
          <t>ResultCounter with CounterType=2 present.</t>
        </is>
      </c>
      <c r="G20" s="111" t="inlineStr">
        <is>
          <t>Good</t>
        </is>
      </c>
      <c r="H20" s="111" t="n"/>
      <c r="I20" s="111" t="n"/>
      <c r="J20" s="111" t="inlineStr">
        <is>
          <t>OPC 40450-1 Section 11.1 CU-30</t>
        </is>
      </c>
      <c r="K20" s="111" t="inlineStr">
        <is>
          <t>Requirement source: OPC 40450-1 Section 10.10 - BATCH_SIZE(2) expected.</t>
        </is>
      </c>
    </row>
    <row r="21">
      <c r="A21" s="110" t="inlineStr">
        <is>
          <t>n</t>
        </is>
      </c>
      <c r="B21" s="110" t="n">
        <v>4</v>
      </c>
      <c r="C21" s="110" t="n">
        <v>0</v>
      </c>
      <c r="D21" s="110" t="inlineStr">
        <is>
          <t>Verify BATCH_COUNT(3) &lt;= BATCH_SIZE(2) consistency</t>
        </is>
      </c>
      <c r="E21" s="110" t="n"/>
      <c r="F21" s="110" t="n"/>
      <c r="G21" s="110" t="n"/>
      <c r="H21" s="110" t="n"/>
      <c r="I21" s="110" t="inlineStr">
        <is>
          <t>n</t>
        </is>
      </c>
      <c r="J21" s="110" t="inlineStr">
        <is>
          <t>OPC 40450-1 Section 11.1 CU-30</t>
        </is>
      </c>
      <c r="K21" s="110" t="n"/>
    </row>
    <row r="22">
      <c r="A22" s="111" t="n"/>
      <c r="B22" s="111" t="n"/>
      <c r="C22" s="111" t="n">
        <v>1</v>
      </c>
      <c r="D22" s="111" t="inlineStr">
        <is>
          <t>Read BATCH_COUNT and BATCH_SIZE from ResultCounters.</t>
        </is>
      </c>
      <c r="E22" s="111" t="inlineStr">
        <is>
          <t>Server claims this Conformance Unit; no additional runtime setup is needed for this step.</t>
        </is>
      </c>
      <c r="F22" s="111" t="inlineStr">
        <is>
          <t>BATCH_COUNT.CounterValue &lt;= BATCH_SIZE.CounterValue.</t>
        </is>
      </c>
      <c r="G22" s="111" t="inlineStr">
        <is>
          <t>Good</t>
        </is>
      </c>
      <c r="H22" s="111" t="n"/>
      <c r="I22" s="111" t="n"/>
      <c r="J22" s="111" t="inlineStr">
        <is>
          <t>OPC 40450-1 Section 11.1 CU-30</t>
        </is>
      </c>
      <c r="K22" s="111" t="inlineStr">
        <is>
          <t>Requirement source: OPC 40450-1 Section 10.10 - Count cannot exceed size.</t>
        </is>
      </c>
    </row>
    <row r="23">
      <c r="A23" s="110" t="inlineStr">
        <is>
          <t>n</t>
        </is>
      </c>
      <c r="B23" s="110" t="n">
        <v>5</v>
      </c>
      <c r="C23" s="110" t="n">
        <v>0</v>
      </c>
      <c r="D23" s="110" t="inlineStr">
        <is>
          <t>Verify no duplicate CounterType entries in ResultCounters</t>
        </is>
      </c>
      <c r="E23" s="110" t="n"/>
      <c r="F23" s="110" t="n"/>
      <c r="G23" s="110" t="n"/>
      <c r="H23" s="110" t="n"/>
      <c r="I23" s="110" t="inlineStr">
        <is>
          <t>n</t>
        </is>
      </c>
      <c r="J23" s="110" t="inlineStr">
        <is>
          <t>OPC 40450-1 Section 11.1 CU-30</t>
        </is>
      </c>
      <c r="K23" s="110" t="n"/>
    </row>
    <row r="24">
      <c r="A24" s="111" t="n"/>
      <c r="B24" s="111" t="n"/>
      <c r="C24" s="111" t="n">
        <v>1</v>
      </c>
      <c r="D24" s="111" t="inlineStr">
        <is>
          <t>Inspect all ResultCounters. Collect CounterType values.</t>
        </is>
      </c>
      <c r="E24" s="111" t="inlineStr">
        <is>
          <t>Server claims this Conformance Unit; no additional runtime setup is needed for this step.</t>
        </is>
      </c>
      <c r="F24" s="111" t="inlineStr">
        <is>
          <t>No two entries have same CounterType.</t>
        </is>
      </c>
      <c r="G24" s="111" t="inlineStr">
        <is>
          <t>Good</t>
        </is>
      </c>
      <c r="H24" s="111" t="n"/>
      <c r="I24" s="111" t="n"/>
      <c r="J24" s="111" t="inlineStr">
        <is>
          <t>OPC 40450-1 Section 11.1 CU-30</t>
        </is>
      </c>
      <c r="K24" s="111" t="inlineStr">
        <is>
          <t>Requirement source: OPC 40450-1 Section 10.10 - Each CounterType at most once.</t>
        </is>
      </c>
    </row>
  </sheetData>
  <mergeCells count="2">
    <mergeCell ref="A1:K1"/>
    <mergeCell ref="C2:J2"/>
  </mergeCells>
  <pageMargins left="0.7" right="0.7" top="0.75" bottom="0.75" header="0.3" footer="0.3"/>
</worksheet>
</file>

<file path=xl/worksheets/sheet37.xml><?xml version="1.0" encoding="utf-8"?>
<worksheet xmlns="http://schemas.openxmlformats.org/spreadsheetml/2006/main">
  <sheetPr codeName="Sheet34">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CU-31: IJT Job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CU-31 — IJT Job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Job Result exists with Classification = JOB_RESULT (4)</t>
        </is>
      </c>
      <c r="E4" s="58" t="n"/>
      <c r="F4" s="58" t="n"/>
      <c r="G4" s="58" t="n"/>
      <c r="H4" s="58" t="n"/>
      <c r="I4" s="58" t="inlineStr">
        <is>
          <t>n</t>
        </is>
      </c>
      <c r="J4" s="58" t="inlineStr">
        <is>
          <t>OPC 40450-1 Section 10 Table 208 / Section 11 (CU-31)</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ResultMetaData.Classification = 4 (JOB_RESULT).</t>
        </is>
      </c>
      <c r="E5" s="61" t="inlineStr">
        <is>
          <t>Device that performs job-based joining operations with multiple programs. At least one JOB_RESULT available.</t>
        </is>
      </c>
      <c r="F5" s="61" t="inlineStr">
        <is>
          <t>ResultMetaData.Classification = 4 (JOB_RESULT). A job groups results from multiple different programs (vs BATCH which uses same program).</t>
        </is>
      </c>
      <c r="G5" s="61" t="inlineStr">
        <is>
          <t>Good</t>
        </is>
      </c>
      <c r="H5" s="61" t="inlineStr">
        <is>
          <t>Good</t>
        </is>
      </c>
      <c r="I5" s="61" t="n"/>
      <c r="J5" s="61" t="inlineStr">
        <is>
          <t>OPC 40450-1 Section 10 Table 208</t>
        </is>
      </c>
      <c r="K5" s="62" t="n"/>
    </row>
    <row r="6" ht="25.8" customHeight="1" s="132">
      <c r="A6" s="70" t="inlineStr">
        <is>
          <t>y</t>
        </is>
      </c>
      <c r="B6" s="71" t="n">
        <v>2</v>
      </c>
      <c r="C6" s="72" t="n">
        <v>0</v>
      </c>
      <c r="D6" s="72" t="inlineStr">
        <is>
          <t>Verify JOB_RESULT sub-results include multiple different program identifiers</t>
        </is>
      </c>
      <c r="E6" s="72" t="n"/>
      <c r="F6" s="72" t="n"/>
      <c r="G6" s="72" t="n"/>
      <c r="H6" s="72" t="n"/>
      <c r="I6" s="72" t="inlineStr">
        <is>
          <t>n</t>
        </is>
      </c>
      <c r="J6" s="72" t="inlineStr">
        <is>
          <t>OPC 40450-1 Section 10 Table 208</t>
        </is>
      </c>
      <c r="K6" s="73" t="n"/>
    </row>
    <row r="7" ht="51.6" customHeight="1" s="132">
      <c r="A7" s="61" t="n"/>
      <c r="B7" s="61" t="n"/>
      <c r="C7" s="61" t="n">
        <v>1</v>
      </c>
      <c r="D7" s="61" t="inlineStr">
        <is>
          <t>Inspect sub-results of a JOB_RESULT. Check AssociatedEntities for PROGRAM (EntityType=27) identifiers across sub-results.</t>
        </is>
      </c>
      <c r="E7" s="61" t="inlineStr">
        <is>
          <t>JOB_RESULT with at least 2 sub-results.</t>
        </is>
      </c>
      <c r="F7" s="61" t="inlineStr">
        <is>
          <t>Sub-results reference different ProgramIds (different EntityType=27 EntityId values). This confirms the "different programs" constraint for JOB_RESULT per spec: "group of results done with different programs".</t>
        </is>
      </c>
      <c r="G7" s="61" t="inlineStr">
        <is>
          <t>Good</t>
        </is>
      </c>
      <c r="H7" s="61" t="inlineStr">
        <is>
          <t>Good</t>
        </is>
      </c>
      <c r="I7" s="61" t="n"/>
      <c r="J7" s="61" t="inlineStr">
        <is>
          <t>OPC 40450-1 Section 10 Table 208 / Table 226</t>
        </is>
      </c>
      <c r="K7" s="61" t="inlineStr">
        <is>
          <t>JOB_RESULT = different programs; BATCH_RESULT = same program</t>
        </is>
      </c>
    </row>
    <row r="8">
      <c r="A8" s="67" t="inlineStr">
        <is>
          <t>y</t>
        </is>
      </c>
      <c r="B8" s="67" t="n">
        <v>3</v>
      </c>
      <c r="C8" s="67" t="n">
        <v>0</v>
      </c>
      <c r="D8" s="67" t="inlineStr">
        <is>
          <t>Verify JOB_RESULT ResultContent contains the expected sub-results</t>
        </is>
      </c>
      <c r="E8" s="67" t="n"/>
      <c r="F8" s="67" t="n"/>
      <c r="G8" s="67" t="n"/>
      <c r="H8" s="67" t="n"/>
      <c r="I8" s="67" t="inlineStr">
        <is>
          <t>n</t>
        </is>
      </c>
      <c r="J8" s="67" t="inlineStr">
        <is>
          <t>OPC 40450-1 Section 10 Table 208</t>
        </is>
      </c>
      <c r="K8" s="67" t="n"/>
    </row>
    <row r="9" ht="38.7" customHeight="1" s="132">
      <c r="A9" s="61" t="n"/>
      <c r="B9" s="61" t="n"/>
      <c r="C9" s="61" t="n">
        <v>1</v>
      </c>
      <c r="D9" s="61" t="inlineStr">
        <is>
          <t>Decode ResultContent of the JOB_RESULT.</t>
        </is>
      </c>
      <c r="E9" s="61" t="inlineStr">
        <is>
          <t>JOB_RESULT retrieved.</t>
        </is>
      </c>
      <c r="F9" s="61" t="inlineStr">
        <is>
          <t>ResultContent decodes as one or more 5:ResultDataType. Each sub-result has Classification = SINGLE_RESULT (1), BATCH_RESULT (3), or SYNC_RESULT (2). Non-empty.</t>
        </is>
      </c>
      <c r="G9" s="61" t="inlineStr">
        <is>
          <t>Good</t>
        </is>
      </c>
      <c r="H9" s="61" t="inlineStr">
        <is>
          <t>Good</t>
        </is>
      </c>
      <c r="I9" s="61" t="n"/>
      <c r="J9" s="61" t="inlineStr">
        <is>
          <t>OPC 40450-1 Section 10 Table 208</t>
        </is>
      </c>
      <c r="K9" s="61" t="n"/>
    </row>
    <row r="10">
      <c r="A10" s="67" t="inlineStr">
        <is>
          <t>y</t>
        </is>
      </c>
      <c r="B10" s="67" t="n">
        <v>4</v>
      </c>
      <c r="C10" s="67" t="n">
        <v>0</v>
      </c>
      <c r="D10" s="67" t="inlineStr">
        <is>
          <t>Verify JOB identifier is present in AssociatedEntities</t>
        </is>
      </c>
      <c r="E10" s="67" t="n"/>
      <c r="F10" s="67" t="n"/>
      <c r="G10" s="67" t="n"/>
      <c r="H10" s="67" t="n"/>
      <c r="I10" s="67" t="inlineStr">
        <is>
          <t>n</t>
        </is>
      </c>
      <c r="J10" s="67" t="inlineStr">
        <is>
          <t>OPC 40450-1 Section 10 Table 226</t>
        </is>
      </c>
      <c r="K10" s="67" t="n"/>
    </row>
    <row r="11" ht="25.8" customHeight="1" s="132">
      <c r="A11" s="61" t="n"/>
      <c r="B11" s="61" t="n"/>
      <c r="C11" s="61" t="n">
        <v>1</v>
      </c>
      <c r="D11" s="61" t="inlineStr">
        <is>
          <t>Inspect JOB_RESULT ResultMetaData.AssociatedEntities[] for EntityType = 28 (JOB).</t>
        </is>
      </c>
      <c r="E11" s="61" t="inlineStr">
        <is>
          <t>JOB_RESULT with AssociatedEntities populated.</t>
        </is>
      </c>
      <c r="F11" s="61" t="inlineStr">
        <is>
          <t>At least one EntityDataType entry has EntityType = 28 (JOB). EntityId identifies the specific job definition that was executed.</t>
        </is>
      </c>
      <c r="G11" s="61" t="inlineStr">
        <is>
          <t>Good</t>
        </is>
      </c>
      <c r="H11" s="61" t="inlineStr">
        <is>
          <t>Good</t>
        </is>
      </c>
      <c r="I11" s="61" t="n"/>
      <c r="J11" s="61" t="inlineStr">
        <is>
          <t>OPC 40450-1 Section 10 Table 226</t>
        </is>
      </c>
      <c r="K11" s="61" t="inlineStr">
        <is>
          <t>EntityType 28=JOB</t>
        </is>
      </c>
    </row>
    <row r="12">
      <c r="A12" s="67" t="inlineStr">
        <is>
          <t>n</t>
        </is>
      </c>
      <c r="B12" s="67" t="n">
        <v>5</v>
      </c>
      <c r="C12" s="67" t="n">
        <v>0</v>
      </c>
      <c r="D12" s="67" t="inlineStr">
        <is>
          <t>[Optional helper — method retrieval test, not content conformance] Verify JOB_RESULT can be retrieved via GetResultById</t>
        </is>
      </c>
      <c r="E12" s="67" t="n"/>
      <c r="F12" s="67" t="n"/>
      <c r="G12" s="67" t="n"/>
      <c r="H12" s="67" t="n"/>
      <c r="I12" s="67" t="inlineStr">
        <is>
          <t>n</t>
        </is>
      </c>
      <c r="J12" s="67" t="inlineStr">
        <is>
          <t>OPC 40450-1 Section 7.5</t>
        </is>
      </c>
      <c r="K12" s="67" t="n"/>
    </row>
    <row r="13" ht="25.8" customHeight="1" s="132">
      <c r="A13" s="61" t="n"/>
      <c r="B13" s="61" t="n"/>
      <c r="C13" s="61" t="n">
        <v>1</v>
      </c>
      <c r="D13" s="61" t="inlineStr">
        <is>
          <t>[Optional helper — method retrieval test] Obtain ResultId of a JOB_RESULT. Call GetResultById.</t>
        </is>
      </c>
      <c r="E13" s="61" t="inlineStr">
        <is>
          <t>Optional helper precondition: JOB_RESULT ResultId known. GetResultById available.</t>
        </is>
      </c>
      <c r="F13" s="61" t="inlineStr">
        <is>
          <t>Optional helper expected result: GetResultById returns the full JOB_RESULT including all sub-results. Classification = 4 confirmed.</t>
        </is>
      </c>
      <c r="G13" s="61" t="inlineStr">
        <is>
          <t>Good</t>
        </is>
      </c>
      <c r="H13" s="61" t="inlineStr">
        <is>
          <t>Good</t>
        </is>
      </c>
      <c r="I13" s="61" t="n"/>
      <c r="J13" s="61" t="inlineStr">
        <is>
          <t>OPC 40450-1 Section 7.5</t>
        </is>
      </c>
      <c r="K13" s="61" t="n"/>
    </row>
    <row r="14" ht="25.8" customHeight="1" s="132">
      <c r="A14" s="67" t="inlineStr">
        <is>
          <t>n</t>
        </is>
      </c>
      <c r="B14" s="67" t="n">
        <v>6</v>
      </c>
      <c r="C14" s="67" t="n">
        <v>0</v>
      </c>
      <c r="D14" s="67" t="inlineStr">
        <is>
          <t>[Optional helper — method filter test, not content conformance] Check GetResultIdListFiltered behavior for JOB_RESULT using a ContentFilter WHERE clause selecting Classification = 4.</t>
        </is>
      </c>
      <c r="E14" s="67" t="n"/>
      <c r="F14" s="67" t="n"/>
      <c r="G14" s="67" t="n"/>
      <c r="H14" s="67" t="n"/>
      <c r="I14" s="67" t="inlineStr">
        <is>
          <t>n</t>
        </is>
      </c>
      <c r="J14" s="67" t="inlineStr">
        <is>
          <t>OPC 40450-1 Section 7.5</t>
        </is>
      </c>
      <c r="K14" s="67" t="n"/>
    </row>
    <row r="15" ht="25.8" customHeight="1" s="132">
      <c r="A15" s="61" t="n"/>
      <c r="B15" s="61" t="n"/>
      <c r="C15" s="61" t="n">
        <v>1</v>
      </c>
      <c r="D15" s="61" t="inlineStr">
        <is>
          <t>[Optional helper — method filter test] Call GetResultIdListFiltered with a ContentFilter WHERE clause selecting Classification = 4 (JOB_RESULT only).</t>
        </is>
      </c>
      <c r="E15" s="61" t="inlineStr">
        <is>
          <t>Optional helper precondition: GetResultIdListFiltered available. At least one JOB_RESULT stored.</t>
        </is>
      </c>
      <c r="F15" s="61" t="inlineStr">
        <is>
          <t>Optional helper expected result: Returned list contains only JOB_RESULT ResultIds. No SINGLE_RESULT or other classification appears.</t>
        </is>
      </c>
      <c r="G15" s="61" t="inlineStr">
        <is>
          <t>Good</t>
        </is>
      </c>
      <c r="H15" s="61" t="inlineStr">
        <is>
          <t>Good</t>
        </is>
      </c>
      <c r="I15" s="61" t="n"/>
      <c r="J15" s="61" t="inlineStr">
        <is>
          <t>OPC 40450-1 Section 7.5</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GetResultIdListFiltered with Classifications=[4] returns no results when none exist</t>
        </is>
      </c>
      <c r="E17" s="69" t="n"/>
      <c r="F17" s="69" t="n"/>
      <c r="G17" s="69" t="n"/>
      <c r="H17" s="69" t="n"/>
      <c r="I17" s="69" t="inlineStr">
        <is>
          <t>n</t>
        </is>
      </c>
      <c r="J17" s="69" t="inlineStr">
        <is>
          <t>OPC 40450-1 Section 7.5</t>
        </is>
      </c>
      <c r="K17" s="69" t="n"/>
    </row>
    <row r="18" ht="25.8" customHeight="1" s="132">
      <c r="A18" s="61" t="n"/>
      <c r="B18" s="61" t="n"/>
      <c r="C18" s="61" t="n">
        <v>1</v>
      </c>
      <c r="D18" s="61" t="inlineStr">
        <is>
          <t>[Optional helper — method filter test] Call GetResultIdListFiltered with a ContentFilter WHERE clause selecting Classification = 4 on a device that has no JOB_RESULTs stored.</t>
        </is>
      </c>
      <c r="E18" s="61" t="inlineStr">
        <is>
          <t>Optional helper precondition: Device that has not generated any JOB_RESULTs (Classification=4) in current session.</t>
        </is>
      </c>
      <c r="F18" s="61" t="inlineStr">
        <is>
          <t>Optional helper expected result: GetResultIdListFiltered returns Good with an empty ResultIdList. No error for a valid filter that matches zero stored results.</t>
        </is>
      </c>
      <c r="G18" s="61" t="inlineStr">
        <is>
          <t>Good</t>
        </is>
      </c>
      <c r="H18" s="61" t="inlineStr">
        <is>
          <t>Good</t>
        </is>
      </c>
      <c r="I18" s="61" t="n"/>
      <c r="J18" s="61" t="inlineStr">
        <is>
          <t>OPC 40450-1 Section 7.5</t>
        </is>
      </c>
      <c r="K18" s="61" t="n"/>
    </row>
    <row r="19">
      <c r="A19" s="69" t="inlineStr">
        <is>
          <t>n</t>
        </is>
      </c>
      <c r="B19" s="69" t="n">
        <v>2</v>
      </c>
      <c r="C19" s="69" t="n">
        <v>0</v>
      </c>
      <c r="D19" s="69" t="inlineStr">
        <is>
          <t>Verify JOB_RESULT without sub-results is handled</t>
        </is>
      </c>
      <c r="E19" s="69" t="n"/>
      <c r="F19" s="69" t="n"/>
      <c r="G19" s="69" t="n"/>
      <c r="H19" s="69" t="n"/>
      <c r="I19" s="69" t="inlineStr">
        <is>
          <t>n</t>
        </is>
      </c>
      <c r="J19" s="69" t="inlineStr">
        <is>
          <t>OPC 40450-1 Section 10 Table 208</t>
        </is>
      </c>
      <c r="K19" s="69" t="n"/>
    </row>
    <row r="20" ht="38.7" customHeight="1" s="132">
      <c r="A20" s="61" t="n"/>
      <c r="B20" s="61" t="n"/>
      <c r="C20" s="61" t="n">
        <v>1</v>
      </c>
      <c r="D20" s="61" t="inlineStr">
        <is>
          <t>If available, retrieve a JOB_RESULT with an empty ResultContent (job aborted before any operation).</t>
        </is>
      </c>
      <c r="E20" s="61" t="inlineStr">
        <is>
          <t>A JOB_RESULT where the job was aborted before any sub-results were generated.</t>
        </is>
      </c>
      <c r="F20" s="61" t="inlineStr">
        <is>
          <t>An empty parent ResultContent is not valid positive evidence for JOB_RESULT content. For CU-41/CU-27 conformance, the JOB_RESULT parent ResultContent shall contain one or more child ResultDataType entries. If a server exposes a job with no sub-results, record it as implementation-specific and do not count it as the positive content-shape test.</t>
        </is>
      </c>
      <c r="G20" s="61" t="inlineStr">
        <is>
          <t>Good</t>
        </is>
      </c>
      <c r="H20" s="61" t="inlineStr">
        <is>
          <t>Implementation-specific; not positive CU evidence</t>
        </is>
      </c>
      <c r="I20" s="61" t="n"/>
      <c r="J20" s="61" t="inlineStr">
        <is>
          <t>OPC 40450-1 Section 10 Table 208</t>
        </is>
      </c>
      <c r="K20" s="61" t="n"/>
    </row>
    <row r="21">
      <c r="A21" s="110" t="inlineStr">
        <is>
          <t>n</t>
        </is>
      </c>
      <c r="B21" s="110" t="n">
        <v>3</v>
      </c>
      <c r="C21" s="110" t="n">
        <v>0</v>
      </c>
      <c r="D21" s="110" t="inlineStr">
        <is>
          <t>Verify JOB_RESULT Classification=4</t>
        </is>
      </c>
      <c r="E21" s="110" t="n"/>
      <c r="F21" s="110" t="n"/>
      <c r="G21" s="110" t="n"/>
      <c r="H21" s="110" t="n"/>
      <c r="I21" s="110" t="inlineStr">
        <is>
          <t>n</t>
        </is>
      </c>
      <c r="J21" s="110" t="inlineStr">
        <is>
          <t>OPC 40450-1 Section 11.1 CU-31</t>
        </is>
      </c>
      <c r="K21" s="110" t="n"/>
    </row>
    <row r="22">
      <c r="A22" s="111" t="n"/>
      <c r="B22" s="111" t="n"/>
      <c r="C22" s="111" t="n">
        <v>1</v>
      </c>
      <c r="D22" s="111" t="inlineStr">
        <is>
          <t>Read Classification from JOB_RESULT.</t>
        </is>
      </c>
      <c r="E22" s="111" t="inlineStr">
        <is>
          <t>Server claims this Conformance Unit; no additional runtime setup is needed for this step.</t>
        </is>
      </c>
      <c r="F22" s="111" t="inlineStr">
        <is>
          <t>Classification is exactly 4.</t>
        </is>
      </c>
      <c r="G22" s="111" t="inlineStr">
        <is>
          <t>Good</t>
        </is>
      </c>
      <c r="H22" s="111" t="n"/>
      <c r="I22" s="111" t="n"/>
      <c r="J22" s="111" t="inlineStr">
        <is>
          <t>OPC 40450-1 Section 11.1 CU-31</t>
        </is>
      </c>
      <c r="K22" s="111" t="inlineStr">
        <is>
          <t>Requirement source: OPC 40450-1 Table 208 - JOB_RESULT=4.</t>
        </is>
      </c>
    </row>
    <row r="23">
      <c r="A23" s="110" t="inlineStr">
        <is>
          <t>n</t>
        </is>
      </c>
      <c r="B23" s="110" t="n">
        <v>4</v>
      </c>
      <c r="C23" s="110" t="n">
        <v>0</v>
      </c>
      <c r="D23" s="110" t="inlineStr">
        <is>
          <t>Verify JOB_RESULT sub-results may reference different process/program entities</t>
        </is>
      </c>
      <c r="E23" s="110" t="n"/>
      <c r="F23" s="110" t="n"/>
      <c r="G23" s="110" t="n"/>
      <c r="H23" s="110" t="n"/>
      <c r="I23" s="110" t="inlineStr">
        <is>
          <t>n</t>
        </is>
      </c>
      <c r="J23" s="110" t="inlineStr">
        <is>
          <t>OPC 40450-1 Section 11.1 CU-31</t>
        </is>
      </c>
      <c r="K23" s="110" t="n"/>
    </row>
    <row r="24" ht="25.8" customHeight="1" s="132">
      <c r="A24" s="111" t="n"/>
      <c r="B24" s="111" t="n"/>
      <c r="C24" s="111" t="n">
        <v>1</v>
      </c>
      <c r="D24" s="111" t="inlineStr">
        <is>
          <t>Read AssociatedEntities from each sub-result of JOB_RESULT.</t>
        </is>
      </c>
      <c r="E24" s="111" t="inlineStr">
        <is>
          <t>Server claims this Conformance Unit; no additional runtime setup is needed for this step.</t>
        </is>
      </c>
      <c r="F24" s="111" t="inlineStr">
        <is>
          <t>Sub-results may reference different process/program EntityDataType entries. This is valid for JOB_RESULT.</t>
        </is>
      </c>
      <c r="G24" s="111" t="inlineStr">
        <is>
          <t>Good</t>
        </is>
      </c>
      <c r="H24" s="111" t="inlineStr">
        <is>
          <t>Different process/program EntityDataType entries allowed</t>
        </is>
      </c>
      <c r="I24" s="111" t="n"/>
      <c r="J24" s="111" t="inlineStr">
        <is>
          <t>OPC 40450-1 Section 11.1 CU-31</t>
        </is>
      </c>
      <c r="K24" s="111" t="inlineStr">
        <is>
          <t>Requirement source: OPC 40450-1 Section 10.12 - JOB aggregates different programs/processes.</t>
        </is>
      </c>
    </row>
    <row r="25">
      <c r="A25" s="110" t="inlineStr">
        <is>
          <t>n</t>
        </is>
      </c>
      <c r="B25" s="110" t="n">
        <v>5</v>
      </c>
      <c r="C25" s="110" t="n">
        <v>0</v>
      </c>
      <c r="D25" s="110" t="inlineStr">
        <is>
          <t>Verify JOB_RESULT sub-results are SINGLE_RESULT or BATCH_RESULT</t>
        </is>
      </c>
      <c r="E25" s="110" t="n"/>
      <c r="F25" s="110" t="n"/>
      <c r="G25" s="110" t="n"/>
      <c r="H25" s="110" t="n"/>
      <c r="I25" s="110" t="inlineStr">
        <is>
          <t>n</t>
        </is>
      </c>
      <c r="J25" s="110" t="inlineStr">
        <is>
          <t>OPC 40450-1 Section 11.1 CU-31</t>
        </is>
      </c>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All sub-result Classifications in {1,3}.</t>
        </is>
      </c>
      <c r="G26" s="111" t="inlineStr">
        <is>
          <t>Good</t>
        </is>
      </c>
      <c r="H26" s="111" t="n"/>
      <c r="I26" s="111" t="n"/>
      <c r="J26" s="111" t="inlineStr">
        <is>
          <t>OPC 40450-1 Section 11.1 CU-31</t>
        </is>
      </c>
      <c r="K26" s="111" t="inlineStr">
        <is>
          <t>Requirement source: OPC 40450-1 Section 10.12 - Sub-results must be Classification 1 or 3.</t>
        </is>
      </c>
    </row>
  </sheetData>
  <mergeCells count="2">
    <mergeCell ref="A1:K1"/>
    <mergeCell ref="C2:J2"/>
  </mergeCells>
  <pageMargins left="0.7" right="0.7" top="0.75" bottom="0.75" header="0.3" footer="0.3"/>
</worksheet>
</file>

<file path=xl/worksheets/sheet38.xml><?xml version="1.0" encoding="utf-8"?>
<worksheet xmlns="http://schemas.openxmlformats.org/spreadsheetml/2006/main">
  <sheetPr codeName="Sheet3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CU-32: IJT Result Value FINAL Tag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CU-32 — IJT Result Value FINAL Tag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ValueTag = FINAL (1)</t>
        </is>
      </c>
      <c r="E4" s="58" t="n"/>
      <c r="F4" s="58" t="n"/>
      <c r="G4" s="58" t="n"/>
      <c r="H4" s="58" t="n"/>
      <c r="I4" s="58" t="inlineStr">
        <is>
          <t>n</t>
        </is>
      </c>
      <c r="J4" s="58" t="inlineStr">
        <is>
          <t>OPC 40450-1 Section 11 (CU-32)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Inspect StepResults[].StepResultValues[]. Filter entries where ValueTag = 1 (FINAL).</t>
        </is>
      </c>
      <c r="E5" s="61" t="inlineStr">
        <is>
          <t>At least one single result with StepResultValues[] populated. Device configured for FINAL tag.</t>
        </is>
      </c>
      <c r="F5" s="61" t="inlineStr">
        <is>
          <t>At least one ResultValueDataType entry has ValueTag = 1 (FINAL). FINAL indicates the final reported measurement value for the joining operation.</t>
        </is>
      </c>
      <c r="G5" s="61" t="inlineStr">
        <is>
          <t>Good</t>
        </is>
      </c>
      <c r="H5" s="61" t="inlineStr">
        <is>
          <t>Good</t>
        </is>
      </c>
      <c r="I5" s="61" t="n"/>
      <c r="J5" s="61" t="inlineStr">
        <is>
          <t>OPC 40450-1 Section 10 Table 212 (ValueTag 1=FINAL)</t>
        </is>
      </c>
      <c r="K5" s="62" t="n"/>
    </row>
    <row r="6" ht="25.8" customHeight="1" s="132">
      <c r="A6" s="70" t="inlineStr">
        <is>
          <t>y</t>
        </is>
      </c>
      <c r="B6" s="71" t="n">
        <v>2</v>
      </c>
      <c r="C6" s="72" t="n">
        <v>0</v>
      </c>
      <c r="D6" s="72" t="inlineStr">
        <is>
          <t>Verify FINAL-tagged value corresponds to Torque or Angle PhysicalQuantity</t>
        </is>
      </c>
      <c r="E6" s="72" t="n"/>
      <c r="F6" s="72" t="n"/>
      <c r="G6" s="72" t="n"/>
      <c r="H6" s="72" t="n"/>
      <c r="I6" s="72" t="inlineStr">
        <is>
          <t>n</t>
        </is>
      </c>
      <c r="J6" s="72" t="inlineStr">
        <is>
          <t>OPC 40450-1 Section 11 (CU-32)</t>
        </is>
      </c>
      <c r="K6" s="73" t="n"/>
    </row>
    <row r="7" ht="38.7" customHeight="1" s="132">
      <c r="A7" s="61" t="n"/>
      <c r="B7" s="61" t="n"/>
      <c r="C7" s="61" t="n">
        <v>1</v>
      </c>
      <c r="D7" s="61" t="inlineStr">
        <is>
          <t>Filter ResultValueDataType entries where ValueTag = 1 (FINAL). Check PhysicalQuantity.</t>
        </is>
      </c>
      <c r="E7" s="61" t="inlineStr">
        <is>
          <t>FINAL-tagged entries found in Step 1.</t>
        </is>
      </c>
      <c r="F7" s="61" t="inlineStr">
        <is>
          <t>At least one FINAL entry has PhysicalQuantity corresponding to TORQUE or ANGLE per Section 9.1. CU-32 requirement: "at least one element of Torque and Angle Value".</t>
        </is>
      </c>
      <c r="G7" s="61" t="inlineStr">
        <is>
          <t>Good</t>
        </is>
      </c>
      <c r="H7" s="61" t="inlineStr">
        <is>
          <t>Good</t>
        </is>
      </c>
      <c r="I7" s="61" t="n"/>
      <c r="J7" s="61" t="inlineStr">
        <is>
          <t>OPC 40450-1 Section 11 (CU-32) / Section 9.1</t>
        </is>
      </c>
      <c r="K7" s="61" t="inlineStr">
        <is>
          <t>PhysicalQuantity values per Section 9.1: e.g. TORQUE=1, ANGLE=2</t>
        </is>
      </c>
    </row>
    <row r="8">
      <c r="A8" s="67" t="inlineStr">
        <is>
          <t>y</t>
        </is>
      </c>
      <c r="B8" s="67" t="n">
        <v>3</v>
      </c>
      <c r="C8" s="67" t="n">
        <v>0</v>
      </c>
      <c r="D8" s="67" t="inlineStr">
        <is>
          <t>Verify FINAL tag may appear in OverallResultValues as well</t>
        </is>
      </c>
      <c r="E8" s="67" t="n"/>
      <c r="F8" s="67" t="n"/>
      <c r="G8" s="67" t="n"/>
      <c r="H8" s="67" t="n"/>
      <c r="I8" s="67" t="inlineStr">
        <is>
          <t>n</t>
        </is>
      </c>
      <c r="J8" s="67" t="inlineStr">
        <is>
          <t>OPC 40450-1 Section 11 (CU-32)</t>
        </is>
      </c>
      <c r="K8" s="67" t="n"/>
    </row>
    <row r="9" ht="51.6" customHeight="1" s="132">
      <c r="A9" s="61" t="n"/>
      <c r="B9" s="61" t="n"/>
      <c r="C9" s="61" t="n">
        <v>1</v>
      </c>
      <c r="D9" s="61" t="inlineStr">
        <is>
          <t>Inspect OverallResultValues[] entries for ValueTag = 1 (FINAL).</t>
        </is>
      </c>
      <c r="E9" s="61" t="inlineStr">
        <is>
          <t>A result with OverallResultValues[] populated.</t>
        </is>
      </c>
      <c r="F9" s="61" t="inlineStr">
        <is>
          <t>FINAL tag is allowed in OverallResultValues[] per spec: "allowed to include key ResultValues with ValueTag = FINAL in OverallResultValues[]." If present, same validation applies (Torque or Angle expected).</t>
        </is>
      </c>
      <c r="G9" s="61" t="inlineStr">
        <is>
          <t>Good</t>
        </is>
      </c>
      <c r="H9" s="61" t="inlineStr">
        <is>
          <t>Good</t>
        </is>
      </c>
      <c r="I9" s="61" t="n"/>
      <c r="J9" s="61" t="inlineStr">
        <is>
          <t>OPC 40450-1 Section 11 (CU-32)</t>
        </is>
      </c>
      <c r="K9" s="61" t="n"/>
    </row>
    <row r="10" ht="25.8" customHeight="1" s="132">
      <c r="A10" s="67" t="inlineStr">
        <is>
          <t>y</t>
        </is>
      </c>
      <c r="B10" s="67" t="n">
        <v>4</v>
      </c>
      <c r="C10" s="67" t="n">
        <v>0</v>
      </c>
      <c r="D10" s="67" t="inlineStr">
        <is>
          <t>Verify each program step produces at most one FINAL value per PhysicalQuantity</t>
        </is>
      </c>
      <c r="E10" s="67" t="n"/>
      <c r="F10" s="67" t="n"/>
      <c r="G10" s="67" t="n"/>
      <c r="H10" s="67" t="n"/>
      <c r="I10" s="67" t="inlineStr">
        <is>
          <t>n</t>
        </is>
      </c>
      <c r="J10" s="67" t="inlineStr">
        <is>
          <t>OPC 40450-1 Section 11 (CU-32)</t>
        </is>
      </c>
      <c r="K10" s="67" t="n"/>
    </row>
    <row r="11" ht="38.7" customHeight="1" s="132">
      <c r="A11" s="61" t="n"/>
      <c r="B11" s="61" t="n"/>
      <c r="C11" s="61" t="n">
        <v>1</v>
      </c>
      <c r="D11" s="61" t="inlineStr">
        <is>
          <t>For a single StepResultDataType, count FINAL-tagged entries per PhysicalQuantity.</t>
        </is>
      </c>
      <c r="E11" s="61" t="inlineStr">
        <is>
          <t>A StepResultDataType with 2+ StepResultValues entries.</t>
        </is>
      </c>
      <c r="F11" s="61" t="inlineStr">
        <is>
          <t>Each PhysicalQuantity has at most one FINAL-tagged value within a single step. Multiple FINAL Torque values in the same step would be ambiguous.</t>
        </is>
      </c>
      <c r="G11" s="61" t="inlineStr">
        <is>
          <t>Good</t>
        </is>
      </c>
      <c r="H11" s="61" t="inlineStr">
        <is>
          <t>Good</t>
        </is>
      </c>
      <c r="I11" s="61" t="n"/>
      <c r="J11" s="61" t="inlineStr">
        <is>
          <t>OPC 40450-1 Section 11 (CU-32) / Table 212</t>
        </is>
      </c>
      <c r="K11" s="61" t="n"/>
    </row>
    <row r="12" ht="25.8" customHeight="1" s="132">
      <c r="A12" s="67" t="inlineStr">
        <is>
          <t>y</t>
        </is>
      </c>
      <c r="B12" s="67" t="n">
        <v>5</v>
      </c>
      <c r="C12" s="67" t="n">
        <v>0</v>
      </c>
      <c r="D12" s="67" t="inlineStr">
        <is>
          <t>Verify FINAL-tagged MeasuredValue is physically reasonable for the joining technology</t>
        </is>
      </c>
      <c r="E12" s="67" t="n"/>
      <c r="F12" s="67" t="n"/>
      <c r="G12" s="67" t="n"/>
      <c r="H12" s="67" t="n"/>
      <c r="I12" s="67" t="inlineStr">
        <is>
          <t>n</t>
        </is>
      </c>
      <c r="J12" s="67" t="inlineStr">
        <is>
          <t>OPC 40450-1 Section 11 (CU-32)</t>
        </is>
      </c>
      <c r="K12" s="67" t="n"/>
    </row>
    <row r="13" ht="38.7" customHeight="1" s="132">
      <c r="A13" s="61" t="n"/>
      <c r="B13" s="61" t="n"/>
      <c r="C13" s="61" t="n">
        <v>1</v>
      </c>
      <c r="D13" s="61" t="inlineStr">
        <is>
          <t>Read FINAL Torque and Angle values from 3 successful SINGLE_RESULTs.</t>
        </is>
      </c>
      <c r="E13" s="61" t="inlineStr">
        <is>
          <t>Three SINGLE_RESULTs with FINAL-tagged Torque and Angle values.</t>
        </is>
      </c>
      <c r="F13" s="61" t="inlineStr">
        <is>
          <t>FINAL Torque &gt; 0 Nm (positive torque for a tightening operation). FINAL Angle &gt; 0 degrees. Values are within the physical range of the configured joining program.</t>
        </is>
      </c>
      <c r="G13" s="61" t="inlineStr">
        <is>
          <t>Good</t>
        </is>
      </c>
      <c r="H13" s="61" t="inlineStr">
        <is>
          <t>Good</t>
        </is>
      </c>
      <c r="I13" s="61" t="n"/>
      <c r="J13" s="61" t="inlineStr">
        <is>
          <t>OPC 40450-1 Section 11 (CU-32)</t>
        </is>
      </c>
      <c r="K13" s="61" t="inlineStr">
        <is>
          <t>Physically reasonable values depend on the application; use program limits as reference</t>
        </is>
      </c>
    </row>
    <row r="14">
      <c r="A14" s="67" t="inlineStr">
        <is>
          <t>y</t>
        </is>
      </c>
      <c r="B14" s="67" t="n">
        <v>6</v>
      </c>
      <c r="C14" s="67" t="n">
        <v>0</v>
      </c>
      <c r="D14" s="67" t="inlineStr">
        <is>
          <t>Verify ValueTag = FINAL is consistent with ResultEvaluation for the step</t>
        </is>
      </c>
      <c r="E14" s="67" t="n"/>
      <c r="F14" s="67" t="n"/>
      <c r="G14" s="67" t="n"/>
      <c r="H14" s="67" t="n"/>
      <c r="I14" s="67" t="inlineStr">
        <is>
          <t>n</t>
        </is>
      </c>
      <c r="J14" s="67" t="inlineStr">
        <is>
          <t>OPC 40450-1 Section 11 (CU-32)</t>
        </is>
      </c>
      <c r="K14" s="67" t="n"/>
    </row>
    <row r="15" ht="38.7" customHeight="1" s="132">
      <c r="A15" s="61" t="n"/>
      <c r="B15" s="61" t="n"/>
      <c r="C15" s="61" t="n">
        <v>1</v>
      </c>
      <c r="D15" s="61" t="inlineStr">
        <is>
          <t>For a step with ResultEvaluation = OK: check FINAL-tagged value relative to LowLimit and HighLimit.</t>
        </is>
      </c>
      <c r="E15" s="61" t="inlineStr">
        <is>
          <t>A step-level OK result with FINAL Torque or Angle values including LowLimit/HighLimit.</t>
        </is>
      </c>
      <c r="F15" s="61" t="inlineStr">
        <is>
          <t>FINAL MeasuredValue is within [LowLimit, HighLimit] when ResultEvaluation = OK. FINAL MeasuredValue outside [LowLimit, HighLimit] combined with OK result is a data consistency issue.</t>
        </is>
      </c>
      <c r="G15" s="61" t="inlineStr">
        <is>
          <t>Good</t>
        </is>
      </c>
      <c r="H15" s="61" t="inlineStr">
        <is>
          <t>Good</t>
        </is>
      </c>
      <c r="I15" s="61" t="n"/>
      <c r="J15" s="61" t="inlineStr">
        <is>
          <t>OPC 40450-1 Section 10 Table 212</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unknown ValueTag value &lt; 0 (vendor-specific) is decoded without error</t>
        </is>
      </c>
      <c r="E17" s="69" t="n"/>
      <c r="F17" s="69" t="n"/>
      <c r="G17" s="69" t="n"/>
      <c r="H17" s="69" t="n"/>
      <c r="I17" s="69" t="inlineStr">
        <is>
          <t>n</t>
        </is>
      </c>
      <c r="J17" s="69" t="inlineStr">
        <is>
          <t>OPC 40450-1 Section 10 Table 212</t>
        </is>
      </c>
      <c r="K17" s="69" t="n"/>
    </row>
    <row r="18" ht="38.7" customHeight="1" s="132">
      <c r="A18" s="61" t="n"/>
      <c r="B18" s="61" t="n"/>
      <c r="C18" s="61" t="n">
        <v>1</v>
      </c>
      <c r="D18" s="61" t="inlineStr">
        <is>
          <t>If present, retrieve a result with a negative ValueTag (vendor-specific extension). Decode successfully.</t>
        </is>
      </c>
      <c r="E18" s="61" t="inlineStr">
        <is>
          <t>A result with a vendor-specific negative ValueTag present.</t>
        </is>
      </c>
      <c r="F18" s="61" t="inlineStr">
        <is>
          <t>Server returns Good. Decoding succeeds. Negative ValueTag is allowed per spec: "&lt; 0 = application specific extensions".</t>
        </is>
      </c>
      <c r="G18" s="61" t="inlineStr">
        <is>
          <t>Good</t>
        </is>
      </c>
      <c r="H18" s="61" t="inlineStr">
        <is>
          <t>Good</t>
        </is>
      </c>
      <c r="I18" s="61" t="n"/>
      <c r="J18" s="61" t="inlineStr">
        <is>
          <t>OPC 40450-1 Section 10 Table 212</t>
        </is>
      </c>
      <c r="K18" s="61" t="n"/>
    </row>
    <row r="19" ht="25.8" customHeight="1" s="132">
      <c r="A19" s="69" t="inlineStr">
        <is>
          <t>n</t>
        </is>
      </c>
      <c r="B19" s="69" t="n">
        <v>2</v>
      </c>
      <c r="C19" s="69" t="n">
        <v>0</v>
      </c>
      <c r="D19" s="69" t="inlineStr">
        <is>
          <t>Verify FINAL tag is present in at least one result per CU-32 conformance claim</t>
        </is>
      </c>
      <c r="E19" s="69" t="n"/>
      <c r="F19" s="69" t="n"/>
      <c r="G19" s="69" t="n"/>
      <c r="H19" s="69" t="n"/>
      <c r="I19" s="69" t="inlineStr">
        <is>
          <t>n</t>
        </is>
      </c>
      <c r="J19" s="69" t="inlineStr">
        <is>
          <t>OPC 40450-1 Section 11 (CU-32)</t>
        </is>
      </c>
      <c r="K19" s="69" t="n"/>
    </row>
    <row r="20" ht="38.7" customHeight="1" s="132">
      <c r="A20" s="61" t="n"/>
      <c r="B20" s="61" t="n"/>
      <c r="C20" s="61" t="n">
        <v>1</v>
      </c>
      <c r="D20" s="61" t="inlineStr">
        <is>
          <t>Retrieve 5 SINGLE_RESULTs. Count how many have at least one FINAL-tagged StepResultValue or OverallResultValue.</t>
        </is>
      </c>
      <c r="E20" s="61" t="inlineStr">
        <is>
          <t>Five single results from a device claiming CU-32 conformance.</t>
        </is>
      </c>
      <c r="F20" s="61" t="inlineStr">
        <is>
          <t>All 5 results have at least one FINAL-tagged Torque or Angle value. A CU-32 conformant server must consistently provide FINAL tags on all single results.</t>
        </is>
      </c>
      <c r="G20" s="61" t="inlineStr">
        <is>
          <t>Good</t>
        </is>
      </c>
      <c r="H20" s="61" t="inlineStr">
        <is>
          <t>Good</t>
        </is>
      </c>
      <c r="I20" s="61" t="n"/>
      <c r="J20" s="61" t="inlineStr">
        <is>
          <t>OPC 40450-1 Section 11 (CU-32)</t>
        </is>
      </c>
      <c r="K20" s="61" t="n"/>
    </row>
    <row r="21">
      <c r="A21" s="110" t="inlineStr">
        <is>
          <t>n</t>
        </is>
      </c>
      <c r="B21" s="110" t="n">
        <v>3</v>
      </c>
      <c r="C21" s="110" t="n">
        <v>0</v>
      </c>
      <c r="D21" s="110" t="inlineStr">
        <is>
          <t>Verify ValueTag=FINAL(1) for torque in OverallResultValues</t>
        </is>
      </c>
      <c r="E21" s="110" t="n"/>
      <c r="F21" s="110" t="n"/>
      <c r="G21" s="110" t="n"/>
      <c r="H21" s="110" t="n"/>
      <c r="I21" s="110" t="inlineStr">
        <is>
          <t>n</t>
        </is>
      </c>
      <c r="J21" s="110" t="inlineStr">
        <is>
          <t>OPC 40450-1 Section 11.1 CU-32</t>
        </is>
      </c>
      <c r="K21" s="110" t="n"/>
    </row>
    <row r="22" ht="25.8" customHeight="1" s="132">
      <c r="A22" s="111" t="n"/>
      <c r="B22" s="111" t="n"/>
      <c r="C22" s="111" t="n">
        <v>1</v>
      </c>
      <c r="D22" s="111" t="inlineStr">
        <is>
          <t>Inspect OverallResultValues. Find PhysicalQuantity=2 (TORQUE). Check ValueTag.</t>
        </is>
      </c>
      <c r="E22" s="111" t="inlineStr">
        <is>
          <t>Server claims this Conformance Unit; no additional runtime setup is needed for this step.</t>
        </is>
      </c>
      <c r="F22" s="111" t="inlineStr">
        <is>
          <t>Torque entry found with ValueTag=1.</t>
        </is>
      </c>
      <c r="G22" s="111" t="inlineStr">
        <is>
          <t>Good</t>
        </is>
      </c>
      <c r="H22" s="111" t="n"/>
      <c r="I22" s="111" t="n"/>
      <c r="J22" s="111" t="inlineStr">
        <is>
          <t>OPC 40450-1 Section 11.1 CU-32</t>
        </is>
      </c>
      <c r="K22" s="111" t="inlineStr">
        <is>
          <t>Requirement source: OPC 40450-1 Section 10.5 - At least one TORQUE entry with ValueTag=FINAL(1).</t>
        </is>
      </c>
    </row>
    <row r="23">
      <c r="A23" s="110" t="inlineStr">
        <is>
          <t>n</t>
        </is>
      </c>
      <c r="B23" s="110" t="n">
        <v>4</v>
      </c>
      <c r="C23" s="110" t="n">
        <v>0</v>
      </c>
      <c r="D23" s="110" t="inlineStr">
        <is>
          <t>Verify ValueTag=FINAL(1) for angle in OverallResultValues</t>
        </is>
      </c>
      <c r="E23" s="110" t="n"/>
      <c r="F23" s="110" t="n"/>
      <c r="G23" s="110" t="n"/>
      <c r="H23" s="110" t="n"/>
      <c r="I23" s="110" t="inlineStr">
        <is>
          <t>n</t>
        </is>
      </c>
      <c r="J23" s="110" t="inlineStr">
        <is>
          <t>OPC 40450-1 Section 11.1 CU-32</t>
        </is>
      </c>
      <c r="K23" s="110" t="n"/>
    </row>
    <row r="24" ht="25.8" customHeight="1" s="132">
      <c r="A24" s="111" t="n"/>
      <c r="B24" s="111" t="n"/>
      <c r="C24" s="111" t="n">
        <v>1</v>
      </c>
      <c r="D24" s="111" t="inlineStr">
        <is>
          <t>Inspect OverallResultValues. Find PhysicalQuantity=3 (ANGLE). Check ValueTag.</t>
        </is>
      </c>
      <c r="E24" s="111" t="inlineStr">
        <is>
          <t>Server claims this Conformance Unit; no additional runtime setup is needed for this step.</t>
        </is>
      </c>
      <c r="F24" s="111" t="inlineStr">
        <is>
          <t>Angle entry found with ValueTag=1.</t>
        </is>
      </c>
      <c r="G24" s="111" t="inlineStr">
        <is>
          <t>Good</t>
        </is>
      </c>
      <c r="H24" s="111" t="n"/>
      <c r="I24" s="111" t="n"/>
      <c r="J24" s="111" t="inlineStr">
        <is>
          <t>OPC 40450-1 Section 11.1 CU-32</t>
        </is>
      </c>
      <c r="K24" s="111" t="inlineStr">
        <is>
          <t>Requirement source: OPC 40450-1 Section 10.5 - At least one ANGLE entry with ValueTag=FINAL(1).</t>
        </is>
      </c>
    </row>
    <row r="25">
      <c r="A25" s="110" t="inlineStr">
        <is>
          <t>n</t>
        </is>
      </c>
      <c r="B25" s="110" t="n">
        <v>5</v>
      </c>
      <c r="C25" s="110" t="n">
        <v>0</v>
      </c>
      <c r="D25" s="110" t="inlineStr">
        <is>
          <t>Verify only one FINAL tag per physical quantity per step</t>
        </is>
      </c>
      <c r="E25" s="110" t="n"/>
      <c r="F25" s="110" t="n"/>
      <c r="G25" s="110" t="n"/>
      <c r="H25" s="110" t="n"/>
      <c r="I25" s="110" t="inlineStr">
        <is>
          <t>n</t>
        </is>
      </c>
      <c r="J25" s="110" t="inlineStr">
        <is>
          <t>OPC 40450-1 Section 11.1 CU-32</t>
        </is>
      </c>
      <c r="K25" s="110" t="n"/>
    </row>
    <row r="26" ht="25.8" customHeight="1" s="132">
      <c r="A26" s="111" t="n"/>
      <c r="B26" s="111" t="n"/>
      <c r="C26" s="111" t="n">
        <v>1</v>
      </c>
      <c r="D26" s="111" t="inlineStr">
        <is>
          <t>Inspect StepResultValues. For each PhysicalQuantity, count ValueTag=FINAL(1) entries.</t>
        </is>
      </c>
      <c r="E26" s="111" t="inlineStr">
        <is>
          <t>Server claims this Conformance Unit; no additional runtime setup is needed for this step.</t>
        </is>
      </c>
      <c r="F26" s="111" t="inlineStr">
        <is>
          <t>At most one ValueTag=1 per PhysicalQuantity per step.</t>
        </is>
      </c>
      <c r="G26" s="111" t="inlineStr">
        <is>
          <t>Good</t>
        </is>
      </c>
      <c r="H26" s="111" t="n"/>
      <c r="I26" s="111" t="n"/>
      <c r="J26" s="111" t="inlineStr">
        <is>
          <t>OPC 40450-1 Section 11.1 CU-32</t>
        </is>
      </c>
      <c r="K26" s="111" t="inlineStr">
        <is>
          <t>Requirement source: OPC 40450-1 Section 10.5 - At most one FINAL per physical quantity.</t>
        </is>
      </c>
    </row>
  </sheetData>
  <mergeCells count="2">
    <mergeCell ref="A1:K1"/>
    <mergeCell ref="C2:J2"/>
  </mergeCells>
  <pageMargins left="0.7" right="0.7" top="0.75" bottom="0.75" header="0.3" footer="0.3"/>
</worksheet>
</file>

<file path=xl/worksheets/sheet39.xml><?xml version="1.0" encoding="utf-8"?>
<worksheet xmlns="http://schemas.openxmlformats.org/spreadsheetml/2006/main">
  <sheetPr codeName="Sheet36">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CU-33: IJT Self-Contained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CU-33 — IJT Self-Contained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exists with appropriate Classification</t>
        </is>
      </c>
      <c r="E4" s="58" t="n"/>
      <c r="F4" s="58" t="n"/>
      <c r="G4" s="58" t="n"/>
      <c r="H4" s="58" t="n"/>
      <c r="I4" s="58" t="inlineStr">
        <is>
          <t>n</t>
        </is>
      </c>
      <c r="J4" s="58" t="inlineStr">
        <is>
          <t>OPC 40450-1 Section 11 (CU-33)</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Classification is in {3=BATCH_RESULT, 4=JOB_RESULT, 2=SYNC_RESULT, 5=STITCHING_RESULT}.</t>
        </is>
      </c>
      <c r="E5" s="61" t="inlineStr">
        <is>
          <t>Device that produces consolidated results. At least one such result available.</t>
        </is>
      </c>
      <c r="F5" s="61" t="inlineStr">
        <is>
          <t>Classification is one of {2, 3, 4, 5}. This is the "Self-Contained" variant where sub-results are fully embedded in ResultContent.</t>
        </is>
      </c>
      <c r="G5" s="61" t="inlineStr">
        <is>
          <t>Good</t>
        </is>
      </c>
      <c r="H5" s="61" t="inlineStr">
        <is>
          <t>Good</t>
        </is>
      </c>
      <c r="I5" s="61" t="n"/>
      <c r="J5" s="61" t="inlineStr">
        <is>
          <t>OPC 40450-1 Section 11 (CU-33)</t>
        </is>
      </c>
      <c r="K5" s="62" t="n"/>
    </row>
    <row r="6" ht="25.8" customHeight="1" s="132">
      <c r="A6" s="70" t="inlineStr">
        <is>
          <t>y</t>
        </is>
      </c>
      <c r="B6" s="71" t="n">
        <v>2</v>
      </c>
      <c r="C6" s="72" t="n">
        <v>0</v>
      </c>
      <c r="D6" s="72" t="inlineStr">
        <is>
          <t>Verify ResultContent contains sub-results with both ResultMetaData and ResultContent populated</t>
        </is>
      </c>
      <c r="E6" s="72" t="n"/>
      <c r="F6" s="72" t="n"/>
      <c r="G6" s="72" t="n"/>
      <c r="H6" s="72" t="n"/>
      <c r="I6" s="72" t="inlineStr">
        <is>
          <t>n</t>
        </is>
      </c>
      <c r="J6" s="72" t="inlineStr">
        <is>
          <t>OPC 40450-1 Section 11 (CU-33)</t>
        </is>
      </c>
      <c r="K6" s="73" t="n"/>
    </row>
    <row r="7" ht="77.40000000000001" customHeight="1" s="132">
      <c r="A7" s="61" t="n"/>
      <c r="B7" s="61" t="n"/>
      <c r="C7" s="61" t="n">
        <v>1</v>
      </c>
      <c r="D7" s="61" t="inlineStr">
        <is>
          <t>Decode ResultContent of the consolidated result. For each sub-result (ResultDataType), check that ResultMetaData and ResultContent are both present.</t>
        </is>
      </c>
      <c r="E7" s="61" t="inlineStr">
        <is>
          <t>A consolidated result retrieved in TC#1.</t>
        </is>
      </c>
      <c r="F7" s="61" t="inlineStr">
        <is>
          <t>Each ResultDataType in ResultContent has: (1) ResultMetaData = JoiningResultMetaDataType with ResultId, Classification, and other fields populated. (2) ResultContent = JoiningResultDataType (or other per Classification) with actual measurement data. Neither ResultMetaData nor ResultContent is null/empty for self-contained mode.</t>
        </is>
      </c>
      <c r="G7" s="61" t="inlineStr">
        <is>
          <t>Good</t>
        </is>
      </c>
      <c r="H7" s="61" t="inlineStr">
        <is>
          <t>Good</t>
        </is>
      </c>
      <c r="I7" s="61" t="n"/>
      <c r="J7" s="61" t="inlineStr">
        <is>
          <t>OPC 40450-1 Section 11 (CU-33)</t>
        </is>
      </c>
      <c r="K7" s="61" t="inlineStr">
        <is>
          <t>Self-contained = sub-results carry full data. Contrast with CU-34 (references only)</t>
        </is>
      </c>
    </row>
    <row r="8">
      <c r="A8" s="67" t="inlineStr">
        <is>
          <t>y</t>
        </is>
      </c>
      <c r="B8" s="67" t="n">
        <v>3</v>
      </c>
      <c r="C8" s="67" t="n">
        <v>0</v>
      </c>
      <c r="D8" s="67" t="inlineStr">
        <is>
          <t>Verify sub-result Classifications are consistent with the parent result type</t>
        </is>
      </c>
      <c r="E8" s="67" t="n"/>
      <c r="F8" s="67" t="n"/>
      <c r="G8" s="67" t="n"/>
      <c r="H8" s="67" t="n"/>
      <c r="I8" s="67" t="inlineStr">
        <is>
          <t>n</t>
        </is>
      </c>
      <c r="J8" s="67" t="inlineStr">
        <is>
          <t>OPC 40450-1 Section 11 (CU-33)</t>
        </is>
      </c>
      <c r="K8" s="67" t="n"/>
    </row>
    <row r="9" ht="64.5" customHeight="1" s="132">
      <c r="A9" s="61" t="n"/>
      <c r="B9" s="61" t="n"/>
      <c r="C9" s="61" t="n">
        <v>1</v>
      </c>
      <c r="D9" s="61" t="inlineStr">
        <is>
          <t>Inspect sub-result Classifications within the consolidated result.</t>
        </is>
      </c>
      <c r="E9" s="61" t="inlineStr">
        <is>
          <t>Consolidated result with at least 2 sub-results.</t>
        </is>
      </c>
      <c r="F9" s="61" t="inlineStr">
        <is>
          <t>For a BATCH_RESULT parent: sub-results typically have Classification=SINGLE_RESULT (1). For a JOB_RESULT parent: sub-results may have mixed Classifications. No sub-result has the same Classification as the parent (no recursive parent-level classification).</t>
        </is>
      </c>
      <c r="G9" s="61" t="inlineStr">
        <is>
          <t>Good</t>
        </is>
      </c>
      <c r="H9" s="61" t="inlineStr">
        <is>
          <t>Good</t>
        </is>
      </c>
      <c r="I9" s="61" t="n"/>
      <c r="J9" s="61" t="inlineStr">
        <is>
          <t>OPC 40450-1 Section 11 (CU-33) / Table 208</t>
        </is>
      </c>
      <c r="K9" s="61" t="n"/>
    </row>
    <row r="10">
      <c r="A10" s="67" t="inlineStr">
        <is>
          <t>y</t>
        </is>
      </c>
      <c r="B10" s="67" t="n">
        <v>4</v>
      </c>
      <c r="C10" s="67" t="n">
        <v>0</v>
      </c>
      <c r="D10" s="67" t="inlineStr">
        <is>
          <t>Verify sub-result ResultId is unique across all sub-results</t>
        </is>
      </c>
      <c r="E10" s="67" t="n"/>
      <c r="F10" s="67" t="n"/>
      <c r="G10" s="67" t="n"/>
      <c r="H10" s="67" t="n"/>
      <c r="I10" s="67" t="inlineStr">
        <is>
          <t>n</t>
        </is>
      </c>
      <c r="J10" s="67" t="inlineStr">
        <is>
          <t>OPC 40450-1 Section 11 (CU-33)</t>
        </is>
      </c>
      <c r="K10" s="67" t="n"/>
    </row>
    <row r="11" ht="25.8" customHeight="1" s="132">
      <c r="A11" s="61" t="n"/>
      <c r="B11" s="61" t="n"/>
      <c r="C11" s="61" t="n">
        <v>1</v>
      </c>
      <c r="D11" s="61" t="inlineStr">
        <is>
          <t>Extract all ResultIds from sub-results in a consolidated result.</t>
        </is>
      </c>
      <c r="E11" s="61" t="inlineStr">
        <is>
          <t>Consolidated result with 3+ sub-results.</t>
        </is>
      </c>
      <c r="F11" s="61" t="inlineStr">
        <is>
          <t>All sub-result ResultIds are unique strings. No duplicate ResultIds within the same consolidated result.</t>
        </is>
      </c>
      <c r="G11" s="61" t="inlineStr">
        <is>
          <t>Good</t>
        </is>
      </c>
      <c r="H11" s="61" t="inlineStr">
        <is>
          <t>Good</t>
        </is>
      </c>
      <c r="I11" s="61" t="n"/>
      <c r="J11" s="61" t="inlineStr">
        <is>
          <t>OPC 40450-1 Section 11 (CU-33) / OPC 40001-101</t>
        </is>
      </c>
      <c r="K11" s="61" t="n"/>
    </row>
    <row r="12">
      <c r="A12" s="67" t="inlineStr">
        <is>
          <t>y</t>
        </is>
      </c>
      <c r="B12" s="67" t="n">
        <v>5</v>
      </c>
      <c r="C12" s="67" t="n">
        <v>0</v>
      </c>
      <c r="D12" s="67" t="inlineStr">
        <is>
          <t>Verify parent result ResultEvaluation matches aggregate of sub-results</t>
        </is>
      </c>
      <c r="E12" s="67" t="n"/>
      <c r="F12" s="67" t="n"/>
      <c r="G12" s="67" t="n"/>
      <c r="H12" s="67" t="n"/>
      <c r="I12" s="67" t="inlineStr">
        <is>
          <t>n</t>
        </is>
      </c>
      <c r="J12" s="67" t="inlineStr">
        <is>
          <t>OPC 40450-1 Section 11 (CU-33)</t>
        </is>
      </c>
      <c r="K12" s="67" t="n"/>
    </row>
    <row r="13" ht="25.8" customHeight="1" s="132">
      <c r="A13" s="61" t="n"/>
      <c r="B13" s="61" t="n"/>
      <c r="C13" s="61" t="n">
        <v>1</v>
      </c>
      <c r="D13" s="61" t="inlineStr">
        <is>
          <t>For a consolidated result with all OK sub-results: check parent ResultEvaluation.</t>
        </is>
      </c>
      <c r="E13" s="61" t="inlineStr">
        <is>
          <t>A consolidated result with all sub-results having ResultEvaluation=OK.</t>
        </is>
      </c>
      <c r="F13" s="61" t="inlineStr">
        <is>
          <t>Parent ResultEvaluation = OK when all sub-results are OK. If any sub-result is NotOK, parent is NotOK.</t>
        </is>
      </c>
      <c r="G13" s="61" t="inlineStr">
        <is>
          <t>Good</t>
        </is>
      </c>
      <c r="H13" s="61" t="inlineStr">
        <is>
          <t>Good</t>
        </is>
      </c>
      <c r="I13" s="61" t="n"/>
      <c r="J13" s="61" t="inlineStr">
        <is>
          <t>OPC 40450-1 Section 11 (CU-33) / OPC 40001-101</t>
        </is>
      </c>
      <c r="K13" s="61" t="n"/>
    </row>
    <row r="14" ht="25.8" customHeight="1" s="132">
      <c r="A14" s="67" t="inlineStr">
        <is>
          <t>n</t>
        </is>
      </c>
      <c r="B14" s="67" t="n">
        <v>6</v>
      </c>
      <c r="C14" s="67" t="n">
        <v>0</v>
      </c>
      <c r="D14" s="67" t="inlineStr">
        <is>
          <t>[Optional helper — method retrieval test, not content conformance] Verify self-contained result is retrievable via GetResultById and includes full sub-result data</t>
        </is>
      </c>
      <c r="E14" s="67" t="n"/>
      <c r="F14" s="67" t="n"/>
      <c r="G14" s="67" t="n"/>
      <c r="H14" s="67" t="n"/>
      <c r="I14" s="67" t="inlineStr">
        <is>
          <t>n</t>
        </is>
      </c>
      <c r="J14" s="67" t="inlineStr">
        <is>
          <t>OPC 40450-1 Section 7.5</t>
        </is>
      </c>
      <c r="K14" s="67" t="n"/>
    </row>
    <row r="15" ht="38.7" customHeight="1" s="132">
      <c r="A15" s="61" t="n"/>
      <c r="B15" s="61" t="n"/>
      <c r="C15" s="61" t="n">
        <v>1</v>
      </c>
      <c r="D15" s="61" t="inlineStr">
        <is>
          <t>[Optional helper — method retrieval test] Call GetResultById with the parent ResultId of a self-contained consolidated result.</t>
        </is>
      </c>
      <c r="E15" s="61" t="inlineStr">
        <is>
          <t>Optional helper precondition: GetResultById available. Consolidated result ResultId known.</t>
        </is>
      </c>
      <c r="F15" s="61" t="inlineStr">
        <is>
          <t>Optional helper expected result: GetResultById returns the full consolidated result with all sub-results having complete data. Sub-result ResultContent is not empty when self-contained mode is used.</t>
        </is>
      </c>
      <c r="G15" s="61" t="inlineStr">
        <is>
          <t>Good</t>
        </is>
      </c>
      <c r="H15" s="61" t="inlineStr">
        <is>
          <t>Good</t>
        </is>
      </c>
      <c r="I15" s="61" t="n"/>
      <c r="J15" s="61" t="inlineStr">
        <is>
          <t>OPC 40450-1 Section 7.5 / Section 11 (CU-33)</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self-contained result where sub-result ResultContent is unexpectedly empty is flagged</t>
        </is>
      </c>
      <c r="E17" s="69" t="n"/>
      <c r="F17" s="69" t="n"/>
      <c r="G17" s="69" t="n"/>
      <c r="H17" s="69" t="n"/>
      <c r="I17" s="69" t="inlineStr">
        <is>
          <t>n</t>
        </is>
      </c>
      <c r="J17" s="69" t="inlineStr">
        <is>
          <t>OPC 40450-1 Section 11 (CU-33)</t>
        </is>
      </c>
      <c r="K17" s="69" t="n"/>
    </row>
    <row r="18" ht="38.7" customHeight="1" s="132">
      <c r="A18" s="61" t="n"/>
      <c r="B18" s="61" t="n"/>
      <c r="C18" s="61" t="n">
        <v>1</v>
      </c>
      <c r="D18" s="61" t="inlineStr">
        <is>
          <t>Inspect sub-results of a consolidated result claiming self-contained mode. Verify none have empty/null ResultContent.</t>
        </is>
      </c>
      <c r="E18" s="61" t="inlineStr">
        <is>
          <t>Consolidated result from a server claiming CU-33 (self-contained).</t>
        </is>
      </c>
      <c r="F18" s="61" t="inlineStr">
        <is>
          <t>All sub-results have non-null, non-empty ResultContent. A sub-result with null ResultContent in self-contained mode violates CU-33 requirement.</t>
        </is>
      </c>
      <c r="G18" s="61" t="inlineStr">
        <is>
          <t>Good</t>
        </is>
      </c>
      <c r="H18" s="61" t="inlineStr">
        <is>
          <t>Good</t>
        </is>
      </c>
      <c r="I18" s="61" t="n"/>
      <c r="J18" s="61" t="inlineStr">
        <is>
          <t>OPC 40450-1 Section 11 (CU-33)</t>
        </is>
      </c>
      <c r="K18" s="61" t="inlineStr">
        <is>
          <t>CU-33 requires BOTH ResultMetaData and ResultContent in each sub-result</t>
        </is>
      </c>
    </row>
    <row r="19" ht="25.8" customHeight="1" s="132">
      <c r="A19" s="69" t="inlineStr">
        <is>
          <t>n</t>
        </is>
      </c>
      <c r="B19" s="69" t="n">
        <v>2</v>
      </c>
      <c r="C19" s="69" t="n">
        <v>0</v>
      </c>
      <c r="D19" s="69" t="inlineStr">
        <is>
          <t>Verify STITCHING_RESULT (Classification=5) is handled if applicable</t>
        </is>
      </c>
      <c r="E19" s="69" t="n"/>
      <c r="F19" s="69" t="n"/>
      <c r="G19" s="69" t="n"/>
      <c r="H19" s="69" t="n"/>
      <c r="I19" s="69" t="inlineStr">
        <is>
          <t>n</t>
        </is>
      </c>
      <c r="J19" s="69" t="inlineStr">
        <is>
          <t>OPC 40450-1 Section 10 Table 208 / Section 11 (CU-33)</t>
        </is>
      </c>
      <c r="K19" s="69" t="n"/>
    </row>
    <row r="20" ht="51.6" customHeight="1" s="132">
      <c r="A20" s="61" t="n"/>
      <c r="B20" s="61" t="n"/>
      <c r="C20" s="61" t="n">
        <v>1</v>
      </c>
      <c r="D20" s="61" t="inlineStr">
        <is>
          <t>If the device supports STITCHING_RESULT: retrieve a result with Classification = 5.</t>
        </is>
      </c>
      <c r="E20" s="61" t="inlineStr">
        <is>
          <t>Device with STITCHING_RESULT support. At least one STITCHING_RESULT available.</t>
        </is>
      </c>
      <c r="F20" s="61" t="inlineStr">
        <is>
          <t>Classification = 5 (STITCHING_RESULT). Sub-results are SYNC_RESULTs. Each sub-result has complete data (self-contained).</t>
        </is>
      </c>
      <c r="G20" s="61" t="inlineStr">
        <is>
          <t>Good</t>
        </is>
      </c>
      <c r="H20" s="61" t="inlineStr">
        <is>
          <t>Good</t>
        </is>
      </c>
      <c r="I20" s="61" t="n"/>
      <c r="J20" s="61" t="inlineStr">
        <is>
          <t>OPC 40450-1 Section 10 Table 208</t>
        </is>
      </c>
      <c r="K20" s="61" t="inlineStr">
        <is>
          <t>Classification 5=STITCHING_RESULT = group of SYNC_RESULTs per spec</t>
        </is>
      </c>
    </row>
    <row r="21">
      <c r="A21" s="110" t="inlineStr">
        <is>
          <t>n</t>
        </is>
      </c>
      <c r="B21" s="110" t="n">
        <v>3</v>
      </c>
      <c r="C21" s="110" t="n">
        <v>0</v>
      </c>
      <c r="D21" s="110" t="inlineStr">
        <is>
          <t>Verify sub-result ResultContent is populated (not empty)</t>
        </is>
      </c>
      <c r="E21" s="110" t="n"/>
      <c r="F21" s="110" t="n"/>
      <c r="G21" s="110" t="n"/>
      <c r="H21" s="110" t="n"/>
      <c r="I21" s="110" t="inlineStr">
        <is>
          <t>n</t>
        </is>
      </c>
      <c r="J21" s="110" t="inlineStr">
        <is>
          <t>OPC 40450-1 Section 11.1 CU-33</t>
        </is>
      </c>
      <c r="K21" s="110" t="n"/>
    </row>
    <row r="22" ht="25.8" customHeight="1" s="132">
      <c r="A22" s="111" t="n"/>
      <c r="B22" s="111" t="n"/>
      <c r="C22" s="111" t="n">
        <v>1</v>
      </c>
      <c r="D22" s="111" t="inlineStr">
        <is>
          <t>Inspect each sub-result in contained consolidated result.</t>
        </is>
      </c>
      <c r="E22" s="111" t="inlineStr">
        <is>
          <t>Server claims this Conformance Unit; no additional runtime setup is needed for this step.</t>
        </is>
      </c>
      <c r="F22" s="111" t="inlineStr">
        <is>
          <t>ResultContent is not null/empty for each sub-result.</t>
        </is>
      </c>
      <c r="G22" s="111" t="inlineStr">
        <is>
          <t>Good</t>
        </is>
      </c>
      <c r="H22" s="111" t="n"/>
      <c r="I22" s="111" t="n"/>
      <c r="J22" s="111" t="inlineStr">
        <is>
          <t>OPC 40450-1 Section 11.1 CU-33</t>
        </is>
      </c>
      <c r="K22" s="111" t="inlineStr">
        <is>
          <t>Requirement source: OPC 40450-1 Section 10.13 - Contained sub-results have full ResultContent.</t>
        </is>
      </c>
    </row>
    <row r="23">
      <c r="A23" s="110" t="inlineStr">
        <is>
          <t>n</t>
        </is>
      </c>
      <c r="B23" s="110" t="n">
        <v>4</v>
      </c>
      <c r="C23" s="110" t="n">
        <v>0</v>
      </c>
      <c r="D23" s="110" t="inlineStr">
        <is>
          <t>Verify sub-result ResultMetaData.ResultId is unique</t>
        </is>
      </c>
      <c r="E23" s="110" t="n"/>
      <c r="F23" s="110" t="n"/>
      <c r="G23" s="110" t="n"/>
      <c r="H23" s="110" t="n"/>
      <c r="I23" s="110" t="inlineStr">
        <is>
          <t>n</t>
        </is>
      </c>
      <c r="J23" s="110" t="inlineStr">
        <is>
          <t>OPC 40450-1 Section 11.1 CU-33</t>
        </is>
      </c>
      <c r="K23" s="110" t="n"/>
    </row>
    <row r="24">
      <c r="A24" s="111" t="n"/>
      <c r="B24" s="111" t="n"/>
      <c r="C24" s="111" t="n">
        <v>1</v>
      </c>
      <c r="D24" s="111" t="inlineStr">
        <is>
          <t>Collect ResultId from all sub-results. Check for duplicates.</t>
        </is>
      </c>
      <c r="E24" s="111" t="inlineStr">
        <is>
          <t>Server claims this Conformance Unit; no additional runtime setup is needed for this step.</t>
        </is>
      </c>
      <c r="F24" s="111" t="inlineStr">
        <is>
          <t>No duplicate ResultId values among sub-results.</t>
        </is>
      </c>
      <c r="G24" s="111" t="inlineStr">
        <is>
          <t>Good</t>
        </is>
      </c>
      <c r="H24" s="111" t="n"/>
      <c r="I24" s="111" t="n"/>
      <c r="J24" s="111" t="inlineStr">
        <is>
          <t>OPC 40450-1 Section 11.1 CU-33</t>
        </is>
      </c>
      <c r="K24" s="111" t="inlineStr">
        <is>
          <t>Requirement source: OPC 40450-1 Section 10.1 - ResultId must be unique.</t>
        </is>
      </c>
    </row>
    <row r="25">
      <c r="A25" s="110" t="inlineStr">
        <is>
          <t>n</t>
        </is>
      </c>
      <c r="B25" s="110" t="n">
        <v>5</v>
      </c>
      <c r="C25" s="110" t="n">
        <v>0</v>
      </c>
      <c r="D25" s="110" t="inlineStr">
        <is>
          <t>Verify STITCHING_RESULT(5) sub-results are SYNC_RESULTs(2)</t>
        </is>
      </c>
      <c r="E25" s="110" t="n"/>
      <c r="F25" s="110" t="n"/>
      <c r="G25" s="110" t="n"/>
      <c r="H25" s="110" t="n"/>
      <c r="I25" s="110" t="inlineStr">
        <is>
          <t>n</t>
        </is>
      </c>
      <c r="J25" s="110" t="inlineStr">
        <is>
          <t>OPC 40450-1 Section 11.1 CU-33</t>
        </is>
      </c>
      <c r="K25" s="110" t="n"/>
    </row>
    <row r="26" ht="25.8" customHeight="1" s="132">
      <c r="A26" s="111" t="n"/>
      <c r="B26" s="111" t="n"/>
      <c r="C26" s="111" t="n">
        <v>1</v>
      </c>
      <c r="D26" s="111" t="inlineStr">
        <is>
          <t>Read Classification of sub-results in STITCHING_RESULT.</t>
        </is>
      </c>
      <c r="E26" s="111" t="inlineStr">
        <is>
          <t>Server claims this Conformance Unit; no additional runtime setup is needed for this step.</t>
        </is>
      </c>
      <c r="F26" s="111" t="inlineStr">
        <is>
          <t>All sub-result Classifications are 2.</t>
        </is>
      </c>
      <c r="G26" s="111" t="inlineStr">
        <is>
          <t>Good</t>
        </is>
      </c>
      <c r="H26" s="111" t="n"/>
      <c r="I26" s="111" t="n"/>
      <c r="J26" s="111" t="inlineStr">
        <is>
          <t>OPC 40450-1 Section 11.1 CU-33</t>
        </is>
      </c>
      <c r="K26" s="111" t="inlineStr">
        <is>
          <t>Requirement source: OPC 40450-1 Section 10.13 - STITCHING sub-results should be SYNC_RESULT.</t>
        </is>
      </c>
    </row>
  </sheetData>
  <mergeCells count="2">
    <mergeCell ref="A1:K1"/>
    <mergeCell ref="C2:J2"/>
  </mergeCells>
  <pageMargins left="0.7" right="0.7" top="0.75" bottom="0.75" header="0.3" footer="0.3"/>
</worksheet>
</file>

<file path=xl/worksheets/sheet40.xml><?xml version="1.0" encoding="utf-8"?>
<worksheet xmlns="http://schemas.openxmlformats.org/spreadsheetml/2006/main">
  <sheetPr codeName="Sheet37">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CU-34: IJT Consolidated Result with References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CU-34 — IJT Consolidated Result with References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with References has appropriate Classification</t>
        </is>
      </c>
      <c r="E4" s="58" t="n"/>
      <c r="F4" s="58" t="n"/>
      <c r="G4" s="58" t="n"/>
      <c r="H4" s="58" t="n"/>
      <c r="I4" s="58" t="inlineStr">
        <is>
          <t>n</t>
        </is>
      </c>
      <c r="J4" s="58" t="inlineStr">
        <is>
          <t>OPC 40450-1 Section 11 (CU-34)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consolidated result where sub-results contain only ResultId and Classification (no ResultContent data). Classification must be in {2, 3, 4, 5}.</t>
        </is>
      </c>
      <c r="E5" s="61" t="inlineStr">
        <is>
          <t>Device that produces consolidated results in reference-only mode. At least one such result available.</t>
        </is>
      </c>
      <c r="F5" s="61" t="inlineStr">
        <is>
          <t>Classification is one of {2=SYNC_RESULT, 3=BATCH_RESULT, 4=JOB_RESULT, 5=STITCHING_RESULT}. This is the "references only" variant defined in CU-34.</t>
        </is>
      </c>
      <c r="G5" s="61" t="inlineStr">
        <is>
          <t>Good</t>
        </is>
      </c>
      <c r="H5" s="61" t="inlineStr">
        <is>
          <t>Good</t>
        </is>
      </c>
      <c r="I5" s="61" t="n"/>
      <c r="J5" s="61" t="inlineStr">
        <is>
          <t>OPC 40450-1 Section 11 (CU-34)</t>
        </is>
      </c>
      <c r="K5" s="62" t="n"/>
    </row>
    <row r="6" ht="25.8" customHeight="1" s="132">
      <c r="A6" s="70" t="inlineStr">
        <is>
          <t>y</t>
        </is>
      </c>
      <c r="B6" s="71" t="n">
        <v>2</v>
      </c>
      <c r="C6" s="72" t="n">
        <v>0</v>
      </c>
      <c r="D6" s="72" t="inlineStr">
        <is>
          <t>Verify sub-results contain only ResultId and Classification (ResultContent is empty array)</t>
        </is>
      </c>
      <c r="E6" s="72" t="n"/>
      <c r="F6" s="72" t="n"/>
      <c r="G6" s="72" t="n"/>
      <c r="H6" s="72" t="n"/>
      <c r="I6" s="72" t="inlineStr">
        <is>
          <t>n</t>
        </is>
      </c>
      <c r="J6" s="72" t="inlineStr">
        <is>
          <t>OPC 40450-1 Section 11 (CU-34)</t>
        </is>
      </c>
      <c r="K6" s="73" t="n"/>
    </row>
    <row r="7" ht="51.6" customHeight="1" s="132">
      <c r="A7" s="61" t="n"/>
      <c r="B7" s="61" t="n"/>
      <c r="C7" s="61" t="n">
        <v>1</v>
      </c>
      <c r="D7" s="61" t="inlineStr">
        <is>
          <t>Decode ResultContent of the consolidated result. For each sub-result (ResultDataType), inspect ResultMetaData and ResultContent.</t>
        </is>
      </c>
      <c r="E7" s="61" t="inlineStr">
        <is>
          <t>Consolidated result with reference-only sub-results.</t>
        </is>
      </c>
      <c r="F7" s="61" t="inlineStr">
        <is>
          <t>Each sub-result ResultMetaData has ResultId (non-empty) and Classification populated. ResultContent of each sub-result is an EMPTY array (no measurement data). This is the defining characteristic of CU-34 vs CU-33.</t>
        </is>
      </c>
      <c r="G7" s="61" t="inlineStr">
        <is>
          <t>Good</t>
        </is>
      </c>
      <c r="H7" s="61" t="inlineStr">
        <is>
          <t>Good</t>
        </is>
      </c>
      <c r="I7" s="61" t="n"/>
      <c r="J7" s="61" t="inlineStr">
        <is>
          <t>OPC 40450-1 Section 11 (CU-34)</t>
        </is>
      </c>
      <c r="K7" s="61" t="inlineStr">
        <is>
          <t>CU-34: "only ResultMetaData.ResultId and Classification included. ResultContent is reported as empty array."</t>
        </is>
      </c>
    </row>
    <row r="8" ht="25.8" customHeight="1" s="132">
      <c r="A8" s="67" t="inlineStr">
        <is>
          <t>n</t>
        </is>
      </c>
      <c r="B8" s="67" t="n">
        <v>3</v>
      </c>
      <c r="C8" s="67" t="n">
        <v>0</v>
      </c>
      <c r="D8" s="67" t="inlineStr">
        <is>
          <t>[Optional helper — method retrieval test, not content conformance] Verify individual sub-results can be retrieved via GetResultById using their ResultId</t>
        </is>
      </c>
      <c r="E8" s="67" t="n"/>
      <c r="F8" s="67" t="n"/>
      <c r="G8" s="67" t="n"/>
      <c r="H8" s="67" t="n"/>
      <c r="I8" s="67" t="inlineStr">
        <is>
          <t>n</t>
        </is>
      </c>
      <c r="J8" s="67" t="inlineStr">
        <is>
          <t>OPC 40450-1 Section 7.5 / Section 11 (CU-34)</t>
        </is>
      </c>
      <c r="K8" s="67" t="n"/>
    </row>
    <row r="9" ht="64.5" customHeight="1" s="132">
      <c r="A9" s="61" t="n"/>
      <c r="B9" s="61" t="n"/>
      <c r="C9" s="61" t="n">
        <v>1</v>
      </c>
      <c r="D9" s="61" t="inlineStr">
        <is>
          <t>[Optional helper — method retrieval test] Extract sub-result ResultIds from the consolidated result. Call GetResultById for each sub-result ResultId.</t>
        </is>
      </c>
      <c r="E9" s="61" t="inlineStr">
        <is>
          <t>Optional helper precondition: GetResultById available. Sub-result ResultIds extracted from CU-34 consolidated result.</t>
        </is>
      </c>
      <c r="F9" s="61" t="inlineStr">
        <is>
          <t>Optional helper expected result: GetResultById returns a 5:ResultDataType for each sub-result ResultId. The returned sub-result has full ResultContent (the data is stored separately and retrievable). This optional helper confirms method-based lookup only; CU-34 content conformance remains validated by event/variable rows.</t>
        </is>
      </c>
      <c r="G9" s="61" t="inlineStr">
        <is>
          <t>Good</t>
        </is>
      </c>
      <c r="H9" s="61" t="inlineStr">
        <is>
          <t>Good</t>
        </is>
      </c>
      <c r="I9" s="61" t="n"/>
      <c r="J9" s="61" t="inlineStr">
        <is>
          <t>OPC 40450-1 Section 7.5 / Section 11 (CU-34)</t>
        </is>
      </c>
      <c r="K9" s="61" t="n"/>
    </row>
    <row r="10" ht="25.8" customHeight="1" s="132">
      <c r="A10" s="67" t="inlineStr">
        <is>
          <t>y</t>
        </is>
      </c>
      <c r="B10" s="67" t="n">
        <v>4</v>
      </c>
      <c r="C10" s="67" t="n">
        <v>0</v>
      </c>
      <c r="D10" s="67" t="inlineStr">
        <is>
          <t>Verify sub-result Classification is consistent with the joining operation type</t>
        </is>
      </c>
      <c r="E10" s="67" t="n"/>
      <c r="F10" s="67" t="n"/>
      <c r="G10" s="67" t="n"/>
      <c r="H10" s="67" t="n"/>
      <c r="I10" s="67" t="inlineStr">
        <is>
          <t>n</t>
        </is>
      </c>
      <c r="J10" s="67" t="inlineStr">
        <is>
          <t>OPC 40450-1 Section 11 (CU-34)</t>
        </is>
      </c>
      <c r="K10" s="67" t="n"/>
    </row>
    <row r="11" ht="51.6" customHeight="1" s="132">
      <c r="A11" s="61" t="n"/>
      <c r="B11" s="61" t="n"/>
      <c r="C11" s="61" t="n">
        <v>1</v>
      </c>
      <c r="D11" s="61" t="inlineStr">
        <is>
          <t>Inspect Classification of each sub-result reference in the consolidated result.</t>
        </is>
      </c>
      <c r="E11" s="61" t="inlineStr">
        <is>
          <t>Consolidated result with at least 2 sub-result references.</t>
        </is>
      </c>
      <c r="F11" s="61" t="inlineStr">
        <is>
          <t>Sub-result Classification values are valid (1=SINGLE_RESULT for individual operations, 2=SYNC_RESULT for synchronized sub-groups, etc.). No sub-result has the same Classification as the parent.</t>
        </is>
      </c>
      <c r="G11" s="61" t="inlineStr">
        <is>
          <t>Good</t>
        </is>
      </c>
      <c r="H11" s="61" t="inlineStr">
        <is>
          <t>Good</t>
        </is>
      </c>
      <c r="I11" s="61" t="n"/>
      <c r="J11" s="61" t="inlineStr">
        <is>
          <t>OPC 40450-1 Section 11 (CU-34) / Table 208</t>
        </is>
      </c>
      <c r="K11" s="61" t="n"/>
    </row>
    <row r="12" ht="25.8" customHeight="1" s="132">
      <c r="A12" s="67" t="inlineStr">
        <is>
          <t>y</t>
        </is>
      </c>
      <c r="B12" s="67" t="n">
        <v>5</v>
      </c>
      <c r="C12" s="67" t="n">
        <v>0</v>
      </c>
      <c r="D12" s="67" t="inlineStr">
        <is>
          <t>Verify parent result has correct IsPartial = False for a completed consolidated result</t>
        </is>
      </c>
      <c r="E12" s="67" t="n"/>
      <c r="F12" s="67" t="n"/>
      <c r="G12" s="67" t="n"/>
      <c r="H12" s="67" t="n"/>
      <c r="I12" s="67" t="inlineStr">
        <is>
          <t>n</t>
        </is>
      </c>
      <c r="J12" s="67" t="inlineStr">
        <is>
          <t>OPC 40450-1 Section 11 (CU-34)</t>
        </is>
      </c>
      <c r="K12" s="67" t="n"/>
    </row>
    <row r="13" ht="25.8" customHeight="1" s="132">
      <c r="A13" s="61" t="n"/>
      <c r="B13" s="61" t="n"/>
      <c r="C13" s="61" t="n">
        <v>1</v>
      </c>
      <c r="D13" s="61" t="inlineStr">
        <is>
          <t>Read IsPartial from the parent consolidated result.</t>
        </is>
      </c>
      <c r="E13" s="61" t="inlineStr">
        <is>
          <t>A completed consolidated result with reference-only sub-results.</t>
        </is>
      </c>
      <c r="F13" s="61" t="inlineStr">
        <is>
          <t>IsPartial = False (or absent = False). A completed consolidated result is not partial.</t>
        </is>
      </c>
      <c r="G13" s="61" t="inlineStr">
        <is>
          <t>Good</t>
        </is>
      </c>
      <c r="H13" s="61" t="inlineStr">
        <is>
          <t>Good</t>
        </is>
      </c>
      <c r="I13" s="61" t="n"/>
      <c r="J13" s="61" t="inlineStr">
        <is>
          <t>OPC 40450-1 Section 11 (CU-34) / OPC 40001-101</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CU-34 result sub-result ResultContent with non-empty data violates the spec</t>
        </is>
      </c>
      <c r="E15" s="69" t="n"/>
      <c r="F15" s="69" t="n"/>
      <c r="G15" s="69" t="n"/>
      <c r="H15" s="69" t="n"/>
      <c r="I15" s="69" t="inlineStr">
        <is>
          <t>n</t>
        </is>
      </c>
      <c r="J15" s="69" t="inlineStr">
        <is>
          <t>OPC 40450-1 Section 11 (CU-34)</t>
        </is>
      </c>
      <c r="K15" s="69" t="n"/>
    </row>
    <row r="16" ht="38.7" customHeight="1" s="132">
      <c r="A16" s="61" t="n"/>
      <c r="B16" s="61" t="n"/>
      <c r="C16" s="61" t="n">
        <v>1</v>
      </c>
      <c r="D16" s="61" t="inlineStr">
        <is>
          <t>For a server claiming CU-34 (reference mode): verify no sub-result has non-empty ResultContent.</t>
        </is>
      </c>
      <c r="E16" s="61" t="inlineStr">
        <is>
          <t>All consolidated results from a CU-34-conformant server.</t>
        </is>
      </c>
      <c r="F16" s="61" t="inlineStr">
        <is>
          <t>All sub-results in CU-34 consolidated results have empty ResultContent[]. Any sub-result with non-empty ResultContent indicates a CU-33 (self-contained) result, not CU-34.</t>
        </is>
      </c>
      <c r="G16" s="61" t="inlineStr">
        <is>
          <t>Good</t>
        </is>
      </c>
      <c r="H16" s="61" t="inlineStr">
        <is>
          <t>Good</t>
        </is>
      </c>
      <c r="I16" s="61" t="n"/>
      <c r="J16" s="61" t="inlineStr">
        <is>
          <t>OPC 40450-1 Section 11 (CU-34)</t>
        </is>
      </c>
      <c r="K16" s="61" t="n"/>
    </row>
    <row r="17" ht="25.8" customHeight="1" s="132">
      <c r="A17" s="69" t="inlineStr">
        <is>
          <t>n</t>
        </is>
      </c>
      <c r="B17" s="69" t="n">
        <v>2</v>
      </c>
      <c r="C17" s="69" t="n">
        <v>0</v>
      </c>
      <c r="D17" s="69" t="inlineStr">
        <is>
          <t>Verify GetResultById with an invalid sub-result reference ResultId returns appropriate error</t>
        </is>
      </c>
      <c r="E17" s="69" t="n"/>
      <c r="F17" s="69" t="n"/>
      <c r="G17" s="69" t="n"/>
      <c r="H17" s="69" t="n"/>
      <c r="I17" s="69" t="inlineStr">
        <is>
          <t>n</t>
        </is>
      </c>
      <c r="J17" s="69" t="inlineStr">
        <is>
          <t>OPC 40450-1 Section 7.5</t>
        </is>
      </c>
      <c r="K17" s="69" t="n"/>
    </row>
    <row r="18" ht="38.7" customHeight="1" s="132">
      <c r="A18" s="61" t="n"/>
      <c r="B18" s="61" t="n"/>
      <c r="C18" s="61" t="n">
        <v>1</v>
      </c>
      <c r="D18" s="61" t="inlineStr">
        <is>
          <t>Fabricate a non-existent ResultId. Call GetResultById with this invalid ResultId.</t>
        </is>
      </c>
      <c r="E18" s="61" t="inlineStr">
        <is>
          <t>GetResultById available.</t>
        </is>
      </c>
      <c r="F18" s="61" t="inlineStr">
        <is>
          <t>GetResultById returns Bad_InvalidArgument or Bad_NoDataAvailable. No result data is returned for a non-existent ResultId.</t>
        </is>
      </c>
      <c r="G18" s="61" t="inlineStr">
        <is>
          <t>Good</t>
        </is>
      </c>
      <c r="H18" s="61" t="inlineStr">
        <is>
          <t>Bad_InvalidArgument</t>
        </is>
      </c>
      <c r="I18" s="61" t="n"/>
      <c r="J18" s="61" t="inlineStr">
        <is>
          <t>OPC 40450-1 Section 7.5</t>
        </is>
      </c>
      <c r="K18" s="61" t="n"/>
    </row>
    <row r="19">
      <c r="A19" s="110" t="inlineStr">
        <is>
          <t>n</t>
        </is>
      </c>
      <c r="B19" s="110" t="n">
        <v>3</v>
      </c>
      <c r="C19" s="110" t="n">
        <v>0</v>
      </c>
      <c r="D19" s="110" t="inlineStr">
        <is>
          <t>Verify sub-result ResultContent is empty (references-only mode)</t>
        </is>
      </c>
      <c r="E19" s="110" t="n"/>
      <c r="F19" s="110" t="n"/>
      <c r="G19" s="110" t="n"/>
      <c r="H19" s="110" t="n"/>
      <c r="I19" s="110" t="inlineStr">
        <is>
          <t>n</t>
        </is>
      </c>
      <c r="J19" s="110" t="inlineStr">
        <is>
          <t>OPC 40450-1 Section 11.1 CU-34</t>
        </is>
      </c>
      <c r="K19" s="110" t="n"/>
    </row>
    <row r="20" ht="25.8" customHeight="1" s="132">
      <c r="A20" s="111" t="n"/>
      <c r="B20" s="111" t="n"/>
      <c r="C20" s="111" t="n">
        <v>1</v>
      </c>
      <c r="D20" s="111" t="inlineStr">
        <is>
          <t>Inspect each sub-result. Check ResultContent is empty array.</t>
        </is>
      </c>
      <c r="E20" s="111" t="inlineStr">
        <is>
          <t>Server claims this Conformance Unit; no additional runtime setup is needed for this step.</t>
        </is>
      </c>
      <c r="F20" s="111" t="inlineStr">
        <is>
          <t>ResultContent is empty [] for each sub-result.</t>
        </is>
      </c>
      <c r="G20" s="111" t="inlineStr">
        <is>
          <t>Good</t>
        </is>
      </c>
      <c r="H20" s="111" t="n"/>
      <c r="I20" s="111" t="n"/>
      <c r="J20" s="111" t="inlineStr">
        <is>
          <t>OPC 40450-1 Section 11.1 CU-34</t>
        </is>
      </c>
      <c r="K20" s="111" t="inlineStr">
        <is>
          <t>Requirement source: OPC 40450-1 Section 10.13 - Reference-only sub-results have empty ResultContent.</t>
        </is>
      </c>
    </row>
    <row r="21">
      <c r="A21" s="110" t="inlineStr">
        <is>
          <t>n</t>
        </is>
      </c>
      <c r="B21" s="110" t="n">
        <v>4</v>
      </c>
      <c r="C21" s="110" t="n">
        <v>0</v>
      </c>
      <c r="D21" s="110" t="inlineStr">
        <is>
          <t>Verify sub-result has ResultId and Classification populated</t>
        </is>
      </c>
      <c r="E21" s="110" t="n"/>
      <c r="F21" s="110" t="n"/>
      <c r="G21" s="110" t="n"/>
      <c r="H21" s="110" t="n"/>
      <c r="I21" s="110" t="inlineStr">
        <is>
          <t>n</t>
        </is>
      </c>
      <c r="J21" s="110" t="inlineStr">
        <is>
          <t>OPC 40450-1 Section 11.1 CU-34</t>
        </is>
      </c>
      <c r="K21" s="110" t="n"/>
    </row>
    <row r="22">
      <c r="A22" s="111" t="n"/>
      <c r="B22" s="111" t="n"/>
      <c r="C22" s="111" t="n">
        <v>1</v>
      </c>
      <c r="D22" s="111" t="inlineStr">
        <is>
          <t>Read ResultMetaData from each sub-result.</t>
        </is>
      </c>
      <c r="E22" s="111" t="inlineStr">
        <is>
          <t>Server claims this Conformance Unit; no additional runtime setup is needed for this step.</t>
        </is>
      </c>
      <c r="F22" s="111" t="inlineStr">
        <is>
          <t>Each sub-result has non-empty ResultId and valid Classification.</t>
        </is>
      </c>
      <c r="G22" s="111" t="inlineStr">
        <is>
          <t>Good</t>
        </is>
      </c>
      <c r="H22" s="111" t="n"/>
      <c r="I22" s="111" t="n"/>
      <c r="J22" s="111" t="inlineStr">
        <is>
          <t>OPC 40450-1 Section 11.1 CU-34</t>
        </is>
      </c>
      <c r="K22" s="111" t="inlineStr">
        <is>
          <t>Requirement source: OPC 40450-1 Section 10.13 - Mandatory even for references.</t>
        </is>
      </c>
    </row>
    <row r="23">
      <c r="A23" s="110" t="inlineStr">
        <is>
          <t>n</t>
        </is>
      </c>
      <c r="B23" s="110" t="n">
        <v>5</v>
      </c>
      <c r="C23" s="110" t="n">
        <v>0</v>
      </c>
      <c r="D23" s="110" t="inlineStr">
        <is>
          <t>Verify references can be resolved via GetResultById</t>
        </is>
      </c>
      <c r="E23" s="110" t="n"/>
      <c r="F23" s="110" t="n"/>
      <c r="G23" s="110" t="n"/>
      <c r="H23" s="110" t="n"/>
      <c r="I23" s="110" t="inlineStr">
        <is>
          <t>n</t>
        </is>
      </c>
      <c r="J23" s="110" t="inlineStr">
        <is>
          <t>OPC 40450-1 Section 11.1 CU-34</t>
        </is>
      </c>
      <c r="K23" s="110" t="n"/>
    </row>
    <row r="24" ht="25.8" customHeight="1" s="132">
      <c r="A24" s="111" t="n"/>
      <c r="B24" s="111" t="n"/>
      <c r="C24" s="111" t="n">
        <v>1</v>
      </c>
      <c r="D24" s="111" t="inlineStr">
        <is>
          <t>Use each sub-result ResultId to call GetResultById.</t>
        </is>
      </c>
      <c r="E24" s="111" t="inlineStr">
        <is>
          <t>Server claims this Conformance Unit; no additional runtime setup is needed for this step.</t>
        </is>
      </c>
      <c r="F24" s="111" t="inlineStr">
        <is>
          <t>GetResultById returns Good with full result for each reference.</t>
        </is>
      </c>
      <c r="G24" s="111" t="inlineStr">
        <is>
          <t>Good</t>
        </is>
      </c>
      <c r="H24" s="111" t="n"/>
      <c r="I24" s="111" t="n"/>
      <c r="J24" s="111" t="inlineStr">
        <is>
          <t>OPC 40450-1 Section 11.1 CU-34</t>
        </is>
      </c>
      <c r="K24" s="111" t="inlineStr">
        <is>
          <t>Requirement source: OPC 40450-1 Section 7.5 - Referenced results must be retrievable.</t>
        </is>
      </c>
    </row>
  </sheetData>
  <mergeCells count="2">
    <mergeCell ref="A1:K1"/>
    <mergeCell ref="C2:J2"/>
  </mergeCells>
  <pageMargins left="0.7" right="0.7" top="0.75" bottom="0.75" header="0.3" footer="0.3"/>
</worksheet>
</file>

<file path=xl/worksheets/sheet41.xml><?xml version="1.0" encoding="utf-8"?>
<worksheet xmlns="http://schemas.openxmlformats.org/spreadsheetml/2006/main">
  <sheetPr codeName="Sheet3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CU-35: IJT Partial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CU-35 — IJT Partial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5.8" customHeight="1" s="132">
      <c r="A4" s="56" t="inlineStr">
        <is>
          <t>n</t>
        </is>
      </c>
      <c r="B4" s="57" t="n">
        <v>1</v>
      </c>
      <c r="C4" s="58" t="n">
        <v>0</v>
      </c>
      <c r="D4" s="58" t="inlineStr">
        <is>
          <t>Verify Partial Consolidated Result has IsPartial = True during processing</t>
        </is>
      </c>
      <c r="E4" s="58" t="n"/>
      <c r="F4" s="58" t="n"/>
      <c r="G4" s="58" t="n"/>
      <c r="H4" s="58" t="n"/>
      <c r="I4" s="58" t="inlineStr">
        <is>
          <t>n</t>
        </is>
      </c>
      <c r="J4" s="58" t="inlineStr">
        <is>
          <t>OPC 40450-1 Section 11 (CU-35)</t>
        </is>
      </c>
      <c r="K4" s="74" t="inlineStr">
        <is>
          <t>CTT=n: requires real-time device interaction to capture in-progress results</t>
        </is>
      </c>
    </row>
    <row r="5" ht="38.7" customFormat="1" customHeight="1" s="138">
      <c r="A5" s="60" t="n"/>
      <c r="B5" s="61" t="n"/>
      <c r="C5" s="61" t="n">
        <v>1</v>
      </c>
      <c r="D5" s="61" t="inlineStr">
        <is>
          <t>During an active batch/sync/job/stitching operation: subscribe to result events or poll ResultVariable. Capture intermediate results.</t>
        </is>
      </c>
      <c r="E5" s="61" t="inlineStr">
        <is>
          <t>Device performing a multi-operation batch/sync/job. Operation actively in progress. Subscription active.</t>
        </is>
      </c>
      <c r="F5" s="61" t="inlineStr">
        <is>
          <t>A result is received/read with IsPartial = True. Classification is in {2=SYNC_RESULT, 3=BATCH_RESULT, 4=JOB_RESULT, 5=STITCHING_RESULT}.</t>
        </is>
      </c>
      <c r="G5" s="61" t="inlineStr">
        <is>
          <t>Good</t>
        </is>
      </c>
      <c r="H5" s="61" t="inlineStr">
        <is>
          <t>Good</t>
        </is>
      </c>
      <c r="I5" s="61" t="n"/>
      <c r="J5" s="61" t="inlineStr">
        <is>
          <t>OPC 40450-1 Section 11 (CU-35) / OPC 40001-101</t>
        </is>
      </c>
      <c r="K5" s="62" t="n"/>
    </row>
    <row r="6">
      <c r="A6" s="70" t="inlineStr">
        <is>
          <t>n</t>
        </is>
      </c>
      <c r="B6" s="71" t="n">
        <v>2</v>
      </c>
      <c r="C6" s="72" t="n">
        <v>0</v>
      </c>
      <c r="D6" s="72" t="inlineStr">
        <is>
          <t>Verify Partial Consolidated Result has ResultState = Processing</t>
        </is>
      </c>
      <c r="E6" s="72" t="n"/>
      <c r="F6" s="72" t="n"/>
      <c r="G6" s="72" t="n"/>
      <c r="H6" s="72" t="n"/>
      <c r="I6" s="72" t="inlineStr">
        <is>
          <t>n</t>
        </is>
      </c>
      <c r="J6" s="72" t="inlineStr">
        <is>
          <t>OPC 40450-1 Section 11 (CU-35)</t>
        </is>
      </c>
      <c r="K6" s="73" t="inlineStr">
        <is>
          <t>CTT=n: requires device interaction</t>
        </is>
      </c>
    </row>
    <row r="7" ht="38.7" customHeight="1" s="132">
      <c r="A7" s="61" t="n"/>
      <c r="B7" s="61" t="n"/>
      <c r="C7" s="61" t="n">
        <v>1</v>
      </c>
      <c r="D7" s="61" t="inlineStr">
        <is>
          <t>Inspect ResultMetaData.ResultState in a partial consolidated result (IsPartial=True).</t>
        </is>
      </c>
      <c r="E7" s="61" t="inlineStr">
        <is>
          <t>A partial consolidated result captured in TC#1.</t>
        </is>
      </c>
      <c r="F7" s="61" t="inlineStr">
        <is>
          <t>ResultState = "Processing" (or the equivalent ResultState enum value per OPC 40001-101). A partial result indicates the joining process is still ongoing.</t>
        </is>
      </c>
      <c r="G7" s="61" t="inlineStr">
        <is>
          <t>Good</t>
        </is>
      </c>
      <c r="H7" s="61" t="inlineStr">
        <is>
          <t>Good</t>
        </is>
      </c>
      <c r="I7" s="61" t="n"/>
      <c r="J7" s="61" t="inlineStr">
        <is>
          <t>OPC 40450-1 Section 11 (CU-35) / OPC 40001-101</t>
        </is>
      </c>
      <c r="K7" s="61" t="inlineStr">
        <is>
          <t>ResultState is defined in OPC 40001-101 5:ResultMetaDataType</t>
        </is>
      </c>
    </row>
    <row r="8" ht="25.8" customHeight="1" s="132">
      <c r="A8" s="67" t="inlineStr">
        <is>
          <t>n</t>
        </is>
      </c>
      <c r="B8" s="67" t="n">
        <v>3</v>
      </c>
      <c r="C8" s="67" t="n">
        <v>0</v>
      </c>
      <c r="D8" s="67" t="inlineStr">
        <is>
          <t>Verify Partial Consolidated Result Classification is in {BATCH, JOB, SYNC, STITCHING}</t>
        </is>
      </c>
      <c r="E8" s="67" t="n"/>
      <c r="F8" s="67" t="n"/>
      <c r="G8" s="67" t="n"/>
      <c r="H8" s="67" t="n"/>
      <c r="I8" s="67" t="inlineStr">
        <is>
          <t>n</t>
        </is>
      </c>
      <c r="J8" s="67" t="inlineStr">
        <is>
          <t>OPC 40450-1 Section 11 (CU-35)</t>
        </is>
      </c>
      <c r="K8" s="67" t="n"/>
    </row>
    <row r="9" ht="64.5" customHeight="1" s="132">
      <c r="A9" s="61" t="n"/>
      <c r="B9" s="61" t="n"/>
      <c r="C9" s="61" t="n">
        <v>1</v>
      </c>
      <c r="D9" s="61" t="inlineStr">
        <is>
          <t>Check Classification of the partial consolidated result.</t>
        </is>
      </c>
      <c r="E9" s="61" t="inlineStr">
        <is>
          <t>Partial consolidated result (IsPartial=True) available.</t>
        </is>
      </c>
      <c r="F9" s="61" t="inlineStr">
        <is>
          <t>Classification is one of {2=SYNC_RESULT, 3=BATCH_RESULT, 4=JOB_RESULT, 5=STITCHING_RESULT}. Partial results are only valid for consolidated (multi-operation) result types. IsPartial=True with Classification=SINGLE_RESULT is not a valid combination per CU-35.</t>
        </is>
      </c>
      <c r="G9" s="61" t="inlineStr">
        <is>
          <t>Good</t>
        </is>
      </c>
      <c r="H9" s="61" t="inlineStr">
        <is>
          <t>Good</t>
        </is>
      </c>
      <c r="I9" s="61" t="n"/>
      <c r="J9" s="61" t="inlineStr">
        <is>
          <t>OPC 40450-1 Section 11 (CU-35)</t>
        </is>
      </c>
      <c r="K9" s="61" t="n"/>
    </row>
    <row r="10" ht="25.8" customHeight="1" s="132">
      <c r="A10" s="67" t="inlineStr">
        <is>
          <t>n</t>
        </is>
      </c>
      <c r="B10" s="67" t="n">
        <v>4</v>
      </c>
      <c r="C10" s="67" t="n">
        <v>0</v>
      </c>
      <c r="D10" s="67" t="inlineStr">
        <is>
          <t>Verify final (non-partial) version of the same result is received after operation completes</t>
        </is>
      </c>
      <c r="E10" s="67" t="n"/>
      <c r="F10" s="67" t="n"/>
      <c r="G10" s="67" t="n"/>
      <c r="H10" s="67" t="n"/>
      <c r="I10" s="67" t="inlineStr">
        <is>
          <t>n</t>
        </is>
      </c>
      <c r="J10" s="67" t="inlineStr">
        <is>
          <t>OPC 40450-1 Section 11 (CU-35)</t>
        </is>
      </c>
      <c r="K10" s="67" t="n"/>
    </row>
    <row r="11" ht="51.6" customHeight="1" s="132">
      <c r="A11" s="61" t="n"/>
      <c r="B11" s="61" t="n"/>
      <c r="C11" s="61" t="n">
        <v>1</v>
      </c>
      <c r="D11" s="61" t="inlineStr">
        <is>
          <t>After the multi-operation sequence completes: retrieve the final consolidated result with the same ResultId (or parent ResultId).</t>
        </is>
      </c>
      <c r="E11" s="61" t="inlineStr">
        <is>
          <t>Multi-operation sequence completed after partial result captured in TC#1-3.</t>
        </is>
      </c>
      <c r="F11" s="61" t="inlineStr">
        <is>
          <t>A final result with IsPartial = False and ResultState = "Complete" (or equivalent) is available. The final result contains all sub-results (more entries than the partial result). ResultMetaData.ResultId or SequenceNumber links the final result to the partial result.</t>
        </is>
      </c>
      <c r="G11" s="61" t="inlineStr">
        <is>
          <t>Good</t>
        </is>
      </c>
      <c r="H11" s="61" t="inlineStr">
        <is>
          <t>Good</t>
        </is>
      </c>
      <c r="I11" s="61" t="n"/>
      <c r="J11" s="61" t="inlineStr">
        <is>
          <t>OPC 40450-1 Section 11 (CU-35) / OPC 40001-101</t>
        </is>
      </c>
      <c r="K11" s="61" t="n"/>
    </row>
    <row r="12" ht="25.8" customHeight="1" s="132">
      <c r="A12" s="67" t="inlineStr">
        <is>
          <t>y</t>
        </is>
      </c>
      <c r="B12" s="67" t="n">
        <v>5</v>
      </c>
      <c r="C12" s="67" t="n">
        <v>0</v>
      </c>
      <c r="D12" s="67" t="inlineStr">
        <is>
          <t>Verify Partial Consolidated Result sub-results count increases with each intermediate delivery</t>
        </is>
      </c>
      <c r="E12" s="67" t="n"/>
      <c r="F12" s="67" t="n"/>
      <c r="G12" s="67" t="n"/>
      <c r="H12" s="67" t="n"/>
      <c r="I12" s="67" t="inlineStr">
        <is>
          <t>n</t>
        </is>
      </c>
      <c r="J12" s="67" t="inlineStr">
        <is>
          <t>OPC 40450-1 Section 11 (CU-35)</t>
        </is>
      </c>
      <c r="K12" s="67" t="n"/>
    </row>
    <row r="13" ht="38.7" customHeight="1" s="132">
      <c r="A13" s="61" t="n"/>
      <c r="B13" s="61" t="n"/>
      <c r="C13" s="61" t="n">
        <v>1</v>
      </c>
      <c r="D13" s="61" t="inlineStr">
        <is>
          <t>If multiple partial results are received (one per completed sub-operation): compare sub-result counts across successive partial results.</t>
        </is>
      </c>
      <c r="E13" s="61" t="inlineStr">
        <is>
          <t>Multiple partial results from a single multi-operation sequence available.</t>
        </is>
      </c>
      <c r="F13" s="61" t="inlineStr">
        <is>
          <t>Each successive partial result has more sub-results than the previous one. The final non-partial result has the complete sub-result set.</t>
        </is>
      </c>
      <c r="G13" s="61" t="inlineStr">
        <is>
          <t>Good</t>
        </is>
      </c>
      <c r="H13" s="61" t="inlineStr">
        <is>
          <t>Good</t>
        </is>
      </c>
      <c r="I13" s="61" t="n"/>
      <c r="J13" s="61" t="inlineStr">
        <is>
          <t>OPC 40450-1 Section 11 (CU-35)</t>
        </is>
      </c>
      <c r="K13" s="61" t="inlineStr">
        <is>
          <t>Progressive delivery: each partial result adds newly completed sub-results</t>
        </is>
      </c>
    </row>
    <row r="14">
      <c r="A14" s="67" t="inlineStr">
        <is>
          <t>y</t>
        </is>
      </c>
      <c r="B14" s="67" t="n">
        <v>6</v>
      </c>
      <c r="C14" s="67" t="n">
        <v>0</v>
      </c>
      <c r="D14" s="67" t="inlineStr">
        <is>
          <t>Verify IsPartial = False is set only on the final consolidated result</t>
        </is>
      </c>
      <c r="E14" s="67" t="n"/>
      <c r="F14" s="67" t="n"/>
      <c r="G14" s="67" t="n"/>
      <c r="H14" s="67" t="n"/>
      <c r="I14" s="67" t="inlineStr">
        <is>
          <t>n</t>
        </is>
      </c>
      <c r="J14" s="67" t="inlineStr">
        <is>
          <t>OPC 40450-1 Section 11 (CU-35)</t>
        </is>
      </c>
      <c r="K14" s="67" t="n"/>
    </row>
    <row r="15" ht="25.8" customHeight="1" s="132">
      <c r="A15" s="61" t="n"/>
      <c r="B15" s="61" t="n"/>
      <c r="C15" s="61" t="n">
        <v>1</v>
      </c>
      <c r="D15" s="61" t="inlineStr">
        <is>
          <t>Retrieve both partial and final versions of the same batch/job result (if stored). Compare IsPartial values.</t>
        </is>
      </c>
      <c r="E15" s="61" t="inlineStr">
        <is>
          <t>Both partial (in-progress) and final (completed) versions of the same consolidated result available.</t>
        </is>
      </c>
      <c r="F15" s="61" t="inlineStr">
        <is>
          <t>Partial versions: IsPartial = True. Final version: IsPartial = False. The final version has ResultState != Processing.</t>
        </is>
      </c>
      <c r="G15" s="61" t="inlineStr">
        <is>
          <t>Good</t>
        </is>
      </c>
      <c r="H15" s="61" t="inlineStr">
        <is>
          <t>Good</t>
        </is>
      </c>
      <c r="I15" s="61" t="n"/>
      <c r="J15" s="61" t="inlineStr">
        <is>
          <t>OPC 40450-1 Section 11 (CU-35) / OPC 40001-101</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IsPartial=True with Classification=SINGLE_RESULT is not present</t>
        </is>
      </c>
      <c r="E17" s="69" t="n"/>
      <c r="F17" s="69" t="n"/>
      <c r="G17" s="69" t="n"/>
      <c r="H17" s="69" t="n"/>
      <c r="I17" s="69" t="inlineStr">
        <is>
          <t>n</t>
        </is>
      </c>
      <c r="J17" s="69" t="inlineStr">
        <is>
          <t>OPC 40450-1 Section 11 (CU-35)</t>
        </is>
      </c>
      <c r="K17" s="69" t="n"/>
    </row>
    <row r="18" ht="51.6" customHeight="1" s="132">
      <c r="A18" s="61" t="n"/>
      <c r="B18" s="61" t="n"/>
      <c r="C18" s="61" t="n">
        <v>1</v>
      </c>
      <c r="D18" s="61" t="inlineStr">
        <is>
          <t>Scan available results. Check for any combination of IsPartial=True and Classification=SINGLE_RESULT.</t>
        </is>
      </c>
      <c r="E18" s="61" t="inlineStr">
        <is>
          <t>All available results on the server.</t>
        </is>
      </c>
      <c r="F18" s="61" t="inlineStr">
        <is>
          <t>No result has both IsPartial=True and Classification=SINGLE_RESULT(1). SINGLE_RESULTs are atomic — they cannot be partial. Only consolidated result types (Classification 2,3,4,5) are valid for IsPartial=True.</t>
        </is>
      </c>
      <c r="G18" s="61" t="inlineStr">
        <is>
          <t>Good</t>
        </is>
      </c>
      <c r="H18" s="61" t="inlineStr">
        <is>
          <t>Good</t>
        </is>
      </c>
      <c r="I18" s="61" t="n"/>
      <c r="J18" s="61" t="inlineStr">
        <is>
          <t>OPC 40450-1 Section 11 (CU-35)</t>
        </is>
      </c>
      <c r="K18" s="61" t="n"/>
    </row>
    <row r="19">
      <c r="A19" s="69" t="inlineStr">
        <is>
          <t>n</t>
        </is>
      </c>
      <c r="B19" s="69" t="n">
        <v>2</v>
      </c>
      <c r="C19" s="69" t="n">
        <v>0</v>
      </c>
      <c r="D19" s="69" t="inlineStr">
        <is>
          <t>Verify Partial Consolidated Result contains consistent sub-result data</t>
        </is>
      </c>
      <c r="E19" s="69" t="n"/>
      <c r="F19" s="69" t="n"/>
      <c r="G19" s="69" t="n"/>
      <c r="H19" s="69" t="n"/>
      <c r="I19" s="69" t="inlineStr">
        <is>
          <t>n</t>
        </is>
      </c>
      <c r="J19" s="69" t="inlineStr">
        <is>
          <t>OPC 40450-1 Section 11 (CU-35)</t>
        </is>
      </c>
      <c r="K19" s="69" t="n"/>
    </row>
    <row r="20" ht="51.6" customHeight="1" s="132">
      <c r="A20" s="61" t="n"/>
      <c r="B20" s="61" t="n"/>
      <c r="C20" s="61" t="n">
        <v>1</v>
      </c>
      <c r="D20" s="61" t="inlineStr">
        <is>
          <t>For a partial result: inspect sub-results that are included. Verify each has valid ResultMetaData.</t>
        </is>
      </c>
      <c r="E20" s="61" t="inlineStr">
        <is>
          <t>A partial consolidated result with at least one sub-result.</t>
        </is>
      </c>
      <c r="F20" s="61" t="inlineStr">
        <is>
          <t>Each sub-result in the partial result has a valid ResultId and Classification. Sub-result data included in the partial result is complete (not partial itself). Partial applies only to the parent consolidation, not to individual sub-results.</t>
        </is>
      </c>
      <c r="G20" s="61" t="inlineStr">
        <is>
          <t>Good</t>
        </is>
      </c>
      <c r="H20" s="61" t="inlineStr">
        <is>
          <t>Good</t>
        </is>
      </c>
      <c r="I20" s="61" t="n"/>
      <c r="J20" s="61" t="inlineStr">
        <is>
          <t>OPC 40450-1 Section 11 (CU-35)</t>
        </is>
      </c>
      <c r="K20" s="61" t="n"/>
    </row>
    <row r="21">
      <c r="A21" s="110" t="inlineStr">
        <is>
          <t>n</t>
        </is>
      </c>
      <c r="B21" s="110" t="n">
        <v>3</v>
      </c>
      <c r="C21" s="110" t="n">
        <v>0</v>
      </c>
      <c r="D21" s="110" t="inlineStr">
        <is>
          <t>Verify IsPartial=True when ResultState=Processing</t>
        </is>
      </c>
      <c r="E21" s="110" t="n"/>
      <c r="F21" s="110" t="n"/>
      <c r="G21" s="110" t="n"/>
      <c r="H21" s="110" t="n"/>
      <c r="I21" s="110" t="inlineStr">
        <is>
          <t>n</t>
        </is>
      </c>
      <c r="J21" s="110" t="inlineStr">
        <is>
          <t>OPC 40450-1 Section 11.1 CU-35</t>
        </is>
      </c>
      <c r="K21" s="110" t="n"/>
    </row>
    <row r="22">
      <c r="A22" s="111" t="n"/>
      <c r="B22" s="111" t="n"/>
      <c r="C22" s="111" t="n">
        <v>1</v>
      </c>
      <c r="D22" s="111" t="inlineStr">
        <is>
          <t>Read IsPartial and ResultState during active joining operation.</t>
        </is>
      </c>
      <c r="E22" s="111" t="inlineStr">
        <is>
          <t>Server claims this Conformance Unit; no additional runtime setup is needed for this step.</t>
        </is>
      </c>
      <c r="F22" s="111" t="inlineStr">
        <is>
          <t>IsPartial is True when ResultState=Processing.</t>
        </is>
      </c>
      <c r="G22" s="111" t="inlineStr">
        <is>
          <t>Good</t>
        </is>
      </c>
      <c r="H22" s="111" t="n"/>
      <c r="I22" s="111" t="n"/>
      <c r="J22" s="111" t="inlineStr">
        <is>
          <t>OPC 40450-1 Section 11.1 CU-35</t>
        </is>
      </c>
      <c r="K22" s="111" t="inlineStr">
        <is>
          <t>Requirement source: OPC 40450-1 Section 10.13 - IsPartial=True while Processing.</t>
        </is>
      </c>
    </row>
    <row r="23">
      <c r="A23" s="110" t="inlineStr">
        <is>
          <t>n</t>
        </is>
      </c>
      <c r="B23" s="110" t="n">
        <v>4</v>
      </c>
      <c r="C23" s="110" t="n">
        <v>0</v>
      </c>
      <c r="D23" s="110" t="inlineStr">
        <is>
          <t>Verify ResultState transitions from Processing to Completed</t>
        </is>
      </c>
      <c r="E23" s="110" t="n"/>
      <c r="F23" s="110" t="n"/>
      <c r="G23" s="110" t="n"/>
      <c r="H23" s="110" t="n"/>
      <c r="I23" s="110" t="inlineStr">
        <is>
          <t>n</t>
        </is>
      </c>
      <c r="J23" s="110" t="inlineStr">
        <is>
          <t>OPC 40450-1 Section 11.1 CU-35</t>
        </is>
      </c>
      <c r="K23" s="110" t="n"/>
    </row>
    <row r="24">
      <c r="A24" s="111" t="n"/>
      <c r="B24" s="111" t="n"/>
      <c r="C24" s="111" t="n">
        <v>1</v>
      </c>
      <c r="D24" s="111" t="inlineStr">
        <is>
          <t>Monitor ResultState during and after joining operation.</t>
        </is>
      </c>
      <c r="E24" s="111" t="inlineStr">
        <is>
          <t>Server claims this Conformance Unit; no additional runtime setup is needed for this step.</t>
        </is>
      </c>
      <c r="F24" s="111" t="inlineStr">
        <is>
          <t>ResultState changes from Processing to Completed.</t>
        </is>
      </c>
      <c r="G24" s="111" t="inlineStr">
        <is>
          <t>Good</t>
        </is>
      </c>
      <c r="H24" s="111" t="n"/>
      <c r="I24" s="111" t="n"/>
      <c r="J24" s="111" t="inlineStr">
        <is>
          <t>OPC 40450-1 Section 11.1 CU-35</t>
        </is>
      </c>
      <c r="K24" s="111" t="inlineStr">
        <is>
          <t>Requirement source: OPC 40450-1 Section 10.13 - ResultState lifecycle.</t>
        </is>
      </c>
    </row>
    <row r="25">
      <c r="A25" s="110" t="inlineStr">
        <is>
          <t>n</t>
        </is>
      </c>
      <c r="B25" s="110" t="n">
        <v>5</v>
      </c>
      <c r="C25" s="110" t="n">
        <v>0</v>
      </c>
      <c r="D25" s="110" t="inlineStr">
        <is>
          <t>Verify IsPartial changes to False when complete</t>
        </is>
      </c>
      <c r="E25" s="110" t="n"/>
      <c r="F25" s="110" t="n"/>
      <c r="G25" s="110" t="n"/>
      <c r="H25" s="110" t="n"/>
      <c r="I25" s="110" t="inlineStr">
        <is>
          <t>n</t>
        </is>
      </c>
      <c r="J25" s="110" t="inlineStr">
        <is>
          <t>OPC 40450-1 Section 11.1 CU-35</t>
        </is>
      </c>
      <c r="K25" s="110" t="n"/>
    </row>
    <row r="26">
      <c r="A26" s="111" t="n"/>
      <c r="B26" s="111" t="n"/>
      <c r="C26" s="111" t="n">
        <v>1</v>
      </c>
      <c r="D26" s="111" t="inlineStr">
        <is>
          <t>Subscribe to ResultVariable. Wait for final result.</t>
        </is>
      </c>
      <c r="E26" s="111" t="inlineStr">
        <is>
          <t>Server claims this Conformance Unit; no additional runtime setup is needed for this step.</t>
        </is>
      </c>
      <c r="F26" s="111" t="inlineStr">
        <is>
          <t>Final result notification has IsPartial=False.</t>
        </is>
      </c>
      <c r="G26" s="111" t="inlineStr">
        <is>
          <t>Good</t>
        </is>
      </c>
      <c r="H26" s="111" t="n"/>
      <c r="I26" s="111" t="n"/>
      <c r="J26" s="111" t="inlineStr">
        <is>
          <t>OPC 40450-1 Section 11.1 CU-35</t>
        </is>
      </c>
      <c r="K26" s="111" t="inlineStr">
        <is>
          <t>Requirement source: OPC 40450-1 Section 10.13 - Final result has IsPartial=False.</t>
        </is>
      </c>
    </row>
  </sheetData>
  <mergeCells count="2">
    <mergeCell ref="A1:K1"/>
    <mergeCell ref="C2:J2"/>
  </mergeCells>
  <pageMargins left="0.7" right="0.7" top="0.75" bottom="0.75" header="0.3" footer="0.3"/>
</worksheet>
</file>

<file path=xl/worksheets/sheet42.xml><?xml version="1.0" encoding="utf-8"?>
<worksheet xmlns="http://schemas.openxmlformats.org/spreadsheetml/2006/main">
  <sheetPr codeName="Sheet39">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CU-36: Result Content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CU-36 — Result Content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RC-1: For SINGLE_RESULT, ResultContent[0] is JoiningResultDataType</t>
        </is>
      </c>
      <c r="E4" s="58" t="n"/>
      <c r="F4" s="58" t="n"/>
      <c r="G4" s="58" t="n"/>
      <c r="H4" s="58" t="n"/>
      <c r="I4" s="58" t="inlineStr">
        <is>
          <t>n</t>
        </is>
      </c>
      <c r="J4" s="58" t="inlineStr">
        <is>
          <t>OPC 40450-1 Section 11.1 CU-36</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ResultMetaData.Classification = 1 (SINGLE_RESULT). Inspect the type of the ResultContent field.</t>
        </is>
      </c>
      <c r="E5" s="61" t="inlineStr">
        <is>
          <t>At least one SINGLE_RESULT available on the server. Result accessible via ResultManagement/Results/Result or JoiningSystemResultReadyEventType.</t>
        </is>
      </c>
      <c r="F5" s="61" t="inlineStr">
        <is>
          <t>ResultContent has one payload entry that decodes as JoiningResultDataType. It is not a child ResultDataType envelope and not a consolidated-result sub-result list.</t>
        </is>
      </c>
      <c r="G5" s="61" t="inlineStr">
        <is>
          <t>Good</t>
        </is>
      </c>
      <c r="H5" s="61" t="inlineStr">
        <is>
          <t>ResultContent[0] type = JoiningResultDataType; Classification = 1 confirmed</t>
        </is>
      </c>
      <c r="I5" s="61" t="n"/>
      <c r="J5" s="61" t="inlineStr">
        <is>
          <t>OPC 40450-1 Section 11.1 CU-36</t>
        </is>
      </c>
      <c r="K5" s="62" t="n"/>
    </row>
    <row r="6" ht="25.8" customHeight="1" s="132">
      <c r="A6" s="70" t="inlineStr">
        <is>
          <t>y</t>
        </is>
      </c>
      <c r="B6" s="71" t="n">
        <v>2</v>
      </c>
      <c r="C6" s="72" t="n">
        <v>0</v>
      </c>
      <c r="D6" s="72" t="inlineStr">
        <is>
          <t>RC-2: For BATCH_RESULT, ResultContent entries are child ResultDataType values</t>
        </is>
      </c>
      <c r="E6" s="72" t="n"/>
      <c r="F6" s="72" t="n"/>
      <c r="G6" s="72" t="n"/>
      <c r="H6" s="72" t="n"/>
      <c r="I6" s="72" t="inlineStr">
        <is>
          <t>n</t>
        </is>
      </c>
      <c r="J6" s="72" t="inlineStr">
        <is>
          <t>OPC 40450-1 Section 11.1 CU-36</t>
        </is>
      </c>
      <c r="K6" s="73" t="n"/>
    </row>
    <row r="7" ht="51.6" customHeight="1" s="132">
      <c r="A7" s="61" t="n"/>
      <c r="B7" s="61" t="n"/>
      <c r="C7" s="61" t="n">
        <v>1</v>
      </c>
      <c r="D7" s="61" t="inlineStr">
        <is>
          <t>Retrieve a result with ResultMetaData.Classification = 3 (BATCH_RESULT). Inspect the type of the ResultContent field.</t>
        </is>
      </c>
      <c r="E7" s="61" t="inlineStr">
        <is>
          <t>At least one BATCH_RESULT available on the server.</t>
        </is>
      </c>
      <c r="F7" s="61" t="inlineStr">
        <is>
          <t>ResultContent contains child ResultDataType entries representing batch sub-results. In reference mode, each child entry may be a reference stub with ResultMetaData.ResultId and Classification, and the child stub's own ResultContent is empty. Do not require a separate batch-specific structure.</t>
        </is>
      </c>
      <c r="G7" s="61" t="inlineStr">
        <is>
          <t>Good</t>
        </is>
      </c>
      <c r="H7" s="61" t="inlineStr">
        <is>
          <t>ResultContent entries are ResultDataType child results; Classification = 3 confirmed</t>
        </is>
      </c>
      <c r="I7" s="61" t="n"/>
      <c r="J7" s="61" t="inlineStr">
        <is>
          <t>OPC 40450-1 Section 11.1 CU-36</t>
        </is>
      </c>
      <c r="K7" s="61" t="n"/>
    </row>
    <row r="8" ht="90.3" customHeight="1" s="132">
      <c r="A8" s="67" t="inlineStr">
        <is>
          <t>y</t>
        </is>
      </c>
      <c r="B8" s="67" t="n">
        <v>3</v>
      </c>
      <c r="C8" s="67" t="n">
        <v>0</v>
      </c>
      <c r="D8" s="67" t="inlineStr">
        <is>
          <t>RC-3: For SYNC_RESULT, ResultContent entries are child ResultDataType values</t>
        </is>
      </c>
      <c r="E8" s="67" t="inlineStr">
        <is>
          <t>If Classification = BATCH_RESULT, SYNC_RESULT, JOB_RESULT, or STITCHING_RESULT: parent ResultContent contains child ResultDataType entries. In reference mode, each child entry may be a reference stub with ResultMetaData.ResultId and Classification, and the child stub's own ResultContent is empty. If Classification = INTERVENTION_RESULT: ResultContent is empty/null or one ResultDataType payload entry. If Classification = TEXT_RESULT: ResultContent contains string payload entries.</t>
        </is>
      </c>
      <c r="F8" s="67" t="n"/>
      <c r="G8" s="67" t="n"/>
      <c r="H8" s="67" t="n"/>
      <c r="I8" s="67" t="inlineStr">
        <is>
          <t>n</t>
        </is>
      </c>
      <c r="J8" s="67" t="inlineStr">
        <is>
          <t>OPC 40450-1 Section 11.1 CU-36</t>
        </is>
      </c>
      <c r="K8" s="67" t="inlineStr">
        <is>
          <t>Consolidated-result content uses child ResultDataType entries; no separate sync/batch/job-specific result structure exists in the IJT result payload model.</t>
        </is>
      </c>
    </row>
    <row r="9" ht="51.6" customHeight="1" s="132">
      <c r="A9" s="61" t="n"/>
      <c r="B9" s="61" t="n"/>
      <c r="C9" s="61" t="n">
        <v>1</v>
      </c>
      <c r="D9" s="61" t="inlineStr">
        <is>
          <t>Retrieve a result with ResultMetaData.Classification = 2 (SYNC_RESULT). Inspect the type of the ResultContent field.</t>
        </is>
      </c>
      <c r="E9" s="61" t="inlineStr">
        <is>
          <t>At least one SYNC_RESULT available on the server.</t>
        </is>
      </c>
      <c r="F9" s="61" t="inlineStr">
        <is>
          <t>ResultContent contains child ResultDataType entries representing synchronized sub-results. In reference mode, each child entry may be a reference stub with ResultMetaData.ResultId and Classification, and the child stub's own ResultContent is empty. Do not require a separate sync-specific structure.</t>
        </is>
      </c>
      <c r="G9" s="61" t="inlineStr">
        <is>
          <t>Good</t>
        </is>
      </c>
      <c r="H9" s="61" t="inlineStr">
        <is>
          <t>ResultContent entries are ResultDataType child results; Classification = 2 confirmed</t>
        </is>
      </c>
      <c r="I9" s="61" t="n"/>
      <c r="J9" s="61" t="inlineStr">
        <is>
          <t>OPC 40450-1 Section 11.1 CU-36</t>
        </is>
      </c>
      <c r="K9" s="61" t="n"/>
    </row>
    <row r="10" ht="25.8" customHeight="1" s="132">
      <c r="A10" s="67" t="inlineStr">
        <is>
          <t>y</t>
        </is>
      </c>
      <c r="B10" s="67" t="n">
        <v>4</v>
      </c>
      <c r="C10" s="67" t="n">
        <v>0</v>
      </c>
      <c r="D10" s="67" t="inlineStr">
        <is>
          <t>RC-4: For INTERVENTION_RESULT, ResultContent is empty/null or one JoiningResultDataType payload</t>
        </is>
      </c>
      <c r="E10" s="67" t="n"/>
      <c r="F10" s="67" t="n"/>
      <c r="G10" s="67" t="n"/>
      <c r="H10" s="67" t="n"/>
      <c r="I10" s="67" t="inlineStr">
        <is>
          <t>n</t>
        </is>
      </c>
      <c r="J10" s="67" t="inlineStr">
        <is>
          <t>OPC 40450-1 Section 11.1 CU-36</t>
        </is>
      </c>
      <c r="K10" s="67" t="n"/>
    </row>
    <row r="11" ht="51.6" customHeight="1" s="132">
      <c r="A11" s="61" t="n"/>
      <c r="B11" s="61" t="n"/>
      <c r="C11" s="61" t="n">
        <v>1</v>
      </c>
      <c r="D11" s="61" t="inlineStr">
        <is>
          <t>Retrieve a result with ResultMetaData.Classification = 6 (INTERVENTION_RESULT). Inspect the ResultContent field.</t>
        </is>
      </c>
      <c r="E11" s="61" t="inlineStr">
        <is>
          <t>Server profile declares support for INTERVENTION_RESULT content and at least one INTERVENTION_RESULT is available for inspection.</t>
        </is>
      </c>
      <c r="F11" s="61" t="inlineStr">
        <is>
          <t>ResultContent is null/empty, or contains one JoiningResultDataType payload entry. Classification = 6 maps to intervention-result content; do not require a separate intervention-specific structure.</t>
        </is>
      </c>
      <c r="G11" s="61" t="inlineStr">
        <is>
          <t>Good</t>
        </is>
      </c>
      <c r="H11" s="61" t="inlineStr">
        <is>
          <t>ResultContent empty/null or one JoiningResultDataType payload; Classification = 6 confirmed</t>
        </is>
      </c>
      <c r="I11" s="61" t="n"/>
      <c r="J11" s="61" t="inlineStr">
        <is>
          <t>OPC 40450-1 Section 11.1 CU-36</t>
        </is>
      </c>
      <c r="K11" s="61" t="n"/>
    </row>
    <row r="12" ht="25.8" customHeight="1" s="132">
      <c r="A12" s="67" t="inlineStr">
        <is>
          <t>y</t>
        </is>
      </c>
      <c r="B12" s="67" t="n">
        <v>5</v>
      </c>
      <c r="C12" s="67" t="n">
        <v>0</v>
      </c>
      <c r="D12" s="67" t="inlineStr">
        <is>
          <t>RC-5: For JOB_RESULT, ResultContent entries are child ResultDataType values</t>
        </is>
      </c>
      <c r="E12" s="67" t="n"/>
      <c r="F12" s="67" t="n"/>
      <c r="G12" s="67" t="n"/>
      <c r="H12" s="67" t="n"/>
      <c r="I12" s="67" t="inlineStr">
        <is>
          <t>n</t>
        </is>
      </c>
      <c r="J12" s="67" t="inlineStr">
        <is>
          <t>OPC 40450-1 Section 11.1 CU-36</t>
        </is>
      </c>
      <c r="K12" s="67" t="n"/>
    </row>
    <row r="13" ht="51.6" customHeight="1" s="132">
      <c r="A13" s="61" t="n"/>
      <c r="B13" s="61" t="n"/>
      <c r="C13" s="61" t="n">
        <v>1</v>
      </c>
      <c r="D13" s="61" t="inlineStr">
        <is>
          <t>Retrieve a result with ResultMetaData.Classification = 4 (JOB_RESULT). Inspect the type of the ResultContent field.</t>
        </is>
      </c>
      <c r="E13" s="61" t="inlineStr">
        <is>
          <t>Server profile declares support for JOB_RESULT content and at least one JOB_RESULT is available for inspection.</t>
        </is>
      </c>
      <c r="F13" s="61" t="inlineStr">
        <is>
          <t>ResultContent contains child ResultDataType entries representing job sub-results. In reference mode, each child entry may be a reference stub with ResultMetaData.ResultId and Classification, and the child stub's own ResultContent is empty. Do not require a separate job-specific structure.</t>
        </is>
      </c>
      <c r="G13" s="61" t="inlineStr">
        <is>
          <t>Good</t>
        </is>
      </c>
      <c r="H13" s="61" t="inlineStr">
        <is>
          <t>ResultContent entries are ResultDataType child results; Classification = 4 confirmed</t>
        </is>
      </c>
      <c r="I13" s="61" t="n"/>
      <c r="J13" s="61" t="inlineStr">
        <is>
          <t>OPC 40450-1 Section 11.1 CU-36</t>
        </is>
      </c>
      <c r="K13" s="61" t="n"/>
    </row>
    <row r="14" ht="25.8" customHeight="1" s="132">
      <c r="A14" s="67" t="inlineStr">
        <is>
          <t>y</t>
        </is>
      </c>
      <c r="B14" s="67" t="n">
        <v>7</v>
      </c>
      <c r="C14" s="67" t="n">
        <v>0</v>
      </c>
      <c r="D14" s="67" t="inlineStr">
        <is>
          <t>RC-7: For consolidated results, each ResultContent list entry MUST match its sub-Classification</t>
        </is>
      </c>
      <c r="E14" s="67" t="n"/>
      <c r="F14" s="67" t="n"/>
      <c r="G14" s="67" t="n"/>
      <c r="H14" s="67" t="n"/>
      <c r="I14" s="67" t="inlineStr">
        <is>
          <t>n</t>
        </is>
      </c>
      <c r="J14" s="67" t="inlineStr">
        <is>
          <t>OPC 40450-1 Section 11.1 CU-36</t>
        </is>
      </c>
      <c r="K14" s="67" t="n"/>
    </row>
    <row r="15" ht="64.5" customHeight="1" s="132">
      <c r="A15" s="61" t="n"/>
      <c r="B15" s="61" t="n"/>
      <c r="C15" s="61" t="n">
        <v>1</v>
      </c>
      <c r="D15" s="61" t="inlineStr">
        <is>
          <t>Retrieve a BATCH_RESULT, SYNC_RESULT, JOB_RESULT, or STITCHING_RESULT. For each child ResultDataType in ResultContent, inspect the child's own Classification and ResultContent.</t>
        </is>
      </c>
      <c r="E15" s="61" t="inlineStr">
        <is>
          <t>A consolidated result (BATCH_RESULT, SYNC_RESULT, JOB_RESULT, or STITCHING_RESULT) with child results available.</t>
        </is>
      </c>
      <c r="F15" s="61" t="inlineStr">
        <is>
          <t>Each sub-result entry in ResultContent is of the type mandated by its own Classification. e.g. sub-result with Classification=SINGLE_RESULT uses JoiningResultDataType. No mismatches between sub-Classification and sub-ResultContent type.</t>
        </is>
      </c>
      <c r="G15" s="61" t="inlineStr">
        <is>
          <t>Good</t>
        </is>
      </c>
      <c r="H15" s="61" t="inlineStr">
        <is>
          <t>All sub-result types match their respective sub-Classification values</t>
        </is>
      </c>
      <c r="I15" s="61" t="n"/>
      <c r="J15" s="61" t="inlineStr">
        <is>
          <t>OPC 40450-1 Section 11.1 CU-36</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6</v>
      </c>
      <c r="C17" s="69" t="n">
        <v>0</v>
      </c>
      <c r="D17" s="69" t="inlineStr">
        <is>
          <t>RC-6 (error): If ResultContent type mismatches Classification, server MUST return Bad_TypeMismatch on Read</t>
        </is>
      </c>
      <c r="E17" s="69" t="n"/>
      <c r="F17" s="69" t="n"/>
      <c r="G17" s="69" t="n"/>
      <c r="H17" s="69" t="n"/>
      <c r="I17" s="69" t="inlineStr">
        <is>
          <t>n</t>
        </is>
      </c>
      <c r="J17" s="69" t="inlineStr">
        <is>
          <t>OPC 40450-1 Section 11.1 CU-36</t>
        </is>
      </c>
      <c r="K17" s="69" t="n"/>
    </row>
    <row r="18" ht="51.6" customHeight="1" s="132">
      <c r="A18" s="61" t="n"/>
      <c r="B18" s="61" t="n"/>
      <c r="C18" s="61" t="n">
        <v>1</v>
      </c>
      <c r="D18" s="61" t="inlineStr">
        <is>
          <t>Attempt to read a result variable where the stored ResultContent type does not match the Classification field (simulated via a non-conformant server or test fixture). Alternatively, verify the server rejects writing a mismatched type.</t>
        </is>
      </c>
      <c r="E18" s="61" t="inlineStr">
        <is>
          <t>A mechanism to write or inject a mismatched ResultContent type, or a non-conformant server under test.</t>
        </is>
      </c>
      <c r="F18" s="61" t="inlineStr">
        <is>
          <t>Server returns Bad_TypeMismatch (0x80740000) on the Read or Write operation. Server must not silently accept a mismatched ResultContent type.</t>
        </is>
      </c>
      <c r="G18" s="61" t="inlineStr">
        <is>
          <t>Bad_TypeMismatch</t>
        </is>
      </c>
      <c r="H18" s="61" t="inlineStr">
        <is>
          <t>StatusCode = Bad_TypeMismatch; no inconsistent result stored</t>
        </is>
      </c>
      <c r="I18" s="61" t="n"/>
      <c r="J18" s="61" t="inlineStr">
        <is>
          <t>OPC 40450-1 Section 11.1 CU-36</t>
        </is>
      </c>
      <c r="K18" s="61" t="n"/>
    </row>
    <row r="19">
      <c r="A19" s="110" t="inlineStr">
        <is>
          <t>n</t>
        </is>
      </c>
      <c r="B19" s="110" t="n">
        <v>7</v>
      </c>
      <c r="C19" s="110" t="n">
        <v>0</v>
      </c>
      <c r="D19" s="110" t="inlineStr">
        <is>
          <t>Verify UNDEFINED(0) Classification has null or empty ResultContent</t>
        </is>
      </c>
      <c r="E19" s="110" t="n"/>
      <c r="F19" s="110" t="n"/>
      <c r="G19" s="110" t="n"/>
      <c r="H19" s="110" t="n"/>
      <c r="I19" s="110" t="inlineStr">
        <is>
          <t>n</t>
        </is>
      </c>
      <c r="J19" s="110" t="inlineStr">
        <is>
          <t>OPC 40450-1 Section 11.1 CU-36</t>
        </is>
      </c>
      <c r="K19" s="110" t="n"/>
    </row>
    <row r="20" ht="25.8" customHeight="1" s="132">
      <c r="A20" s="111" t="n"/>
      <c r="B20" s="111" t="n"/>
      <c r="C20" s="111" t="n">
        <v>1</v>
      </c>
      <c r="D20" s="111" t="inlineStr">
        <is>
          <t>If a result with Classification = UNDEFINED(0) is encountered, decode it without using it as positive content-shape evidence.</t>
        </is>
      </c>
      <c r="E20" s="111" t="inlineStr">
        <is>
          <t>A non-conformant test fixture or implementation-specific result with Classification = UNDEFINED(0).</t>
        </is>
      </c>
      <c r="F20" s="111" t="inlineStr">
        <is>
          <t>Client decodes the result safely. No CU assertion is made that UNDEFINED requires null/empty ResultContent unless exact source proof is provided.</t>
        </is>
      </c>
      <c r="G20" s="111" t="inlineStr">
        <is>
          <t>Good</t>
        </is>
      </c>
      <c r="H20" s="111" t="inlineStr">
        <is>
          <t>Decoded safely; no positive content-shape evidence</t>
        </is>
      </c>
      <c r="I20" s="111" t="n"/>
      <c r="J20" s="111" t="inlineStr">
        <is>
          <t>OPC 40450-1 Section 11.1 CU-36</t>
        </is>
      </c>
      <c r="K20" s="111" t="inlineStr">
        <is>
          <t>UNDEFINED is a classification value; loaded source did not prove a required ResultContent mapping.</t>
        </is>
      </c>
    </row>
    <row r="21">
      <c r="A21" s="110" t="inlineStr">
        <is>
          <t>n</t>
        </is>
      </c>
      <c r="B21" s="110" t="n">
        <v>8</v>
      </c>
      <c r="C21" s="110" t="n">
        <v>0</v>
      </c>
      <c r="D21" s="110" t="inlineStr">
        <is>
          <t>Verify TEXT_RESULT ResultContent is String payload content</t>
        </is>
      </c>
      <c r="E21" s="110" t="n"/>
      <c r="F21" s="110" t="n"/>
      <c r="G21" s="110" t="n"/>
      <c r="H21" s="110" t="n"/>
      <c r="I21" s="110" t="inlineStr">
        <is>
          <t>n</t>
        </is>
      </c>
      <c r="J21" s="110" t="inlineStr">
        <is>
          <t>OPC 40450-1 Section 11.1 CU-36</t>
        </is>
      </c>
      <c r="K21" s="110" t="n"/>
    </row>
    <row r="22">
      <c r="A22" s="111" t="n"/>
      <c r="B22" s="111" t="n"/>
      <c r="C22" s="111" t="n">
        <v>1</v>
      </c>
      <c r="D22" s="111" t="inlineStr">
        <is>
          <t>Read result with Classification=TEXT_RESULT. Inspect encoding.</t>
        </is>
      </c>
      <c r="E22" s="111" t="inlineStr">
        <is>
          <t>Server claims this Conformance Unit; no additional runtime setup is needed for this step.</t>
        </is>
      </c>
      <c r="F22" s="111" t="inlineStr">
        <is>
          <t>ResultContent encoded as String[], not JoiningResultDataType.</t>
        </is>
      </c>
      <c r="G22" s="111" t="inlineStr">
        <is>
          <t>Good</t>
        </is>
      </c>
      <c r="H22" s="111" t="n"/>
      <c r="I22" s="111" t="n"/>
      <c r="J22" s="111" t="inlineStr">
        <is>
          <t>OPC 40450-1 Section 11.1 CU-36</t>
        </is>
      </c>
      <c r="K22" s="111" t="inlineStr">
        <is>
          <t>Requirement source: OPC 40450-1 Section 10.1 - TEXT_RESULT uses String array.</t>
        </is>
      </c>
    </row>
    <row r="23">
      <c r="A23" s="110" t="inlineStr">
        <is>
          <t>n</t>
        </is>
      </c>
      <c r="B23" s="110" t="n">
        <v>9</v>
      </c>
      <c r="C23" s="110" t="n">
        <v>0</v>
      </c>
      <c r="D23" s="110" t="inlineStr">
        <is>
          <t>Verify INTERVENTION_RESULT ResultContent is empty/null or one JoiningResultDataType payload</t>
        </is>
      </c>
      <c r="E23" s="110" t="n"/>
      <c r="F23" s="110" t="n"/>
      <c r="G23" s="110" t="n"/>
      <c r="H23" s="110" t="n"/>
      <c r="I23" s="110" t="inlineStr">
        <is>
          <t>n</t>
        </is>
      </c>
      <c r="J23" s="110" t="inlineStr">
        <is>
          <t>OPC 40450-1 Section 11.1 CU-36</t>
        </is>
      </c>
      <c r="K23" s="110" t="n"/>
    </row>
    <row r="24">
      <c r="A24" s="111" t="n"/>
      <c r="B24" s="111" t="n"/>
      <c r="C24" s="111" t="n">
        <v>1</v>
      </c>
      <c r="D24" s="111" t="inlineStr">
        <is>
          <t>Read result with Classification=6. Inspect ResultContent.</t>
        </is>
      </c>
      <c r="E24" s="111" t="inlineStr">
        <is>
          <t>Server claims this Conformance Unit; no additional runtime setup is needed for this step.</t>
        </is>
      </c>
      <c r="F24" s="111" t="inlineStr">
        <is>
          <t>ResultContent is empty/null, or contains a single payload entry decoded as JoiningResultDataType. It is not a child ResultDataType list.</t>
        </is>
      </c>
      <c r="G24" s="111" t="inlineStr">
        <is>
          <t>Good</t>
        </is>
      </c>
      <c r="H24" s="111" t="n"/>
      <c r="I24" s="111" t="n"/>
      <c r="J24" s="111" t="inlineStr">
        <is>
          <t>OPC 40450-1 Section 11.1 CU-36</t>
        </is>
      </c>
      <c r="K24" s="111" t="inlineStr">
        <is>
          <t>Requirement source: OPC 40450-1 Section 10.11 - Single or null ResultContent.</t>
        </is>
      </c>
    </row>
    <row r="25" ht="25.8" customHeight="1" s="132">
      <c r="A25" s="110" t="inlineStr">
        <is>
          <t>n</t>
        </is>
      </c>
      <c r="B25" s="110" t="n">
        <v>10</v>
      </c>
      <c r="C25" s="110" t="n">
        <v>0</v>
      </c>
      <c r="D25" s="110" t="inlineStr">
        <is>
          <t>Verify SINGLE_RESULT ResultContent contains exactly one JoiningResultDataType payload entry</t>
        </is>
      </c>
      <c r="E25" s="110" t="n"/>
      <c r="F25" s="110" t="n"/>
      <c r="G25" s="110" t="n"/>
      <c r="H25" s="110" t="n"/>
      <c r="I25" s="110" t="inlineStr">
        <is>
          <t>n</t>
        </is>
      </c>
      <c r="J25" s="110" t="inlineStr">
        <is>
          <t>OPC 40450-1 Section 11.1 CU-36</t>
        </is>
      </c>
      <c r="K25" s="110" t="n"/>
    </row>
    <row r="26" ht="25.8" customHeight="1" s="132">
      <c r="A26" s="111" t="n"/>
      <c r="B26" s="111" t="n"/>
      <c r="C26" s="111" t="n">
        <v>1</v>
      </c>
      <c r="D26" s="111" t="inlineStr">
        <is>
          <t>Read result with Classification=1. Inspect ResultContent.</t>
        </is>
      </c>
      <c r="E26" s="111" t="inlineStr">
        <is>
          <t>Server claims this Conformance Unit; no additional runtime setup is needed for this step.</t>
        </is>
      </c>
      <c r="F26" s="111" t="inlineStr">
        <is>
          <t>ResultContent contains exactly one payload entry decoded as JoiningResultDataType. It is not a nested ResultDataType child result.</t>
        </is>
      </c>
      <c r="G26" s="111" t="inlineStr">
        <is>
          <t>Good</t>
        </is>
      </c>
      <c r="H26" s="111" t="n"/>
      <c r="I26" s="111" t="n"/>
      <c r="J26" s="111" t="inlineStr">
        <is>
          <t>OPC 40450-1 Section 11.1 CU-36</t>
        </is>
      </c>
      <c r="K26" s="111" t="inlineStr">
        <is>
          <t>Requirement source: OPC 40450-1 Section 10.1 - Exactly one JoiningResultDataType.</t>
        </is>
      </c>
    </row>
  </sheetData>
  <mergeCells count="2">
    <mergeCell ref="A1:K1"/>
    <mergeCell ref="C2:J2"/>
  </mergeCells>
  <pageMargins left="0.7" right="0.7" top="0.75" bottom="0.75" header="0.3" footer="0.3"/>
</worksheet>
</file>

<file path=xl/worksheets/sheet43.xml><?xml version="1.0" encoding="utf-8"?>
<worksheet xmlns="http://schemas.openxmlformats.org/spreadsheetml/2006/main">
  <sheetPr codeName="Sheet4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CU-37: Request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CU-37 — Request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RR-1: Call RequestResults with full sequence number range; verify Good returned and output arguments present</t>
        </is>
      </c>
      <c r="E4" s="58" t="n"/>
      <c r="F4" s="58" t="n"/>
      <c r="G4" s="58" t="n"/>
      <c r="H4" s="58" t="n"/>
      <c r="I4" s="58" t="inlineStr">
        <is>
          <t>n</t>
        </is>
      </c>
      <c r="J4" s="58" t="inlineStr">
        <is>
          <t>OPC 40450-1 Section 11.1 CU-37</t>
        </is>
      </c>
      <c r="K4" s="59" t="inlineStr">
        <is>
          <t>NOTE: Namespace indices are server-assigned. Resolve from NamespaceArray (ns=0;i=2255). RequestResults BrowseName is in the IJT Base namespace (OPC 40450-1), NOT in OPC 40001-101 (Machinery Result). Verify the correct namespace index for OPC 40450-1 before browsing. 2:=DI (http://opcfoundation.org/UA/DI/), 4:=Machinery, 5:=Machinery Result. IJT Base index must be read dynamically from NamespaceArray.</t>
        </is>
      </c>
      <c r="L4" s="27" t="n"/>
      <c r="M4" s="28" t="n"/>
      <c r="N4" s="28" t="n"/>
    </row>
    <row r="5" ht="26.1" customHeight="1" s="132">
      <c r="A5" s="87" t="n"/>
      <c r="B5" s="88" t="n"/>
      <c r="C5" s="89" t="n">
        <v>1</v>
      </c>
      <c r="D5" s="89" t="inlineStr">
        <is>
          <t>Browse the MethodSet (or ResultManagement AddIn) for RequestResults (BrowseName in NS_IJT_BASE, the OPC 40450-1 namespace). Call RequestResults with: FromSequenceNumber=0, ToSequenceNumber=18446744073709551615 (UInt64.Max), FromTime=null, ToTime=null, RequestedMinimumDurationBetweenResults=0.</t>
        </is>
      </c>
      <c r="E5" s="89" t="inlineStr">
        <is>
          <t>RequestResults method present and executable on the JoiningSystem instance. At least one result is available on the server.</t>
        </is>
      </c>
      <c r="F5" s="89" t="inlineStr">
        <is>
          <t>Method returns StatusCode = Good. OutputArguments[0] (RevisedMinimumDurationBetweenResults) is a valid non-negative Duration; OutputArguments[1] (Status) is an Int64 status code (0 = success); OutputArguments[2] (StatusMessage) is a LocalizedText (may be empty).</t>
        </is>
      </c>
      <c r="G5" s="89" t="inlineStr">
        <is>
          <t>Good</t>
        </is>
      </c>
      <c r="H5" s="89" t="inlineStr">
        <is>
          <t>Good; RevisedMinimumDurationBetweenResults ≥ 0; Status = 0 or informational</t>
        </is>
      </c>
      <c r="I5" s="89" t="n"/>
      <c r="J5" s="89" t="inlineStr">
        <is>
          <t>OPC 40450-1 Section 11.1 CU-37</t>
        </is>
      </c>
      <c r="K5" s="90" t="n"/>
      <c r="L5" s="27" t="n"/>
      <c r="M5" s="28" t="n"/>
      <c r="N5" s="28" t="n"/>
    </row>
    <row r="6" ht="26.1" customHeight="1" s="132">
      <c r="A6" s="56" t="inlineStr">
        <is>
          <t>y</t>
        </is>
      </c>
      <c r="B6" s="57" t="n">
        <v>2</v>
      </c>
      <c r="C6" s="58" t="n">
        <v>0</v>
      </c>
      <c r="D6" s="58" t="inlineStr">
        <is>
          <t>RR-2: Call RequestResults with a time range covering recent operations; verify Good returned</t>
        </is>
      </c>
      <c r="E6" s="58" t="n"/>
      <c r="F6" s="58" t="n"/>
      <c r="G6" s="58" t="n"/>
      <c r="H6" s="58" t="n"/>
      <c r="I6" s="58" t="inlineStr">
        <is>
          <t>n</t>
        </is>
      </c>
      <c r="J6" s="58" t="inlineStr">
        <is>
          <t>OPC 40450-1 Section 11.1 CU-37</t>
        </is>
      </c>
      <c r="K6" s="74" t="n"/>
      <c r="L6" s="27" t="n"/>
      <c r="M6" s="28" t="n"/>
      <c r="N6" s="28" t="n"/>
    </row>
    <row r="7" ht="39" customHeight="1" s="132">
      <c r="A7" s="87" t="n"/>
      <c r="B7" s="88" t="n"/>
      <c r="C7" s="89" t="n">
        <v>1</v>
      </c>
      <c r="D7" s="89" t="inlineStr">
        <is>
          <t>Call RequestResults with: FromTime=&lt;5 minutes ago (UTC)&gt;, ToTime=&lt;current UTC&gt;, FromSequenceNumber=0, ToSequenceNumber=0, RequestedMinimumDurationBetweenResults=0.</t>
        </is>
      </c>
      <c r="E7" s="89" t="inlineStr">
        <is>
          <t>At least one joining operation completed in the last 5 minutes. RequestResults method available.</t>
        </is>
      </c>
      <c r="F7" s="89" t="inlineStr">
        <is>
          <t>Method returns StatusCode = Good. Results matching the time range are made available. RevisedMinimumDurationBetweenResults is returned (non-negative); Status = 0 or informational; StatusMessage may be empty or informational.</t>
        </is>
      </c>
      <c r="G7" s="89" t="inlineStr">
        <is>
          <t>Good</t>
        </is>
      </c>
      <c r="H7" s="89" t="inlineStr">
        <is>
          <t>Good; Status = 0 or informational; results matching time range available via events/variables</t>
        </is>
      </c>
      <c r="I7" s="89" t="n"/>
      <c r="J7" s="89" t="inlineStr">
        <is>
          <t>OPC 40450-1 Section 11.1 CU-37</t>
        </is>
      </c>
      <c r="K7" s="90" t="n"/>
      <c r="L7" s="27" t="n"/>
      <c r="M7" s="28" t="n"/>
      <c r="N7" s="28" t="n"/>
    </row>
    <row r="8" ht="39" customHeight="1" s="132">
      <c r="A8" s="56" t="inlineStr">
        <is>
          <t>y</t>
        </is>
      </c>
      <c r="B8" s="57" t="n">
        <v>3</v>
      </c>
      <c r="C8" s="58" t="n">
        <v>0</v>
      </c>
      <c r="D8" s="58" t="inlineStr">
        <is>
          <t>RR-3: Call RequestResults while result already pending; verify server handles gracefully</t>
        </is>
      </c>
      <c r="E8" s="58" t="n"/>
      <c r="F8" s="58" t="n"/>
      <c r="G8" s="58" t="n"/>
      <c r="H8" s="58" t="n"/>
      <c r="I8" s="58" t="inlineStr">
        <is>
          <t>n</t>
        </is>
      </c>
      <c r="J8" s="58" t="inlineStr">
        <is>
          <t>OPC 40450-1 Section 11.1 CU-37</t>
        </is>
      </c>
      <c r="K8" s="74" t="n"/>
      <c r="L8" s="27" t="n"/>
      <c r="M8" s="28" t="n"/>
      <c r="N8" s="28" t="n"/>
    </row>
    <row r="9" ht="51.6" customHeight="1" s="132">
      <c r="A9" s="87" t="n"/>
      <c r="B9" s="88" t="n"/>
      <c r="C9" s="89" t="n">
        <v>1</v>
      </c>
      <c r="D9" s="89" t="inlineStr">
        <is>
          <t>Call RequestResults twice in rapid succession with the same valid parameters (same sequence range: FromSequenceNumber=0, ToSequenceNumber=UInt64.Max) before the first response is processed.</t>
        </is>
      </c>
      <c r="E9" s="89" t="inlineStr">
        <is>
          <t>RequestResults available. Fast call rate possible from test client. Same valid input parameters used for both calls.</t>
        </is>
      </c>
      <c r="F9" s="89" t="inlineStr">
        <is>
          <t>Call Service returns Good; method result code is Uncertain when the requested state transition is not accepted. Status output is 1 (generic not OK/application state). StatusMessage explains the state precondition; no unintended state change is performed.</t>
        </is>
      </c>
      <c r="G9" s="89" t="inlineStr">
        <is>
          <t>Good</t>
        </is>
      </c>
      <c r="H9" s="89" t="inlineStr">
        <is>
          <t>Uncertain; Status=1 output with StatusMessage</t>
        </is>
      </c>
      <c r="I9" s="89" t="n"/>
      <c r="J9" s="89" t="inlineStr">
        <is>
          <t>OPC 40450-1 Section 11.1 CU-37</t>
        </is>
      </c>
      <c r="K9" s="90" t="inlineStr">
        <is>
          <t>Acceptable server responses include Good, Good_AlreadyExists, or implementation-defined status</t>
        </is>
      </c>
      <c r="L9" s="27" t="n"/>
      <c r="M9" s="28" t="n"/>
      <c r="N9" s="28" t="n"/>
    </row>
    <row r="10" ht="39" customHeight="1" s="132">
      <c r="A10" s="56" t="inlineStr">
        <is>
          <t>y</t>
        </is>
      </c>
      <c r="B10" s="57" t="n">
        <v>6</v>
      </c>
      <c r="C10" s="58" t="n">
        <v>0</v>
      </c>
      <c r="D10" s="58" t="inlineStr">
        <is>
          <t>RR-6: Verify RequestResults triggers ResultVariable update or ResultReadyEvent</t>
        </is>
      </c>
      <c r="E10" s="58" t="n"/>
      <c r="F10" s="58" t="n"/>
      <c r="G10" s="58" t="n"/>
      <c r="H10" s="58" t="n"/>
      <c r="I10" s="58" t="inlineStr">
        <is>
          <t>n</t>
        </is>
      </c>
      <c r="J10" s="58" t="inlineStr">
        <is>
          <t>OPC 40450-1 Section 11.1 CU-37</t>
        </is>
      </c>
      <c r="K10" s="74" t="n"/>
      <c r="L10" s="27" t="n"/>
      <c r="M10" s="28" t="n"/>
      <c r="N10" s="28" t="n"/>
    </row>
    <row r="11" ht="26.1" customHeight="1" s="132">
      <c r="A11" s="87" t="n"/>
      <c r="B11" s="88" t="n"/>
      <c r="C11" s="89" t="n">
        <v>1</v>
      </c>
      <c r="D11" s="89" t="inlineStr">
        <is>
          <t>Subscribe to RequestedResultVariable (MonitoredItem) AND to events on the server. Call RequestResults. Observe which notification arrives.</t>
        </is>
      </c>
      <c r="E11" s="89" t="inlineStr">
        <is>
          <t>Active subscription to RequestedResultVariable and event subscription established.</t>
        </is>
      </c>
      <c r="F11" s="89" t="inlineStr">
        <is>
          <t>Either: (a) RequestedResultVariable DataChange notification is received with the requested result value, OR (b) a RequestedResultEventType event is received whose Result.ResultMetaData.ResultId matches the requested result. At least one requested-result mechanism MUST deliver the result.</t>
        </is>
      </c>
      <c r="G11" s="89" t="inlineStr">
        <is>
          <t>Good</t>
        </is>
      </c>
      <c r="H11" s="89" t="inlineStr">
        <is>
          <t>RequestedResultVariable DataChange OR RequestedResultEventType event received; ResultId is non-empty and matches the request.</t>
        </is>
      </c>
      <c r="I11" s="89" t="n"/>
      <c r="J11" s="89" t="inlineStr">
        <is>
          <t>OPC 40450-1 Section 11.1 CU-37</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RR-4 (error): Call RequestResults with inverted sequence number range; verify Uncertain with Status=5</t>
        </is>
      </c>
      <c r="E13" s="97" t="n"/>
      <c r="F13" s="97" t="n"/>
      <c r="G13" s="97" t="n"/>
      <c r="H13" s="97" t="n"/>
      <c r="I13" s="97" t="inlineStr">
        <is>
          <t>n</t>
        </is>
      </c>
      <c r="J13" s="97" t="inlineStr">
        <is>
          <t>OPC 40450-1 Section 11.1 CU-37</t>
        </is>
      </c>
      <c r="K13" s="98" t="n"/>
      <c r="L13" s="27" t="n"/>
      <c r="M13" s="28" t="n"/>
      <c r="N13" s="28" t="n"/>
    </row>
    <row r="14" ht="26.1" customHeight="1" s="132">
      <c r="A14" s="87" t="n"/>
      <c r="B14" s="88" t="n"/>
      <c r="C14" s="89" t="n">
        <v>1</v>
      </c>
      <c r="D14" s="89" t="inlineStr">
        <is>
          <t>Call RequestResults with FromSequenceNumber=9999 and ToSequenceNumber=1 (inverted range, From &gt; To).</t>
        </is>
      </c>
      <c r="E14" s="89" t="inlineStr">
        <is>
          <t>RequestResults method available.</t>
        </is>
      </c>
      <c r="F14" s="89" t="inlineStr">
        <is>
          <t>Call Service returns Good; method result code is Uncertain. Status output is 5 (invalid input). StatusMessage explains the rejected input; no state change is performed.</t>
        </is>
      </c>
      <c r="G14" s="89" t="inlineStr">
        <is>
          <t>Good</t>
        </is>
      </c>
      <c r="H14" s="89" t="inlineStr">
        <is>
          <t>Uncertain; Status=5 output with StatusMessage</t>
        </is>
      </c>
      <c r="I14" s="89" t="n"/>
      <c r="J14" s="89" t="inlineStr">
        <is>
          <t>OPC 40450-1 Section 11.1 CU-37</t>
        </is>
      </c>
      <c r="K14" s="90" t="inlineStr">
        <is>
          <t>Inverted range (FromSequenceNumber &gt; ToSequenceNumber) must be rejected by the server.</t>
        </is>
      </c>
      <c r="L14" s="27" t="n"/>
      <c r="M14" s="28" t="n"/>
      <c r="N14" s="28" t="n"/>
    </row>
    <row r="15" ht="26.1" customHeight="1" s="132">
      <c r="A15" s="95" t="inlineStr">
        <is>
          <t>n</t>
        </is>
      </c>
      <c r="B15" s="96" t="n">
        <v>5</v>
      </c>
      <c r="C15" s="97" t="n">
        <v>0</v>
      </c>
      <c r="D15" s="97" t="inlineStr">
        <is>
          <t>RR-5 (error): Call RequestResults with inverted time range (FromTime &gt; ToTime); verify Uncertain with Status=5</t>
        </is>
      </c>
      <c r="E15" s="97" t="n"/>
      <c r="F15" s="97" t="n"/>
      <c r="G15" s="97" t="n"/>
      <c r="H15" s="97" t="n"/>
      <c r="I15" s="97" t="inlineStr">
        <is>
          <t>n</t>
        </is>
      </c>
      <c r="J15" s="97" t="inlineStr">
        <is>
          <t>OPC 40450-1 Section 11.1 CU-37</t>
        </is>
      </c>
      <c r="K15" s="98" t="n"/>
      <c r="L15" s="27" t="n"/>
      <c r="M15" s="28" t="n"/>
      <c r="N15" s="28" t="n"/>
    </row>
    <row r="16" ht="51.6" customHeight="1" s="132">
      <c r="A16" s="87" t="n"/>
      <c r="B16" s="88" t="n"/>
      <c r="C16" s="89" t="n">
        <v>1</v>
      </c>
      <c r="D16" s="89" t="inlineStr">
        <is>
          <t>Call RequestResults with FromTime=&lt;current UTC&gt;, ToTime=&lt;5 minutes ago&gt; (FromTime &gt; ToTime, inverted range).</t>
        </is>
      </c>
      <c r="E16" s="89" t="inlineStr">
        <is>
          <t>RequestResults method available.</t>
        </is>
      </c>
      <c r="F16" s="89" t="inlineStr">
        <is>
          <t>Call Service returns Good; method result code is Uncertain. Status output is 5 (invalid input). StatusMessage explains the rejected input; no state change is performed.</t>
        </is>
      </c>
      <c r="G16" s="89" t="inlineStr">
        <is>
          <t>Good</t>
        </is>
      </c>
      <c r="H16" s="89" t="inlineStr">
        <is>
          <t>Uncertain; Status=5 output with StatusMessage</t>
        </is>
      </c>
      <c r="I16" s="89" t="n"/>
      <c r="J16" s="89" t="inlineStr">
        <is>
          <t>OPC 40450-1 Section 11.1 CU-37</t>
        </is>
      </c>
      <c r="K16" s="90" t="inlineStr">
        <is>
          <t>Inverted time range (FromTime &gt; ToTime) must be rejected by the server.</t>
        </is>
      </c>
      <c r="L16" s="27" t="n"/>
      <c r="M16" s="28" t="n"/>
      <c r="N16" s="28" t="n"/>
    </row>
    <row r="17">
      <c r="A17" s="112" t="inlineStr">
        <is>
          <t>n</t>
        </is>
      </c>
      <c r="B17" s="113" t="n">
        <v>6</v>
      </c>
      <c r="C17" s="114" t="n">
        <v>0</v>
      </c>
      <c r="D17" s="114" t="inlineStr">
        <is>
          <t>RR-7: Call RequestResults with specific SequenceNumber range (single result); verify correct delivery</t>
        </is>
      </c>
      <c r="E17" s="114" t="n"/>
      <c r="F17" s="114" t="n"/>
      <c r="G17" s="114" t="n"/>
      <c r="H17" s="114" t="n"/>
      <c r="I17" s="114" t="inlineStr">
        <is>
          <t>n</t>
        </is>
      </c>
      <c r="J17" s="114" t="inlineStr">
        <is>
          <t>OPC 40450-1 Section 11.1 CU-37</t>
        </is>
      </c>
      <c r="K17" s="115" t="n"/>
      <c r="L17" s="27" t="n"/>
      <c r="M17" s="28" t="n"/>
      <c r="N17" s="28" t="n"/>
    </row>
    <row r="18" ht="25.8" customHeight="1" s="132">
      <c r="A18" s="116" t="n"/>
      <c r="B18" s="117" t="n"/>
      <c r="C18" s="118" t="n">
        <v>1</v>
      </c>
      <c r="D18" s="118" t="inlineStr">
        <is>
          <t>Ensure at least one result exists with a known SequenceNumber (SN). Call RequestResults with FromSequenceNumber=SN, ToSequenceNumber=SN, FromTime=null, ToTime=null, RequestedMinimumDurationBetweenResults=0.</t>
        </is>
      </c>
      <c r="E18" s="118" t="inlineStr">
        <is>
          <t>At least one result with known SequenceNumber exists. RequestResults method available.</t>
        </is>
      </c>
      <c r="F18" s="118" t="inlineStr">
        <is>
          <t>Method returns Good. Exactly one result corresponding to SequenceNumber=SN is delivered. RevisedMinimumDurationBetweenResults is returned; Status = 0.</t>
        </is>
      </c>
      <c r="G18" s="118" t="inlineStr">
        <is>
          <t>Good</t>
        </is>
      </c>
      <c r="H18" s="118" t="n"/>
      <c r="I18" s="118" t="n"/>
      <c r="J18" s="118" t="inlineStr">
        <is>
          <t>OPC 40450-1 Section 11.1 CU-37</t>
        </is>
      </c>
      <c r="K18" s="119" t="n"/>
    </row>
    <row r="19" customFormat="1" s="138">
      <c r="A19" s="112" t="inlineStr">
        <is>
          <t>n</t>
        </is>
      </c>
      <c r="B19" s="110" t="n">
        <v>7</v>
      </c>
      <c r="C19" s="110" t="n">
        <v>0</v>
      </c>
      <c r="D19" s="110" t="inlineStr">
        <is>
          <t>RR-7: Verify RequestedMinimumDurationBetweenResults is honoured in output</t>
        </is>
      </c>
      <c r="E19" s="110" t="n"/>
      <c r="F19" s="110" t="n"/>
      <c r="G19" s="110" t="n"/>
      <c r="H19" s="110" t="n"/>
      <c r="I19" s="110" t="inlineStr">
        <is>
          <t>n</t>
        </is>
      </c>
      <c r="J19" s="110" t="inlineStr">
        <is>
          <t>OPC 40450-1 Section 11.1 CU-37</t>
        </is>
      </c>
      <c r="K19" s="115" t="n"/>
    </row>
    <row r="20">
      <c r="A20" s="120" t="n"/>
      <c r="B20" s="121" t="n"/>
      <c r="C20" s="122" t="n">
        <v>1</v>
      </c>
      <c r="D20" s="122" t="inlineStr">
        <is>
          <t>Call RequestResults with FromSequenceNumber=0, ToSequenceNumber=UInt64.Max, FromTime=DateTime.MinValue, ToTime=DateTime.MaxValue, RequestedMinimumDurationBetweenResults=1000 (1 second).</t>
        </is>
      </c>
      <c r="E20" s="122" t="inlineStr">
        <is>
          <t>RequestResults method available; multiple results exist on the server.</t>
        </is>
      </c>
      <c r="F20" s="122" t="inlineStr">
        <is>
          <t>Method returns Good. OutputArguments[0] (RevisedMinimumDurationBetweenResults) is ≥ 0. If the server cannot honour the requested interval exactly, it returns a revised value. Results are delivered with intervals ≥ RevisedMinimumDurationBetweenResults.</t>
        </is>
      </c>
      <c r="G20" s="122" t="inlineStr">
        <is>
          <t>Good</t>
        </is>
      </c>
      <c r="H20" s="122" t="n"/>
      <c r="I20" s="122" t="n"/>
      <c r="J20" s="122" t="inlineStr">
        <is>
          <t>OPC 40450-1 Section 11.1 CU-37</t>
        </is>
      </c>
      <c r="K20" s="123" t="n"/>
    </row>
    <row r="21">
      <c r="A21" s="110" t="inlineStr">
        <is>
          <t>n</t>
        </is>
      </c>
      <c r="B21" s="110" t="n">
        <v>8</v>
      </c>
      <c r="C21" s="110" t="n">
        <v>0</v>
      </c>
      <c r="D21" s="110" t="inlineStr">
        <is>
          <t>RR-8: Call RequestResults with FromSequenceNumber = ToSequenceNumber = 0; verify graceful handling</t>
        </is>
      </c>
      <c r="E21" s="110" t="n"/>
      <c r="F21" s="110" t="n"/>
      <c r="G21" s="110" t="n"/>
      <c r="H21" s="110" t="n"/>
      <c r="I21" s="110" t="inlineStr">
        <is>
          <t>n</t>
        </is>
      </c>
      <c r="J21" s="110" t="inlineStr">
        <is>
          <t>OPC 40450-1 Section 11.1 CU-37</t>
        </is>
      </c>
      <c r="K21" s="110" t="n"/>
    </row>
    <row r="22" ht="25.8" customHeight="1" s="132">
      <c r="A22" s="111" t="n"/>
      <c r="B22" s="111" t="n"/>
      <c r="C22" s="111" t="n">
        <v>1</v>
      </c>
      <c r="D22" s="111" t="inlineStr">
        <is>
          <t>Call RequestResults with FromSequenceNumber=0, ToSequenceNumber=0, FromTime=null, ToTime=null, RequestedMinimumDurationBetweenResults=0.</t>
        </is>
      </c>
      <c r="E22" s="111" t="inlineStr">
        <is>
          <t>RequestResults method available. Server behaviour when SequenceNumber=0 range is implementation-defined.</t>
        </is>
      </c>
      <c r="F22" s="111" t="inlineStr">
        <is>
          <t>Method returns Good. If no result has SequenceNumber=0, an empty result set is returned gracefully. Server does not crash or return a service-level error for an empty (but valid) result set.</t>
        </is>
      </c>
      <c r="G22" s="111" t="inlineStr">
        <is>
          <t>Good</t>
        </is>
      </c>
      <c r="H22" s="111" t="n"/>
      <c r="I22" s="111" t="n"/>
      <c r="J22" s="111" t="inlineStr">
        <is>
          <t>OPC 40450-1 Section 11.1 CU-37</t>
        </is>
      </c>
      <c r="K22" s="111" t="n"/>
    </row>
  </sheetData>
  <mergeCells count="2">
    <mergeCell ref="A1:K1"/>
    <mergeCell ref="C2:J2"/>
  </mergeCells>
  <pageMargins left="0.7" right="0.7" top="0.75" bottom="0.75" header="0.3" footer="0.3"/>
</worksheet>
</file>

<file path=xl/worksheets/sheet44.xml><?xml version="1.0" encoding="utf-8"?>
<worksheet xmlns="http://schemas.openxmlformats.org/spreadsheetml/2006/main">
  <sheetPr codeName="Sheet41">
    <tabColor rgb="FF2E75B6"/>
    <outlinePr summaryBelow="1" summaryRight="1"/>
    <pageSetUpPr/>
  </sheetPr>
  <dimension ref="A1:N21"/>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CU-38: R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CU-38 — R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RRVA-1: Browse server for RequestedResultVariable; verify NodeClass=Variable, DataType=ResultDataType</t>
        </is>
      </c>
      <c r="E4" s="58" t="n"/>
      <c r="F4" s="58" t="n"/>
      <c r="G4" s="58" t="n"/>
      <c r="H4" s="58" t="n"/>
      <c r="I4" s="58" t="inlineStr">
        <is>
          <t>n</t>
        </is>
      </c>
      <c r="J4" s="58" t="inlineStr">
        <is>
          <t>OPC 40450-1 Section 11.1 CU-38</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Browse the IJT server address space for the RequestedResultVariable node. Check NodeClass and DataType attributes.</t>
        </is>
      </c>
      <c r="E5" s="61" t="inlineStr">
        <is>
          <t>IJT server running with AssetManagement or ResultManagement object accessible.</t>
        </is>
      </c>
      <c r="F5" s="61" t="inlineStr">
        <is>
          <t>RequestedResultVariable node found. NodeClass = Variable (NodeClass=2). DataType = ResultDataType in the Machinery/Result namespace (local type id i=3008; resolve namespace by URI, not a fixed namespace index). Node is accessible under the expected parent object.</t>
        </is>
      </c>
      <c r="G5" s="61" t="inlineStr">
        <is>
          <t>Good</t>
        </is>
      </c>
      <c r="H5" s="61" t="inlineStr">
        <is>
          <t>NodeClass=Variable; DataType=ResultDataType; node present in address space</t>
        </is>
      </c>
      <c r="I5" s="61" t="n"/>
      <c r="J5" s="61" t="inlineStr">
        <is>
          <t>OPC 40450-1 Section 11.1 CU-38</t>
        </is>
      </c>
      <c r="K5" s="62" t="n"/>
    </row>
    <row r="6" ht="25.8" customHeight="1" s="132">
      <c r="A6" s="70" t="inlineStr">
        <is>
          <t>y</t>
        </is>
      </c>
      <c r="B6" s="71" t="n">
        <v>2</v>
      </c>
      <c r="C6" s="72" t="n">
        <v>0</v>
      </c>
      <c r="D6" s="72" t="inlineStr">
        <is>
          <t>RRVA-2: After calling RequestResults, read RequestedResultVariable; verify value is populated</t>
        </is>
      </c>
      <c r="E6" s="72" t="n"/>
      <c r="F6" s="72" t="n"/>
      <c r="G6" s="72" t="n"/>
      <c r="H6" s="72" t="n"/>
      <c r="I6" s="72" t="inlineStr">
        <is>
          <t>n</t>
        </is>
      </c>
      <c r="J6" s="72" t="inlineStr">
        <is>
          <t>OPC 40450-1 Section 11.1 CU-38</t>
        </is>
      </c>
      <c r="K6" s="73" t="n"/>
    </row>
    <row r="7" ht="64.5" customHeight="1" s="132">
      <c r="A7" s="61" t="n"/>
      <c r="B7" s="61" t="n"/>
      <c r="C7" s="61" t="n">
        <v>1</v>
      </c>
      <c r="D7" s="61" t="inlineStr">
        <is>
          <t>Call RequestResults (FromSequenceNumber, ToSequenceNumber, FromTime, ToTime, RequestedMinimumDurationBetweenResults). Wait for notification or event. Read the value of RequestedResultVariable.</t>
        </is>
      </c>
      <c r="E7" s="61" t="inlineStr">
        <is>
          <t>RequestResults method available. At least one result available. RequestedResultVariable node identified in previous test.</t>
        </is>
      </c>
      <c r="F7" s="61" t="inlineStr">
        <is>
          <t>Read returns Good. Value is a non-null ResultDataType envelope. ResultMetaData.ResultId is non-empty. ResultContent[] follows classification rules. Value corresponds to the requested result.</t>
        </is>
      </c>
      <c r="G7" s="61" t="inlineStr">
        <is>
          <t>Good</t>
        </is>
      </c>
      <c r="H7" s="61" t="inlineStr">
        <is>
          <t>Value = non-null ResultDataType; ResultId non-empty; SourceTimestamp is recent</t>
        </is>
      </c>
      <c r="I7" s="61" t="n"/>
      <c r="J7" s="61" t="inlineStr">
        <is>
          <t>OPC 40450-1 Section 11.1 CU-38</t>
        </is>
      </c>
      <c r="K7" s="61" t="n"/>
    </row>
    <row r="8" ht="25.8" customHeight="1" s="132">
      <c r="A8" s="67" t="inlineStr">
        <is>
          <t>y</t>
        </is>
      </c>
      <c r="B8" s="67" t="n">
        <v>3</v>
      </c>
      <c r="C8" s="67" t="n">
        <v>0</v>
      </c>
      <c r="D8" s="67" t="inlineStr">
        <is>
          <t>RRVA-3: Verify RequestedResultVariable is readable (AccessLevel includes CurrentRead)</t>
        </is>
      </c>
      <c r="E8" s="67" t="n"/>
      <c r="F8" s="67" t="n"/>
      <c r="G8" s="67" t="n"/>
      <c r="H8" s="67" t="n"/>
      <c r="I8" s="67" t="inlineStr">
        <is>
          <t>n</t>
        </is>
      </c>
      <c r="J8" s="67" t="inlineStr">
        <is>
          <t>OPC 40450-1 Section 11.1 CU-38</t>
        </is>
      </c>
      <c r="K8" s="67" t="n"/>
    </row>
    <row r="9" ht="38.7" customHeight="1" s="132">
      <c r="A9" s="61" t="n"/>
      <c r="B9" s="61" t="n"/>
      <c r="C9" s="61" t="n">
        <v>1</v>
      </c>
      <c r="D9" s="61" t="inlineStr">
        <is>
          <t>Read the AccessLevel attribute of the RequestedResultVariable node.</t>
        </is>
      </c>
      <c r="E9" s="61" t="inlineStr">
        <is>
          <t>RequestedResultVariable node identified.</t>
        </is>
      </c>
      <c r="F9" s="61" t="inlineStr">
        <is>
          <t>AccessLevel attribute includes CurrentRead (bit 0 = 1). A Read service call to the node returns Good (not Bad_NotReadable).</t>
        </is>
      </c>
      <c r="G9" s="61" t="inlineStr">
        <is>
          <t>Good</t>
        </is>
      </c>
      <c r="H9" s="61" t="inlineStr">
        <is>
          <t>AccessLevel bit 0 = 1 (CurrentRead); Read service returns Good</t>
        </is>
      </c>
      <c r="I9" s="61" t="n"/>
      <c r="J9" s="61" t="inlineStr">
        <is>
          <t>OPC 40450-1 Section 11.1 CU-38</t>
        </is>
      </c>
      <c r="K9" s="61" t="n"/>
    </row>
    <row r="10">
      <c r="A10" s="67" t="inlineStr">
        <is>
          <t>y</t>
        </is>
      </c>
      <c r="B10" s="67" t="n">
        <v>4</v>
      </c>
      <c r="C10" s="67" t="n">
        <v>0</v>
      </c>
      <c r="D10" s="67" t="inlineStr">
        <is>
          <t>RRVA-4: Verify value timestamp reflects result generation time</t>
        </is>
      </c>
      <c r="E10" s="67" t="n"/>
      <c r="F10" s="67" t="n"/>
      <c r="G10" s="67" t="n"/>
      <c r="H10" s="67" t="n"/>
      <c r="I10" s="67" t="inlineStr">
        <is>
          <t>n</t>
        </is>
      </c>
      <c r="J10" s="67" t="inlineStr">
        <is>
          <t>OPC 40450-1 Section 11.1 CU-38</t>
        </is>
      </c>
      <c r="K10" s="67" t="n"/>
    </row>
    <row r="11" ht="51.6" customHeight="1" s="132">
      <c r="A11" s="61" t="n"/>
      <c r="B11" s="61" t="n"/>
      <c r="C11" s="61" t="n">
        <v>1</v>
      </c>
      <c r="D11" s="61" t="inlineStr">
        <is>
          <t>After RequestResults, read RequestedResultVariable. Inspect the SourceTimestamp of the returned DataValue.</t>
        </is>
      </c>
      <c r="E11" s="61" t="inlineStr">
        <is>
          <t>RequestedResultVariable populated after RequestResults call.</t>
        </is>
      </c>
      <c r="F11" s="61" t="inlineStr">
        <is>
          <t>SourceTimestamp is set to a non-zero DateTime value. Timestamp is within a reasonable range of the result generation time (not epoch/zero, not far in the future).</t>
        </is>
      </c>
      <c r="G11" s="61" t="inlineStr">
        <is>
          <t>Good</t>
        </is>
      </c>
      <c r="H11" s="61" t="inlineStr">
        <is>
          <t>SourceTimestamp is recent (within test session time window); not zero or epoch</t>
        </is>
      </c>
      <c r="I11" s="61" t="n"/>
      <c r="J11" s="61" t="inlineStr">
        <is>
          <t>OPC 40450-1 Section 11.1 CU-38</t>
        </is>
      </c>
      <c r="K11" s="61" t="n"/>
    </row>
    <row r="13">
      <c r="A13" s="124" t="inlineStr">
        <is>
          <t>Error Test Cases</t>
        </is>
      </c>
      <c r="B13" s="124" t="n"/>
      <c r="C13" s="124" t="n"/>
      <c r="D13" s="124" t="n"/>
      <c r="E13" s="124" t="n"/>
      <c r="F13" s="124" t="n"/>
      <c r="G13" s="124" t="n"/>
      <c r="H13" s="124" t="n"/>
      <c r="I13" s="124" t="n"/>
      <c r="J13" s="124" t="n"/>
      <c r="K13" s="124" t="n"/>
    </row>
    <row r="14">
      <c r="A14" s="110" t="inlineStr">
        <is>
          <t>n</t>
        </is>
      </c>
      <c r="B14" s="110" t="n">
        <v>1</v>
      </c>
      <c r="C14" s="110" t="n">
        <v>0</v>
      </c>
      <c r="D14" s="110" t="inlineStr">
        <is>
          <t>Verify RequestedResultVariable write rejection when effective access is non-writable</t>
        </is>
      </c>
      <c r="E14" s="110" t="n"/>
      <c r="F14" s="110" t="n"/>
      <c r="G14" s="110" t="n"/>
      <c r="H14" s="110" t="n"/>
      <c r="I14" s="110" t="inlineStr">
        <is>
          <t>n</t>
        </is>
      </c>
      <c r="J14" s="110" t="inlineStr">
        <is>
          <t>OPC 40450-1 Section 11.1 CU-38</t>
        </is>
      </c>
      <c r="K14" s="110" t="n"/>
    </row>
    <row r="15">
      <c r="A15" s="111" t="n"/>
      <c r="B15" s="111" t="n"/>
      <c r="C15" s="111" t="n">
        <v>1</v>
      </c>
      <c r="D15" s="111" t="inlineStr">
        <is>
          <t>Read UserAccessLevel and AccessLevelEx when available. Determine whether effective write access is declared before attempting Write.</t>
        </is>
      </c>
      <c r="E15" s="111" t="inlineStr">
        <is>
          <t>Server claims this Conformance Unit; no additional runtime setup is needed for this step.</t>
        </is>
      </c>
      <c r="F15" s="111" t="inlineStr">
        <is>
          <t>If no effective write is declared, a write attempt returns Bad_NotWritable or Bad_UserAccessDenied and the value remains unchanged. If effective write is exposed, record the access policy and do not fail solely for writable access.</t>
        </is>
      </c>
      <c r="G15" s="111" t="inlineStr">
        <is>
          <t>Good</t>
        </is>
      </c>
      <c r="H15" s="111" t="inlineStr">
        <is>
          <t>Bad_NotWritable or Bad_UserAccessDenied when effective access is non-writable</t>
        </is>
      </c>
      <c r="I15" s="111" t="n"/>
      <c r="J15" s="111" t="inlineStr">
        <is>
          <t>OPC 40450-1 Section 11.1 CU-38</t>
        </is>
      </c>
      <c r="K15" s="111" t="inlineStr">
        <is>
          <t>Requirement source: OPC 40450-1 Section 7.5 - RequestedResultVariable is server-managed in normal IJT client workflows; access-bit policy must still be evaluated from the server attributes.</t>
        </is>
      </c>
    </row>
    <row r="16">
      <c r="A16" s="110" t="inlineStr">
        <is>
          <t>n</t>
        </is>
      </c>
      <c r="B16" s="110" t="n">
        <v>2</v>
      </c>
      <c r="C16" s="110" t="n">
        <v>0</v>
      </c>
      <c r="D16" s="110" t="inlineStr">
        <is>
          <t>Verify RequestedResultVariable DataType is ResultDataType in the Machinery/Result namespace</t>
        </is>
      </c>
      <c r="E16" s="110" t="n"/>
      <c r="F16" s="110" t="n"/>
      <c r="G16" s="110" t="n"/>
      <c r="H16" s="110" t="n"/>
      <c r="I16" s="110" t="inlineStr">
        <is>
          <t>n</t>
        </is>
      </c>
      <c r="J16" s="110" t="inlineStr">
        <is>
          <t>OPC 40450-1 Section 11.1 CU-38</t>
        </is>
      </c>
      <c r="K16" s="110" t="n"/>
    </row>
    <row r="17">
      <c r="A17" s="111" t="n"/>
      <c r="B17" s="111" t="n"/>
      <c r="C17" s="111" t="n">
        <v>1</v>
      </c>
      <c r="D17" s="111" t="inlineStr">
        <is>
          <t>Read DataType attribute of RequestedResultVariable.</t>
        </is>
      </c>
      <c r="E17" s="111" t="inlineStr">
        <is>
          <t>Server claims this Conformance Unit; no additional runtime setup is needed for this step.</t>
        </is>
      </c>
      <c r="F17" s="111" t="inlineStr">
        <is>
          <t>DataType matches ResultDataType NodeId.</t>
        </is>
      </c>
      <c r="G17" s="111" t="inlineStr">
        <is>
          <t>Good</t>
        </is>
      </c>
      <c r="H17" s="111" t="n"/>
      <c r="I17" s="111" t="n"/>
      <c r="J17" s="111" t="inlineStr">
        <is>
          <t>OPC 40450-1 Section 11.1 CU-38</t>
        </is>
      </c>
      <c r="K17" s="111" t="inlineStr">
        <is>
          <t>Requirement source: OPC 40450-1 Section 7.5 - DataType is ResultDataType.</t>
        </is>
      </c>
    </row>
    <row r="18">
      <c r="A18" s="110" t="inlineStr">
        <is>
          <t>n</t>
        </is>
      </c>
      <c r="B18" s="110" t="n">
        <v>3</v>
      </c>
      <c r="C18" s="110" t="n">
        <v>0</v>
      </c>
      <c r="D18" s="110" t="inlineStr">
        <is>
          <t>Verify RequestedResultVariable NodeId under ResultManagement</t>
        </is>
      </c>
      <c r="E18" s="110" t="n"/>
      <c r="F18" s="110" t="n"/>
      <c r="G18" s="110" t="n"/>
      <c r="H18" s="110" t="n"/>
      <c r="I18" s="110" t="inlineStr">
        <is>
          <t>n</t>
        </is>
      </c>
      <c r="J18" s="110" t="inlineStr">
        <is>
          <t>OPC 40450-1 Section 11.1 CU-38</t>
        </is>
      </c>
      <c r="K18" s="110" t="n"/>
    </row>
    <row r="19">
      <c r="A19" s="111" t="n"/>
      <c r="B19" s="111" t="n"/>
      <c r="C19" s="111" t="n">
        <v>1</v>
      </c>
      <c r="D19" s="111" t="inlineStr">
        <is>
          <t>Browse ResultManagement &gt; RequestedResult path.</t>
        </is>
      </c>
      <c r="E19" s="111" t="inlineStr">
        <is>
          <t>Server claims this Conformance Unit; no additional runtime setup is needed for this step.</t>
        </is>
      </c>
      <c r="F19" s="111" t="inlineStr">
        <is>
          <t>Node found via BrowsePath. NodeClass=Variable.</t>
        </is>
      </c>
      <c r="G19" s="111" t="inlineStr">
        <is>
          <t>Good</t>
        </is>
      </c>
      <c r="H19" s="111" t="n"/>
      <c r="I19" s="111" t="n"/>
      <c r="J19" s="111" t="inlineStr">
        <is>
          <t>OPC 40450-1 Section 11.1 CU-38</t>
        </is>
      </c>
      <c r="K19" s="111" t="inlineStr">
        <is>
          <t>Requirement source: OPC 40450-1 Section 7.5 - Child of ResultManagement.</t>
        </is>
      </c>
    </row>
    <row r="20">
      <c r="A20" s="110" t="inlineStr">
        <is>
          <t>n</t>
        </is>
      </c>
      <c r="B20" s="110" t="n">
        <v>4</v>
      </c>
      <c r="C20" s="110" t="n">
        <v>0</v>
      </c>
      <c r="D20" s="110" t="inlineStr">
        <is>
          <t>Verify RequestedResultVariable value updates after RequestResults</t>
        </is>
      </c>
      <c r="E20" s="110" t="n"/>
      <c r="F20" s="110" t="n"/>
      <c r="G20" s="110" t="n"/>
      <c r="H20" s="110" t="n"/>
      <c r="I20" s="110" t="inlineStr">
        <is>
          <t>n</t>
        </is>
      </c>
      <c r="J20" s="110" t="inlineStr">
        <is>
          <t>OPC 40450-1 Section 11.1 CU-38</t>
        </is>
      </c>
      <c r="K20" s="110" t="n"/>
    </row>
    <row r="21" ht="25.8" customHeight="1" s="132">
      <c r="A21" s="111" t="n"/>
      <c r="B21" s="111" t="n"/>
      <c r="C21" s="111" t="n">
        <v>1</v>
      </c>
      <c r="D21" s="111" t="inlineStr">
        <is>
          <t>Subscribe to RequestedResultVariable. Call RequestResults.</t>
        </is>
      </c>
      <c r="E21" s="111" t="inlineStr">
        <is>
          <t>Server claims this Conformance Unit; no additional runtime setup is needed for this step.</t>
        </is>
      </c>
      <c r="F21" s="111" t="inlineStr">
        <is>
          <t>DataChangeNotification received. Value matches requested result.</t>
        </is>
      </c>
      <c r="G21" s="111" t="inlineStr">
        <is>
          <t>Good</t>
        </is>
      </c>
      <c r="H21" s="111" t="n"/>
      <c r="I21" s="111" t="n"/>
      <c r="J21" s="111" t="inlineStr">
        <is>
          <t>OPC 40450-1 Section 11.1 CU-38</t>
        </is>
      </c>
      <c r="K21" s="111" t="inlineStr">
        <is>
          <t>Requirement source: OPC 40450-1 Section 7.5 - Value must update after method call.</t>
        </is>
      </c>
    </row>
  </sheetData>
  <mergeCells count="2">
    <mergeCell ref="A1:K1"/>
    <mergeCell ref="C2:J2"/>
  </mergeCells>
  <pageMargins left="0.7" right="0.7" top="0.75" bottom="0.75" header="0.3" footer="0.3"/>
</worksheet>
</file>

<file path=xl/worksheets/sheet45.xml><?xml version="1.0" encoding="utf-8"?>
<worksheet xmlns="http://schemas.openxmlformats.org/spreadsheetml/2006/main">
  <sheetPr codeName="Sheet4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CU-39: Requested Result Event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CU-39 — Requested Result Event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RREA-1: Subscribe to events; call RequestResults; verify RequestedResultEventType event received</t>
        </is>
      </c>
      <c r="E4" s="58" t="n"/>
      <c r="F4" s="58" t="n"/>
      <c r="G4" s="58" t="n"/>
      <c r="H4" s="58" t="n"/>
      <c r="I4" s="58" t="inlineStr">
        <is>
          <t>n</t>
        </is>
      </c>
      <c r="J4" s="58" t="inlineStr">
        <is>
          <t>OPC 40450-1 Section 11.1 CU-39</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Create an event subscription on the server (EventFilter for all event types or specifically RequestedResultEventType). Call RequestResults (FromSequenceNumber, ToSequenceNumber, FromTime, ToTime, RequestedMinimumDurationBetweenResults). Wait for event notification.</t>
        </is>
      </c>
      <c r="E5" s="89" t="inlineStr">
        <is>
          <t>Event subscription infrastructure available. RequestResults method accessible. At least one result available on the server.</t>
        </is>
      </c>
      <c r="F5" s="89" t="inlineStr">
        <is>
          <t>A RequestedResultEventType event is received via the subscription. Event EventType NodeId references RequestedResultEventType. Event is received within a reasonable timeout (e.g. 30 seconds).</t>
        </is>
      </c>
      <c r="G5" s="89" t="inlineStr">
        <is>
          <t>Good</t>
        </is>
      </c>
      <c r="H5" s="89" t="inlineStr">
        <is>
          <t>RequestedResultEventType event received; EventType NodeId correct; event payload non-null</t>
        </is>
      </c>
      <c r="I5" s="89" t="n"/>
      <c r="J5" s="89" t="inlineStr">
        <is>
          <t>OPC 40450-1 Section 11.1 CU-39</t>
        </is>
      </c>
      <c r="K5" s="90" t="n"/>
      <c r="L5" s="27" t="n"/>
      <c r="M5" s="28" t="n"/>
      <c r="N5" s="28" t="n"/>
    </row>
    <row r="6" ht="26.1" customHeight="1" s="132">
      <c r="A6" s="56" t="inlineStr">
        <is>
          <t>y</t>
        </is>
      </c>
      <c r="B6" s="57" t="n">
        <v>2</v>
      </c>
      <c r="C6" s="58" t="n">
        <v>0</v>
      </c>
      <c r="D6" s="58" t="inlineStr">
        <is>
          <t>RREA-2: Verify event contains ResultMetaData, ResultContent, and ResultId fields</t>
        </is>
      </c>
      <c r="E6" s="58" t="n"/>
      <c r="F6" s="58" t="n"/>
      <c r="G6" s="58" t="n"/>
      <c r="H6" s="58" t="n"/>
      <c r="I6" s="58" t="inlineStr">
        <is>
          <t>n</t>
        </is>
      </c>
      <c r="J6" s="58" t="inlineStr">
        <is>
          <t>OPC 40450-1 Section 11.1 CU-39</t>
        </is>
      </c>
      <c r="K6" s="74" t="n"/>
      <c r="L6" s="27" t="n"/>
      <c r="M6" s="28" t="n"/>
      <c r="N6" s="28" t="n"/>
    </row>
    <row r="7" ht="26.1" customHeight="1" s="132">
      <c r="A7" s="87" t="n"/>
      <c r="B7" s="88" t="n"/>
      <c r="C7" s="89" t="n">
        <v>1</v>
      </c>
      <c r="D7" s="89" t="inlineStr">
        <is>
          <t>Inspect the RequestedResultEventType event received in RREA-1. Check event.Result.ResultMetaData, event.Result.ResultContent, and event.Result.ResultMetaData.ResultId fields.</t>
        </is>
      </c>
      <c r="E7" s="89" t="inlineStr">
        <is>
          <t>RequestedResultEventType event received in RREA-1.</t>
        </is>
      </c>
      <c r="F7" s="89" t="inlineStr">
        <is>
          <t>RequestedResultEventType contains a Result payload. Validate event.Result.ResultMetaData is present, event.Result.ResultContent is present according to the result classification, and event.Result.ResultMetaData.ResultId is non-empty.</t>
        </is>
      </c>
      <c r="G7" s="89" t="inlineStr">
        <is>
          <t>Good</t>
        </is>
      </c>
      <c r="H7" s="89" t="inlineStr">
        <is>
          <t>event.Result.ResultMetaData present; event.Result.ResultContent present according to classification; event.Result.ResultMetaData.ResultId non-empty</t>
        </is>
      </c>
      <c r="I7" s="89" t="n"/>
      <c r="J7" s="89" t="inlineStr">
        <is>
          <t>OPC 40450-1 Section 11.1 CU-39</t>
        </is>
      </c>
      <c r="K7" s="90" t="n"/>
      <c r="L7" s="27" t="n"/>
      <c r="M7" s="28" t="n"/>
      <c r="N7" s="28" t="n"/>
    </row>
    <row r="8" ht="39" customHeight="1" s="132">
      <c r="A8" s="56" t="inlineStr">
        <is>
          <t>y</t>
        </is>
      </c>
      <c r="B8" s="57" t="n">
        <v>3</v>
      </c>
      <c r="C8" s="58" t="n">
        <v>0</v>
      </c>
      <c r="D8" s="58" t="inlineStr">
        <is>
          <t>RREA-3: Verify EventType NodeId references RequestedResultEventType in IJT namespace</t>
        </is>
      </c>
      <c r="E8" s="58" t="n"/>
      <c r="F8" s="58" t="n"/>
      <c r="G8" s="58" t="n"/>
      <c r="H8" s="58" t="n"/>
      <c r="I8" s="58" t="inlineStr">
        <is>
          <t>n</t>
        </is>
      </c>
      <c r="J8" s="58" t="inlineStr">
        <is>
          <t>OPC 40450-1 Section 11.1 CU-39</t>
        </is>
      </c>
      <c r="K8" s="74" t="n"/>
      <c r="L8" s="27" t="n"/>
      <c r="M8" s="28" t="n"/>
      <c r="N8" s="28" t="n"/>
    </row>
    <row r="9" ht="64.5" customHeight="1" s="132">
      <c r="A9" s="87" t="n"/>
      <c r="B9" s="88" t="n"/>
      <c r="C9" s="89" t="n">
        <v>1</v>
      </c>
      <c r="D9" s="89" t="inlineStr">
        <is>
          <t>From the received event, read the EventType field. Resolve the NodeId against the server NamespaceArray.</t>
        </is>
      </c>
      <c r="E9" s="89" t="inlineStr">
        <is>
          <t>RequestedResultEventType event received.</t>
        </is>
      </c>
      <c r="F9" s="89" t="inlineStr">
        <is>
          <t>EventType NodeId namespace index resolves to the IJT namespace URI (urn:...OPC40450-1 or equivalent). BrowseName = RequestedResultEventType. Node exists in server address space.</t>
        </is>
      </c>
      <c r="G9" s="89" t="inlineStr">
        <is>
          <t>Good</t>
        </is>
      </c>
      <c r="H9" s="89" t="inlineStr">
        <is>
          <t>EventType NodeId resolves to RequestedResultEventType in IJT namespace; BrowseName matches</t>
        </is>
      </c>
      <c r="I9" s="89" t="n"/>
      <c r="J9" s="89" t="inlineStr">
        <is>
          <t>OPC 40450-1 Section 11.1 CU-39</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n</t>
        </is>
      </c>
      <c r="B11" s="96" t="n">
        <v>4</v>
      </c>
      <c r="C11" s="97" t="n">
        <v>0</v>
      </c>
      <c r="D11" s="97" t="inlineStr">
        <is>
          <t>RREA-4 (error): If no result available on RequestResults, verify server returns error or empty event (not crash)</t>
        </is>
      </c>
      <c r="E11" s="97" t="n"/>
      <c r="F11" s="97" t="n"/>
      <c r="G11" s="97" t="n"/>
      <c r="H11" s="97" t="n"/>
      <c r="I11" s="97" t="inlineStr">
        <is>
          <t>n</t>
        </is>
      </c>
      <c r="J11" s="97" t="inlineStr">
        <is>
          <t>OPC 40450-1 Section 11.1 CU-39</t>
        </is>
      </c>
      <c r="K11" s="98" t="n"/>
      <c r="L11" s="27" t="n"/>
      <c r="M11" s="28" t="n"/>
      <c r="N11" s="28" t="n"/>
    </row>
    <row r="12" ht="64.5" customHeight="1" s="132">
      <c r="A12" s="87" t="n"/>
      <c r="B12" s="88" t="n"/>
      <c r="C12" s="89" t="n">
        <v>1</v>
      </c>
      <c r="D12" s="89" t="inlineStr">
        <is>
          <t>Call RequestResults when no results are stored (or with an asset that has no pending results). Observe server behavior — does it send an empty event, return an error, or crash?</t>
        </is>
      </c>
      <c r="E12" s="89" t="inlineStr">
        <is>
          <t>Server in a state with no pending results for the target asset.</t>
        </is>
      </c>
      <c r="F12" s="89" t="inlineStr">
        <is>
          <t>If no result is available for the request, the server may return Good with no RequestedResultEventType event/DataChange, or Uncertain with a Status/StatusMessage indicating no data. It shall not emit a RequestedResultEventType event with an empty or malformed Result payload.</t>
        </is>
      </c>
      <c r="G12" s="89" t="inlineStr">
        <is>
          <t>Good</t>
        </is>
      </c>
      <c r="H12" s="89" t="inlineStr">
        <is>
          <t>Good or Uncertain; no empty/malformed event Result payload</t>
        </is>
      </c>
      <c r="I12" s="89" t="n"/>
      <c r="J12" s="89" t="inlineStr">
        <is>
          <t>OPC 40450-1 Section 11.1 CU-39</t>
        </is>
      </c>
      <c r="K12" s="90" t="inlineStr">
        <is>
          <t>Negative requested-result behavior: no event is preferable to an empty requested-result payload.</t>
        </is>
      </c>
      <c r="L12" s="27" t="n"/>
      <c r="M12" s="28" t="n"/>
      <c r="N12" s="28" t="n"/>
    </row>
    <row r="13" ht="26.1" customHeight="1" s="132">
      <c r="A13" s="112" t="inlineStr">
        <is>
          <t>n</t>
        </is>
      </c>
      <c r="B13" s="113" t="n">
        <v>5</v>
      </c>
      <c r="C13" s="114" t="n">
        <v>0</v>
      </c>
      <c r="D13" s="114" t="inlineStr">
        <is>
          <t>Verify RequestedResultEventType is subtype of JoiningSystemResultReadyEventType</t>
        </is>
      </c>
      <c r="E13" s="114" t="n"/>
      <c r="F13" s="114" t="n"/>
      <c r="G13" s="114" t="n"/>
      <c r="H13" s="114" t="n"/>
      <c r="I13" s="114" t="inlineStr">
        <is>
          <t>n</t>
        </is>
      </c>
      <c r="J13" s="114" t="inlineStr">
        <is>
          <t>OPC 40450-1 Section 11.1 CU-39</t>
        </is>
      </c>
      <c r="K13" s="115" t="n"/>
      <c r="L13" s="27" t="n"/>
      <c r="M13" s="28" t="n"/>
      <c r="N13" s="28" t="n"/>
    </row>
    <row r="14" ht="25.8" customHeight="1" s="132">
      <c r="A14" s="116" t="n"/>
      <c r="B14" s="117" t="n"/>
      <c r="C14" s="118" t="n">
        <v>1</v>
      </c>
      <c r="D14" s="118" t="inlineStr">
        <is>
          <t>Browse RequestedResultEventType type hierarchy.</t>
        </is>
      </c>
      <c r="E14" s="118" t="inlineStr">
        <is>
          <t>Server claims this Conformance Unit; no additional runtime setup is needed for this step.</t>
        </is>
      </c>
      <c r="F14" s="118" t="inlineStr">
        <is>
          <t>HasSubtype reference confirms inheritance.</t>
        </is>
      </c>
      <c r="G14" s="118" t="inlineStr">
        <is>
          <t>Good</t>
        </is>
      </c>
      <c r="H14" s="118" t="n"/>
      <c r="I14" s="118" t="n"/>
      <c r="J14" s="118" t="inlineStr">
        <is>
          <t>OPC 40450-1 Section 11.1 CU-39</t>
        </is>
      </c>
      <c r="K14" s="119" t="inlineStr">
        <is>
          <t>Requirement source: OPC 40450-1 Section 11 - Inherits from JoiningSystemResultReadyEventType.</t>
        </is>
      </c>
      <c r="L14" s="27" t="n"/>
      <c r="M14" s="28" t="n"/>
      <c r="N14" s="28" t="n"/>
    </row>
    <row r="15">
      <c r="A15" s="112" t="inlineStr">
        <is>
          <t>n</t>
        </is>
      </c>
      <c r="B15" s="113" t="n">
        <v>6</v>
      </c>
      <c r="C15" s="114" t="n">
        <v>0</v>
      </c>
      <c r="D15" s="114" t="inlineStr">
        <is>
          <t>Verify RequestedResultEventType not fired for live results</t>
        </is>
      </c>
      <c r="E15" s="114" t="n"/>
      <c r="F15" s="114" t="n"/>
      <c r="G15" s="114" t="n"/>
      <c r="H15" s="114" t="n"/>
      <c r="I15" s="114" t="inlineStr">
        <is>
          <t>n</t>
        </is>
      </c>
      <c r="J15" s="114" t="inlineStr">
        <is>
          <t>OPC 40450-1 Section 11.1 CU-39</t>
        </is>
      </c>
      <c r="K15" s="115" t="n"/>
      <c r="L15" s="27" t="n"/>
      <c r="M15" s="28" t="n"/>
      <c r="N15" s="28" t="n"/>
    </row>
    <row r="16">
      <c r="A16" s="116" t="n"/>
      <c r="B16" s="117" t="n"/>
      <c r="C16" s="118" t="n">
        <v>1</v>
      </c>
      <c r="D16" s="118" t="inlineStr">
        <is>
          <t>Subscribe for RequestedResultEventType. Trigger normal joining operation.</t>
        </is>
      </c>
      <c r="E16" s="118" t="inlineStr">
        <is>
          <t>Server claims this Conformance Unit; no additional runtime setup is needed for this step.</t>
        </is>
      </c>
      <c r="F16" s="118" t="inlineStr">
        <is>
          <t>No RequestedResultEventType event from normal operation.</t>
        </is>
      </c>
      <c r="G16" s="118" t="inlineStr">
        <is>
          <t>Good</t>
        </is>
      </c>
      <c r="H16" s="118" t="n"/>
      <c r="I16" s="118" t="n"/>
      <c r="J16" s="118" t="inlineStr">
        <is>
          <t>OPC 40450-1 Section 11.1 CU-39</t>
        </is>
      </c>
      <c r="K16" s="119" t="inlineStr">
        <is>
          <t>Requirement source: OPC 40450-1 Section 11 - Only fires for RequestResults.</t>
        </is>
      </c>
    </row>
    <row r="17" customFormat="1" s="138">
      <c r="A17" s="112" t="inlineStr">
        <is>
          <t>n</t>
        </is>
      </c>
      <c r="B17" s="110" t="n">
        <v>7</v>
      </c>
      <c r="C17" s="110" t="n">
        <v>0</v>
      </c>
      <c r="D17" s="110" t="inlineStr">
        <is>
          <t>Verify event SourceNode matches JoiningSystem instance</t>
        </is>
      </c>
      <c r="E17" s="110" t="n"/>
      <c r="F17" s="110" t="n"/>
      <c r="G17" s="110" t="n"/>
      <c r="H17" s="110" t="n"/>
      <c r="I17" s="110" t="inlineStr">
        <is>
          <t>n</t>
        </is>
      </c>
      <c r="J17" s="110" t="inlineStr">
        <is>
          <t>OPC 40450-1 Section 11.1 CU-39</t>
        </is>
      </c>
      <c r="K17" s="115" t="n"/>
    </row>
    <row r="18">
      <c r="A18" s="120" t="n"/>
      <c r="B18" s="121" t="n"/>
      <c r="C18" s="122" t="n">
        <v>1</v>
      </c>
      <c r="D18" s="122" t="inlineStr">
        <is>
          <t>Receive RequestedResultEventType event. Read SourceNode.</t>
        </is>
      </c>
      <c r="E18" s="122" t="inlineStr">
        <is>
          <t>Server claims this Conformance Unit; no additional runtime setup is needed for this step.</t>
        </is>
      </c>
      <c r="F18" s="122" t="inlineStr">
        <is>
          <t>SourceNode matches JoiningSystem instance NodeId.</t>
        </is>
      </c>
      <c r="G18" s="122" t="inlineStr">
        <is>
          <t>Good</t>
        </is>
      </c>
      <c r="H18" s="122" t="n"/>
      <c r="I18" s="122" t="n"/>
      <c r="J18" s="122" t="inlineStr">
        <is>
          <t>OPC 40450-1 Section 11.1 CU-39</t>
        </is>
      </c>
      <c r="K18" s="123" t="inlineStr">
        <is>
          <t>Requirement source: OPC 10000-5; OPC 40450-1 Section 11.</t>
        </is>
      </c>
    </row>
  </sheetData>
  <mergeCells count="2">
    <mergeCell ref="A1:K1"/>
    <mergeCell ref="C2:J2"/>
  </mergeCells>
  <pageMargins left="0.7" right="0.7" top="0.75" bottom="0.75" header="0.3" footer="0.3"/>
</worksheet>
</file>

<file path=xl/worksheets/sheet46.xml><?xml version="1.0" encoding="utf-8"?>
<worksheet xmlns="http://schemas.openxmlformats.org/spreadsheetml/2006/main">
  <sheetPr codeName="Sheet4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CU-40: Acknowledge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CU-40 — Acknowledge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AR-1: Call AcknowledgeResults with valid ResultId list; verify Good and results marked acknowledged</t>
        </is>
      </c>
      <c r="E4" s="58" t="n"/>
      <c r="F4" s="58" t="n"/>
      <c r="G4" s="58" t="n"/>
      <c r="H4" s="58" t="n"/>
      <c r="I4" s="58" t="inlineStr">
        <is>
          <t>n</t>
        </is>
      </c>
      <c r="J4" s="58" t="inlineStr">
        <is>
          <t>OPC 40450-1 Section 11.1 CU-40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Obtain one or more explicit ResultIds from a result event, result variable, or another valid observation path. RequestUnacknowledgedResults may be used only if CU-41 is claimed/supported. Call AcknowledgeResults with that explicit ResultId list.</t>
        </is>
      </c>
      <c r="E5" s="89" t="inlineStr">
        <is>
          <t>AcknowledgeResults method available and executable. At least one unacknowledged result available with a known ResultId.</t>
        </is>
      </c>
      <c r="F5" s="89" t="inlineStr">
        <is>
          <t>Method ServiceResult = Good. Output error = 0 (specified ResultIds acknowledged successfully). Output errorPerResultId is null or empty (per Table 12: shall be null or empty if error equals 0). If RequestUnacknowledgedResults is supported (CU-41 claimed), those ResultIds are absent from a later unacknowledged list.</t>
        </is>
      </c>
      <c r="G5" s="89" t="inlineStr">
        <is>
          <t>Good</t>
        </is>
      </c>
      <c r="H5" s="89" t="inlineStr">
        <is>
          <t>error = 0; errorPerResultId null/empty; specified ResultIds acknowledged</t>
        </is>
      </c>
      <c r="I5" s="89" t="n"/>
      <c r="J5" s="89" t="inlineStr">
        <is>
          <t>OPC 40450-1 Section 11.1 CU-40</t>
        </is>
      </c>
      <c r="K5" s="90" t="n"/>
      <c r="L5" s="27" t="n"/>
      <c r="M5" s="28" t="n"/>
      <c r="N5" s="28" t="n"/>
    </row>
    <row r="6" ht="26.1" customHeight="1" s="132">
      <c r="A6" s="56" t="inlineStr">
        <is>
          <t>y</t>
        </is>
      </c>
      <c r="B6" s="57" t="n">
        <v>2</v>
      </c>
      <c r="C6" s="58" t="n">
        <v>0</v>
      </c>
      <c r="D6" s="58" t="inlineStr">
        <is>
          <t>AR-2: Call AcknowledgeResults with multiple valid ResultIds in one batch; verify Good, error=0, and all specified ResultIds acknowledged</t>
        </is>
      </c>
      <c r="E6" s="58" t="n"/>
      <c r="F6" s="58" t="n"/>
      <c r="G6" s="58" t="n"/>
      <c r="H6" s="58" t="n"/>
      <c r="I6" s="58" t="inlineStr">
        <is>
          <t>n</t>
        </is>
      </c>
      <c r="J6" s="58" t="inlineStr">
        <is>
          <t>OPC 40450-1 Section 11.1 CU-40</t>
        </is>
      </c>
      <c r="K6" s="74" t="n"/>
      <c r="L6" s="27" t="n"/>
      <c r="M6" s="28" t="n"/>
      <c r="N6" s="28" t="n"/>
    </row>
    <row r="7" ht="39" customHeight="1" s="132">
      <c r="A7" s="87" t="n"/>
      <c r="B7" s="88" t="n"/>
      <c r="C7" s="89" t="n">
        <v>1</v>
      </c>
      <c r="D7" s="89" t="inlineStr">
        <is>
          <t>Obtain at least two valid unacknowledged ResultIds from result events, result variables, or another valid observation path. RequestUnacknowledgedResults may be used only if CU-41 is claimed/supported. Call AcknowledgeResults with those explicit ResultIds in a single call.</t>
        </is>
      </c>
      <c r="E7" s="89" t="inlineStr">
        <is>
          <t>AcknowledgeResults method available. At least two unacknowledged results with known explicit ResultIds are available.</t>
        </is>
      </c>
      <c r="F7" s="89" t="inlineStr">
        <is>
          <t>Method ServiceResult = Good. Output error = 0 (all specified ResultIds acknowledged successfully). Output errorPerResultId is null or empty (per Table 12: shall be null or empty if error equals 0). If RequestUnacknowledgedResults is supported (CU-41 claimed), those specified ResultIds are absent from a later unacknowledged list.</t>
        </is>
      </c>
      <c r="G7" s="89" t="inlineStr">
        <is>
          <t>Good</t>
        </is>
      </c>
      <c r="H7" s="89" t="inlineStr">
        <is>
          <t>error = 0; errorPerResultId null/empty; specified ResultIds acknowledged</t>
        </is>
      </c>
      <c r="I7" s="89" t="n"/>
      <c r="J7" s="89" t="inlineStr">
        <is>
          <t>OPC 40450-1 Section 11.1 CU-40</t>
        </is>
      </c>
      <c r="K7" s="90" t="inlineStr">
        <is>
          <t>Table 12 defines resultIds as an explicit list; empty resultIds[] is not defined as acknowledge-all.</t>
        </is>
      </c>
      <c r="L7" s="27" t="n"/>
      <c r="M7" s="28" t="n"/>
      <c r="N7" s="28" t="n"/>
    </row>
    <row r="8" ht="39" customHeight="1" s="132">
      <c r="A8" s="56" t="inlineStr">
        <is>
          <t>n</t>
        </is>
      </c>
      <c r="B8" s="57" t="n">
        <v>4</v>
      </c>
      <c r="C8" s="58" t="n">
        <v>0</v>
      </c>
      <c r="D8" s="58" t="inlineStr">
        <is>
          <t>[Optional helper — cross-CU acknowledgement-state check, requires CU-41; not CU-40 method-output conformance] AR-4: After AcknowledgeResults, verify results no longer appear in unacknowledged list</t>
        </is>
      </c>
      <c r="E8" s="58" t="n"/>
      <c r="F8" s="58" t="n"/>
      <c r="G8" s="58" t="n"/>
      <c r="H8" s="58" t="n"/>
      <c r="I8" s="58" t="inlineStr">
        <is>
          <t>n</t>
        </is>
      </c>
      <c r="J8" s="58" t="inlineStr">
        <is>
          <t>OPC 40450-1 Section 11.1 CU-40</t>
        </is>
      </c>
      <c r="K8" s="74" t="n"/>
      <c r="L8" s="27" t="n"/>
      <c r="M8" s="28" t="n"/>
      <c r="N8" s="28" t="n"/>
    </row>
    <row r="9" ht="51.6" customHeight="1" s="132">
      <c r="A9" s="87" t="n"/>
      <c r="B9" s="88" t="n"/>
      <c r="C9" s="89" t="n">
        <v>1</v>
      </c>
      <c r="D9" s="89" t="inlineStr">
        <is>
          <t>[Optional helper] Call AcknowledgeResults with a specific ResultId. If RequestUnacknowledgedResults is supported (CU-41 claimed), verify the acknowledged ResultId is absent from the returned unacknowledged list.</t>
        </is>
      </c>
      <c r="E9" s="89" t="inlineStr">
        <is>
          <t>AcknowledgeResults method available. At least one unacknowledged result with known ResultId. RequestUnacknowledgedResults method available (CU-41 claimed by server).</t>
        </is>
      </c>
      <c r="F9" s="89" t="inlineStr">
        <is>
          <t>[Optional helper expected result] If CU-41 is supported: the acknowledged ResultId does NOT appear in the response from RequestUnacknowledgedResults. Other unacknowledged results (if any) remain in the list. This cross-CU consistency check validates acknowledgement state via CU-41; it does not constitute CU-40 method-output conformance.</t>
        </is>
      </c>
      <c r="G9" s="89" t="inlineStr">
        <is>
          <t>Good</t>
        </is>
      </c>
      <c r="H9" s="89" t="inlineStr">
        <is>
          <t>Cross-CU check: acknowledged ResultId absent from RequestUnacknowledgedResults response (requires CU-41)</t>
        </is>
      </c>
      <c r="I9" s="89" t="n"/>
      <c r="J9" s="89" t="inlineStr">
        <is>
          <t>OPC 40450-1 Section 11.1 CU-40</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AR-3 (error): Call AcknowledgeResults with fabricated ResultId; verify Table 12 error outputs</t>
        </is>
      </c>
      <c r="E11" s="97" t="n"/>
      <c r="F11" s="97" t="n"/>
      <c r="G11" s="97" t="n"/>
      <c r="H11" s="97" t="n"/>
      <c r="I11" s="97" t="inlineStr">
        <is>
          <t>n</t>
        </is>
      </c>
      <c r="J11" s="97" t="inlineStr">
        <is>
          <t>OPC 40450-1 Section 11.1 CU-40</t>
        </is>
      </c>
      <c r="K11" s="98" t="n"/>
      <c r="L11" s="27" t="n"/>
      <c r="M11" s="28" t="n"/>
      <c r="N11" s="28" t="n"/>
    </row>
    <row r="12" ht="38.7" customHeight="1" s="132">
      <c r="A12" s="87" t="n"/>
      <c r="B12" s="88" t="n"/>
      <c r="C12" s="89" t="n">
        <v>1</v>
      </c>
      <c r="D12" s="89" t="inlineStr">
        <is>
          <t>Call AcknowledgeResults with a ResultId that does not exist on the server.</t>
        </is>
      </c>
      <c r="E12" s="89" t="inlineStr">
        <is>
          <t>AcknowledgeResults method available.</t>
        </is>
      </c>
      <c r="F12" s="89" t="inlineStr">
        <is>
          <t>If the method executes, Call ServiceResult is Good. Output Error is non-zero. ErrorPerResultId has the same length as ResultIds and the fabricated ResultId entry is non-zero. No acknowledgement state changes. If the method itself is unsupported or not executable, the call may return a documented Bad_* method/service status.</t>
        </is>
      </c>
      <c r="G12" s="89" t="inlineStr">
        <is>
          <t>Good / Bad_XXX</t>
        </is>
      </c>
      <c r="H12" s="89" t="inlineStr">
        <is>
          <t>If Good: Error != 0; ErrorPerResultId[0] != 0; no acknowledgement side effect</t>
        </is>
      </c>
      <c r="I12" s="89" t="n"/>
      <c r="J12" s="89" t="inlineStr">
        <is>
          <t>OPC 40450-1 Section 11.1 CU-40</t>
        </is>
      </c>
      <c r="K12" s="90" t="inlineStr">
        <is>
          <t>Source: Machinery Result AcknowledgeResults outputs ErrorPerResultId and Error; avoid requiring a specific Bad_NodeIdUnknown/Bad_NotFound ServiceResult for unknown domain ResultIds.</t>
        </is>
      </c>
      <c r="L12" s="27" t="n"/>
      <c r="M12" s="28" t="n"/>
      <c r="N12" s="28" t="n"/>
    </row>
    <row r="13">
      <c r="A13" s="112" t="inlineStr">
        <is>
          <t>n</t>
        </is>
      </c>
      <c r="B13" s="113" t="n">
        <v>4</v>
      </c>
      <c r="C13" s="114" t="n">
        <v>0</v>
      </c>
      <c r="D13" s="114" t="inlineStr">
        <is>
          <t>[Optional helper — empty resultIds[] behavior test] Call AcknowledgeResults with empty resultIds[]; behavior is not specified as acknowledge-all per Table 12</t>
        </is>
      </c>
      <c r="E13" s="114" t="n"/>
      <c r="F13" s="114" t="n"/>
      <c r="G13" s="114" t="n"/>
      <c r="H13" s="114" t="n"/>
      <c r="I13" s="114" t="inlineStr">
        <is>
          <t>n</t>
        </is>
      </c>
      <c r="J13" s="114" t="inlineStr">
        <is>
          <t>OPC 40450-1 Section 11.1 CU-40</t>
        </is>
      </c>
      <c r="K13" s="115" t="n"/>
      <c r="L13" s="27" t="n"/>
      <c r="M13" s="28" t="n"/>
      <c r="N13" s="28" t="n"/>
    </row>
    <row r="14" ht="39" customHeight="1" s="132">
      <c r="A14" s="116" t="n"/>
      <c r="B14" s="117" t="n"/>
      <c r="C14" s="118" t="n">
        <v>1</v>
      </c>
      <c r="D14" s="118" t="inlineStr">
        <is>
          <t>Call AcknowledgeResults with empty ResultId array.</t>
        </is>
      </c>
      <c r="E14" s="118" t="inlineStr">
        <is>
          <t>AcknowledgeResults method available. If no-side-effect verification is performed, at least one known unacknowledged ResultId exists before the call.</t>
        </is>
      </c>
      <c r="F14" s="118" t="inlineStr">
        <is>
          <t>[Optional helper expected result] Server either rejects empty resultIds[] (Bad_InvalidArgument, Bad_NothingToDo, or method-specific equivalent) or returns Good with no wildcard acknowledgement side effect. If a known unacknowledged ResultId existed before the call and ServiceResult is Good, that ResultId remains unacknowledged. Empty resultIds[] is not a specification-defined wildcard for all results.</t>
        </is>
      </c>
      <c r="G14" s="118" t="inlineStr">
        <is>
          <t>Good / Bad_XXX</t>
        </is>
      </c>
      <c r="H14" s="118" t="inlineStr">
        <is>
          <t>If ServiceResult = Good: output error/errorPerResultId indicates no-op or implementation-specific handling; no all-results acknowledgement side effect</t>
        </is>
      </c>
      <c r="I14" s="118" t="n"/>
      <c r="J14" s="118" t="inlineStr">
        <is>
          <t>OPC 40450-1 Section 11.1 CU-40</t>
        </is>
      </c>
      <c r="K14" s="119" t="inlineStr">
        <is>
          <t>Table 12 does not define empty resultIds[] behavior. This optional helper tests implementation-specific handling.</t>
        </is>
      </c>
      <c r="L14" s="27" t="n"/>
      <c r="M14" s="28" t="n"/>
      <c r="N14" s="28" t="n"/>
    </row>
    <row r="15" ht="26.1" customHeight="1" s="132">
      <c r="A15" s="112" t="inlineStr">
        <is>
          <t>n</t>
        </is>
      </c>
      <c r="B15" s="113" t="n">
        <v>5</v>
      </c>
      <c r="C15" s="114" t="n">
        <v>0</v>
      </c>
      <c r="D15" s="114" t="inlineStr">
        <is>
          <t>Call AcknowledgeResults with already-acknowledged ResultIds</t>
        </is>
      </c>
      <c r="E15" s="114" t="n"/>
      <c r="F15" s="114" t="n"/>
      <c r="G15" s="114" t="n"/>
      <c r="H15" s="114" t="n"/>
      <c r="I15" s="114" t="inlineStr">
        <is>
          <t>n</t>
        </is>
      </c>
      <c r="J15" s="114" t="inlineStr">
        <is>
          <t>OPC 40450-1 Section 11.1 CU-40</t>
        </is>
      </c>
      <c r="K15" s="115" t="n"/>
      <c r="L15" s="27" t="n"/>
      <c r="M15" s="28" t="n"/>
      <c r="N15" s="28" t="n"/>
    </row>
    <row r="16">
      <c r="A16" s="116" t="n"/>
      <c r="B16" s="117" t="n"/>
      <c r="C16" s="118" t="n">
        <v>1</v>
      </c>
      <c r="D16" s="118" t="inlineStr">
        <is>
          <t>Acknowledge a result. Call again with same ResultIds.</t>
        </is>
      </c>
      <c r="E16" s="118" t="inlineStr">
        <is>
          <t>Server claims this Conformance Unit; no additional runtime setup is needed for this step.</t>
        </is>
      </c>
      <c r="F16" s="118" t="inlineStr">
        <is>
          <t>Returns Good (idempotent) or Bad_InvalidState.</t>
        </is>
      </c>
      <c r="G16" s="118" t="inlineStr">
        <is>
          <t>Good</t>
        </is>
      </c>
      <c r="H16" s="118" t="n"/>
      <c r="I16" s="118" t="n"/>
      <c r="J16" s="118" t="inlineStr">
        <is>
          <t>OPC 40450-1 Section 11.1 CU-40</t>
        </is>
      </c>
      <c r="K16" s="119" t="inlineStr">
        <is>
          <t>Requirement source: OPC 40450-1 Section 7.5 - Idempotent behavior expected.</t>
        </is>
      </c>
      <c r="L16" s="27" t="n"/>
      <c r="M16" s="28" t="n"/>
      <c r="N16" s="28" t="n"/>
    </row>
    <row r="17">
      <c r="A17" s="112" t="inlineStr">
        <is>
          <t>n</t>
        </is>
      </c>
      <c r="B17" s="113" t="n">
        <v>6</v>
      </c>
      <c r="C17" s="114" t="n">
        <v>0</v>
      </c>
      <c r="D17" s="114" t="inlineStr">
        <is>
          <t>AR-6 (error): Call AcknowledgeResults with multiple fabricated ResultIds; verify per-result errors</t>
        </is>
      </c>
      <c r="E17" s="114" t="n"/>
      <c r="F17" s="114" t="n"/>
      <c r="G17" s="114" t="n"/>
      <c r="H17" s="114" t="n"/>
      <c r="I17" s="114" t="inlineStr">
        <is>
          <t>n</t>
        </is>
      </c>
      <c r="J17" s="114" t="inlineStr">
        <is>
          <t>OPC 40450-1 Section 11.1 CU-40</t>
        </is>
      </c>
      <c r="K17" s="115" t="n"/>
      <c r="L17" s="27" t="n"/>
      <c r="M17" s="28" t="n"/>
      <c r="N17" s="28" t="n"/>
    </row>
    <row r="18">
      <c r="A18" s="116" t="n"/>
      <c r="B18" s="117" t="n"/>
      <c r="C18" s="118" t="n">
        <v>1</v>
      </c>
      <c r="D18" s="118" t="inlineStr">
        <is>
          <t>Call AcknowledgeResults with two fabricated ResultIds.</t>
        </is>
      </c>
      <c r="E18" s="118" t="inlineStr">
        <is>
          <t>AcknowledgeResults method available. Two fabricated ResultIds are supplied.</t>
        </is>
      </c>
      <c r="F18" s="118" t="inlineStr">
        <is>
          <t>If the method executes, Call ServiceResult is Good. Output Error is non-zero. ErrorPerResultId has one non-zero entry for each fabricated ResultId. No acknowledgement state changes.</t>
        </is>
      </c>
      <c r="G18" s="118" t="inlineStr">
        <is>
          <t>Good / Bad_XXX</t>
        </is>
      </c>
      <c r="H18" s="118" t="inlineStr">
        <is>
          <t>If Good: Error != 0; ErrorPerResultId length matches ResultIds; each fabricated ID entry != 0</t>
        </is>
      </c>
      <c r="I18" s="118" t="n"/>
      <c r="J18" s="118" t="inlineStr">
        <is>
          <t>OPC 40450-1 Section 11.1 CU-40</t>
        </is>
      </c>
      <c r="K18" s="119" t="inlineStr">
        <is>
          <t>Source: Machinery Result Table 12 Error/ErrorPerResultId outputs for per-ResultId acknowledgement failures.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7.xml><?xml version="1.0" encoding="utf-8"?>
<worksheet xmlns="http://schemas.openxmlformats.org/spreadsheetml/2006/main">
  <sheetPr codeName="Sheet4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CU-41: Request Unacknowledged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CU-41 — Request Unacknowledged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RUR-1: Call RequestUnacknowledgedResults; verify returns list of unacknowledged ResultIds</t>
        </is>
      </c>
      <c r="E4" s="58" t="n"/>
      <c r="F4" s="58" t="n"/>
      <c r="G4" s="58" t="n"/>
      <c r="H4" s="58" t="n"/>
      <c r="I4" s="58" t="inlineStr">
        <is>
          <t>n</t>
        </is>
      </c>
      <c r="J4" s="58" t="inlineStr">
        <is>
          <t>OPC 40450-1 Section 11.1 CU-41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MethodSet for RequestUnacknowledgedResults method. Call with MaxResults (e.g. 10) and RequestedMinimumDurationBetweenResults (e.g. 0).</t>
        </is>
      </c>
      <c r="E5" s="89" t="inlineStr">
        <is>
          <t>RequestUnacknowledgedResults method present and executable. At least one unacknowledged result available.</t>
        </is>
      </c>
      <c r="F5" s="89" t="inlineStr">
        <is>
          <t>Method returns StatusCode = Good. Output: RevisedMinimumDurationBetweenResults ≥ 0, UnacknowledgedResultCount ≥ 0, Status (Int64), StatusMessage (LocalizedText).</t>
        </is>
      </c>
      <c r="G5" s="89" t="inlineStr">
        <is>
          <t>Good</t>
        </is>
      </c>
      <c r="H5" s="89" t="inlineStr">
        <is>
          <t>Good returned; output = non-empty ResultId array when unacknowledged results exist</t>
        </is>
      </c>
      <c r="I5" s="89" t="n"/>
      <c r="J5" s="89" t="inlineStr">
        <is>
          <t>OPC 40450-1 Section 11.1 CU-41</t>
        </is>
      </c>
      <c r="K5" s="90" t="n"/>
      <c r="L5" s="27" t="n"/>
      <c r="M5" s="28" t="n"/>
      <c r="N5" s="28" t="n"/>
    </row>
    <row r="6" ht="51.9" customHeight="1" s="132">
      <c r="A6" s="56" t="inlineStr">
        <is>
          <t>y</t>
        </is>
      </c>
      <c r="B6" s="57" t="n">
        <v>2</v>
      </c>
      <c r="C6" s="58" t="n">
        <v>0</v>
      </c>
      <c r="D6" s="58" t="inlineStr">
        <is>
          <t>RUR-2: Generate a result, leave it unacknowledged, call RequestUnacknowledgedResults, and verify the new ResultId appears</t>
        </is>
      </c>
      <c r="E6" s="58" t="n"/>
      <c r="F6" s="58" t="n"/>
      <c r="G6" s="58" t="n"/>
      <c r="H6" s="58" t="n"/>
      <c r="I6" s="58" t="inlineStr">
        <is>
          <t>n</t>
        </is>
      </c>
      <c r="J6" s="58" t="inlineStr">
        <is>
          <t>OPC 40450-1 Section 11.1 CU-41</t>
        </is>
      </c>
      <c r="K6" s="74" t="n"/>
      <c r="L6" s="27" t="n"/>
      <c r="M6" s="28" t="n"/>
      <c r="N6" s="28" t="n"/>
    </row>
    <row r="7" ht="39" customHeight="1" s="132">
      <c r="A7" s="87" t="n"/>
      <c r="B7" s="88" t="n"/>
      <c r="C7" s="89" t="n">
        <v>1</v>
      </c>
      <c r="D7" s="89" t="inlineStr">
        <is>
          <t>Trigger a joining operation to generate a new result. Do NOT call AcknowledgeResults. Call RequestUnacknowledgedResults with MaxResults=100, RequestedMinimumDurationBetweenResults=0.</t>
        </is>
      </c>
      <c r="E7" s="89" t="inlineStr">
        <is>
          <t>Joining operation executable from test. New result generated with known ResultId.</t>
        </is>
      </c>
      <c r="F7" s="89" t="inlineStr">
        <is>
          <t>UnacknowledgedResultCount ≥ 1. The newly generated result is delivered via RequestedResultEventType or RequestedResultVariable. Status = 0 (success).</t>
        </is>
      </c>
      <c r="G7" s="89" t="inlineStr">
        <is>
          <t>Good</t>
        </is>
      </c>
      <c r="H7" s="89" t="inlineStr">
        <is>
          <t>New ResultId present in RequestUnacknowledgedResults response array</t>
        </is>
      </c>
      <c r="I7" s="89" t="n"/>
      <c r="J7" s="89" t="inlineStr">
        <is>
          <t>OPC 40450-1 Section 11.1 CU-41</t>
        </is>
      </c>
      <c r="K7" s="90" t="n"/>
      <c r="L7" s="27" t="n"/>
      <c r="M7" s="28" t="n"/>
      <c r="N7" s="28" t="n"/>
    </row>
    <row r="8" ht="39" customHeight="1" s="132">
      <c r="A8" s="56" t="inlineStr">
        <is>
          <t>y</t>
        </is>
      </c>
      <c r="B8" s="57" t="n">
        <v>3</v>
      </c>
      <c r="C8" s="58" t="n">
        <v>0</v>
      </c>
      <c r="D8" s="58" t="inlineStr">
        <is>
          <t>RUR-3: Call AcknowledgeResults then RequestUnacknowledgedResults; verify acknowledged result not in list</t>
        </is>
      </c>
      <c r="E8" s="58" t="n"/>
      <c r="F8" s="58" t="n"/>
      <c r="G8" s="58" t="n"/>
      <c r="H8" s="58" t="n"/>
      <c r="I8" s="58" t="inlineStr">
        <is>
          <t>n</t>
        </is>
      </c>
      <c r="J8" s="58" t="inlineStr">
        <is>
          <t>OPC 40450-1 Section 11.1 CU-41</t>
        </is>
      </c>
      <c r="K8" s="74" t="n"/>
      <c r="L8" s="27" t="n"/>
      <c r="M8" s="28" t="n"/>
      <c r="N8" s="28" t="n"/>
    </row>
    <row r="9" ht="64.5" customHeight="1" s="132">
      <c r="A9" s="87" t="n"/>
      <c r="B9" s="88" t="n"/>
      <c r="C9" s="89" t="n">
        <v>1</v>
      </c>
      <c r="D9" s="89" t="inlineStr">
        <is>
          <t>Obtain a ResultId. Call AcknowledgeResults with that ResultId (Good). Then call RequestUnacknowledgedResults.</t>
        </is>
      </c>
      <c r="E9" s="89" t="inlineStr">
        <is>
          <t>AcknowledgeResults available. One unacknowledged result with known ResultId.</t>
        </is>
      </c>
      <c r="F9" s="89" t="inlineStr">
        <is>
          <t>The acknowledged ResultId does not appear in the RequestUnacknowledgedResults response. The acknowledgement is persistent: repeated calls to RequestUnacknowledgedResults confirm the ResultId remains absent.</t>
        </is>
      </c>
      <c r="G9" s="89" t="inlineStr">
        <is>
          <t>Good</t>
        </is>
      </c>
      <c r="H9" s="89" t="inlineStr">
        <is>
          <t>Acknowledged ResultId absent from RequestUnacknowledgedResults response; state is persistent</t>
        </is>
      </c>
      <c r="I9" s="89" t="n"/>
      <c r="J9" s="89" t="inlineStr">
        <is>
          <t>OPC 40450-1 Section 11.1 CU-41</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4</v>
      </c>
      <c r="C11" s="97" t="n">
        <v>0</v>
      </c>
      <c r="D11" s="97" t="inlineStr">
        <is>
          <t>[Optional helper — MaxResults=0 validity test] RUR-4: Call with MaxResults=0; verify server delivers all unacknowledged results (0 means no limit per specification).</t>
        </is>
      </c>
      <c r="E11" s="97" t="n"/>
      <c r="F11" s="97" t="inlineStr">
        <is>
          <t>[Optional helper expected result] Method returns Good. MaxResults=0 means no upper bound — server delivers all unacknowledged results.</t>
        </is>
      </c>
      <c r="G11" s="97" t="n"/>
      <c r="H11" s="97" t="n"/>
      <c r="I11" s="97" t="inlineStr">
        <is>
          <t>n</t>
        </is>
      </c>
      <c r="J11" s="97" t="inlineStr">
        <is>
          <t>OPC 40450-1 Section 11.1 CU-41</t>
        </is>
      </c>
      <c r="K11" s="98" t="n"/>
      <c r="L11" s="27" t="n"/>
      <c r="M11" s="28" t="n"/>
      <c r="N11" s="28" t="n"/>
    </row>
    <row r="12" ht="51.6" customHeight="1" s="132">
      <c r="A12" s="87" t="n"/>
      <c r="B12" s="88" t="n"/>
      <c r="C12" s="89" t="n">
        <v>1</v>
      </c>
      <c r="D12" s="89" t="inlineStr">
        <is>
          <t>Call RequestUnacknowledgedResults with MaxResults=0, RequestedMinimumDurationBetweenResults=0 when at least one unacknowledged result exists.</t>
        </is>
      </c>
      <c r="E12" s="89" t="inlineStr">
        <is>
          <t>RequestUnacknowledgedResults method available. At least one unacknowledged result is stored.</t>
        </is>
      </c>
      <c r="F12" s="89" t="inlineStr">
        <is>
          <t>Method returns Good. All unacknowledged results are delivered (no upper bound). UnacknowledgedResultCount matches total unacknowledged count. Status = 0.</t>
        </is>
      </c>
      <c r="G12" s="89" t="inlineStr">
        <is>
          <t>Good</t>
        </is>
      </c>
      <c r="H12" s="89" t="inlineStr">
        <is>
          <t>StatusCode = Good; all unacknowledged results delivered; MaxResults=0 is valid per specification</t>
        </is>
      </c>
      <c r="I12" s="89" t="n"/>
      <c r="J12" s="89" t="inlineStr">
        <is>
          <t>OPC 40450-1 Section 11.1 CU-41</t>
        </is>
      </c>
      <c r="K12" s="90" t="n"/>
      <c r="L12" s="27" t="n"/>
      <c r="M12" s="28" t="n"/>
      <c r="N12" s="28" t="n"/>
    </row>
    <row r="13">
      <c r="A13" s="112" t="inlineStr">
        <is>
          <t>n</t>
        </is>
      </c>
      <c r="B13" s="113" t="n">
        <v>5</v>
      </c>
      <c r="C13" s="114" t="n">
        <v>0</v>
      </c>
      <c r="D13" s="114" t="inlineStr">
        <is>
          <t>Call RequestUnacknowledgedResults when none exist</t>
        </is>
      </c>
      <c r="E13" s="114" t="n"/>
      <c r="F13" s="114" t="n"/>
      <c r="G13" s="114" t="n"/>
      <c r="H13" s="114" t="n"/>
      <c r="I13" s="114" t="inlineStr">
        <is>
          <t>n</t>
        </is>
      </c>
      <c r="J13" s="114" t="inlineStr">
        <is>
          <t>OPC 40450-1 Section 11.1 CU-41</t>
        </is>
      </c>
      <c r="K13" s="115" t="n"/>
      <c r="L13" s="27" t="n"/>
      <c r="M13" s="28" t="n"/>
      <c r="N13" s="28" t="n"/>
    </row>
    <row r="14" ht="39" customHeight="1" s="132">
      <c r="A14" s="116" t="n"/>
      <c r="B14" s="117" t="n"/>
      <c r="C14" s="118" t="n">
        <v>1</v>
      </c>
      <c r="D14" s="118" t="inlineStr">
        <is>
          <t>Acknowledge all results. Call RequestUnacknowledgedResults.</t>
        </is>
      </c>
      <c r="E14" s="118" t="inlineStr">
        <is>
          <t>Server claims this Conformance Unit; no additional runtime setup is needed for this step.</t>
        </is>
      </c>
      <c r="F14" s="118" t="inlineStr">
        <is>
          <t>Returns Good with empty result list.</t>
        </is>
      </c>
      <c r="G14" s="118" t="inlineStr">
        <is>
          <t>Good</t>
        </is>
      </c>
      <c r="H14" s="118" t="n"/>
      <c r="I14" s="118" t="n"/>
      <c r="J14" s="118" t="inlineStr">
        <is>
          <t>OPC 40450-1 Section 11.1 CU-41</t>
        </is>
      </c>
      <c r="K14" s="119" t="inlineStr">
        <is>
          <t>Requirement source: OPC 40450-1 Section 7.5 - No unacknowledged results.</t>
        </is>
      </c>
      <c r="L14" s="27" t="n"/>
      <c r="M14" s="28" t="n"/>
      <c r="N14" s="28" t="n"/>
    </row>
    <row r="15" ht="26.1" customHeight="1" s="132">
      <c r="A15" s="112" t="inlineStr">
        <is>
          <t>n</t>
        </is>
      </c>
      <c r="B15" s="113" t="n">
        <v>6</v>
      </c>
      <c r="C15" s="114" t="n">
        <v>0</v>
      </c>
      <c r="D15" s="114" t="inlineStr">
        <is>
          <t>Call RequestUnacknowledgedResults without prior AcknowledgeResults</t>
        </is>
      </c>
      <c r="E15" s="114" t="n"/>
      <c r="F15" s="114" t="n"/>
      <c r="G15" s="114" t="n"/>
      <c r="H15" s="114" t="n"/>
      <c r="I15" s="114" t="inlineStr">
        <is>
          <t>n</t>
        </is>
      </c>
      <c r="J15" s="114" t="inlineStr">
        <is>
          <t>OPC 40450-1 Section 11.1 CU-41</t>
        </is>
      </c>
      <c r="K15" s="115" t="n"/>
      <c r="L15" s="27" t="n"/>
      <c r="M15" s="28" t="n"/>
      <c r="N15" s="28" t="n"/>
    </row>
    <row r="16">
      <c r="A16" s="116" t="n"/>
      <c r="B16" s="117" t="n"/>
      <c r="C16" s="118" t="n">
        <v>1</v>
      </c>
      <c r="D16" s="118" t="inlineStr">
        <is>
          <t>Without acknowledging, call RequestUnacknowledgedResults.</t>
        </is>
      </c>
      <c r="E16" s="118" t="inlineStr">
        <is>
          <t>Server claims this Conformance Unit; no additional runtime setup is needed for this step.</t>
        </is>
      </c>
      <c r="F16" s="118" t="inlineStr">
        <is>
          <t>Returns Good with all available result IDs.</t>
        </is>
      </c>
      <c r="G16" s="118" t="inlineStr">
        <is>
          <t>Good</t>
        </is>
      </c>
      <c r="H16" s="118" t="n"/>
      <c r="I16" s="118" t="n"/>
      <c r="J16" s="118" t="inlineStr">
        <is>
          <t>OPC 40450-1 Section 11.1 CU-41</t>
        </is>
      </c>
      <c r="K16" s="119" t="inlineStr">
        <is>
          <t>Requirement source: OPC 40450-1 Section 7.5 - All results unacknowledged.</t>
        </is>
      </c>
      <c r="L16" s="27" t="n"/>
      <c r="M16" s="28" t="n"/>
      <c r="N16" s="28" t="n"/>
    </row>
    <row r="17">
      <c r="A17" s="112" t="inlineStr">
        <is>
          <t>n</t>
        </is>
      </c>
      <c r="B17" s="113" t="n">
        <v>7</v>
      </c>
      <c r="C17" s="114" t="n">
        <v>0</v>
      </c>
      <c r="D17" s="114" t="inlineStr">
        <is>
          <t>Verify RequestUnacknowledgedResults prevents duplicate delivery</t>
        </is>
      </c>
      <c r="E17" s="114" t="n"/>
      <c r="F17" s="114" t="n"/>
      <c r="G17" s="114" t="n"/>
      <c r="H17" s="114" t="n"/>
      <c r="I17" s="114" t="inlineStr">
        <is>
          <t>n</t>
        </is>
      </c>
      <c r="J17" s="114" t="inlineStr">
        <is>
          <t>OPC 40450-1 Section 11.1 CU-41</t>
        </is>
      </c>
      <c r="K17" s="115" t="n"/>
      <c r="L17" s="27" t="n"/>
      <c r="M17" s="28" t="n"/>
      <c r="N17" s="28" t="n"/>
    </row>
    <row r="18">
      <c r="A18" s="116" t="n"/>
      <c r="B18" s="117" t="n"/>
      <c r="C18" s="118" t="n">
        <v>1</v>
      </c>
      <c r="D18" s="118" t="inlineStr">
        <is>
          <t>Call RequestUnacknowledgedResults twice.</t>
        </is>
      </c>
      <c r="E18" s="118" t="inlineStr">
        <is>
          <t>Server claims this Conformance Unit; no additional runtime setup is needed for this step.</t>
        </is>
      </c>
      <c r="F18" s="118" t="inlineStr">
        <is>
          <t>Second call returns fewer or no results.</t>
        </is>
      </c>
      <c r="G18" s="118" t="inlineStr">
        <is>
          <t>Good</t>
        </is>
      </c>
      <c r="H18" s="118" t="n"/>
      <c r="I18" s="118" t="n"/>
      <c r="J18" s="118" t="inlineStr">
        <is>
          <t>OPC 40450-1 Section 11.1 CU-41</t>
        </is>
      </c>
      <c r="K18" s="119" t="inlineStr">
        <is>
          <t>Requirement source: OPC 40450-1 Section 7.5 - Results may be marked as sent.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8.xml><?xml version="1.0" encoding="utf-8"?>
<worksheet xmlns="http://schemas.openxmlformats.org/spreadsheetml/2006/main">
  <sheetPr codeName="Sheet4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CU-42: Asset Management Controller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CU-42 — Asset Management Controller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AMC-1 Verify AssetManagement/Controllers folder is browsable</t>
        </is>
      </c>
      <c r="E4" s="58" t="n"/>
      <c r="F4" s="58" t="n"/>
      <c r="G4" s="58" t="n"/>
      <c r="H4" s="58" t="n"/>
      <c r="I4" s="58" t="n"/>
      <c r="J4" s="58" t="inlineStr">
        <is>
          <t>OPC 40450-1 Section 7.4 (CU-42)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Enumerate child nodes and locate the Controllers folder.</t>
        </is>
      </c>
      <c r="E5" s="89" t="inlineStr">
        <is>
          <t>OPC UA session established. JoiningSystemType instance accessible. CU-42 declared.</t>
        </is>
      </c>
      <c r="F5" s="89" t="inlineStr">
        <is>
          <t>Controllers folder node is present as a child of AssetManagement. NodeClass = Object. BrowseName = "Controllers".</t>
        </is>
      </c>
      <c r="G5" s="89" t="inlineStr">
        <is>
          <t>Good</t>
        </is>
      </c>
      <c r="H5" s="89" t="inlineStr">
        <is>
          <t>Good</t>
        </is>
      </c>
      <c r="I5" s="89" t="n"/>
      <c r="J5" s="89" t="inlineStr">
        <is>
          <t>OPC 40450-1 Section 7.4 (CU-42)</t>
        </is>
      </c>
      <c r="K5" s="90" t="n"/>
      <c r="L5" s="27" t="n"/>
      <c r="M5" s="28" t="n"/>
      <c r="N5" s="28" t="n"/>
    </row>
    <row r="6" ht="26.1" customHeight="1" s="132">
      <c r="A6" s="56" t="inlineStr">
        <is>
          <t>y</t>
        </is>
      </c>
      <c r="B6" s="57" t="n">
        <v>2</v>
      </c>
      <c r="C6" s="58" t="n">
        <v>0</v>
      </c>
      <c r="D6" s="58" t="inlineStr">
        <is>
          <t>AMC-2 Verify at least one Controller instance with IControllerType</t>
        </is>
      </c>
      <c r="E6" s="58" t="n"/>
      <c r="F6" s="58" t="n"/>
      <c r="G6" s="58" t="n"/>
      <c r="H6" s="58" t="n"/>
      <c r="I6" s="58" t="n"/>
      <c r="J6" s="58" t="inlineStr">
        <is>
          <t>OPC 40450-1 Section 7.4 (CU-42)</t>
        </is>
      </c>
      <c r="K6" s="74" t="n"/>
      <c r="L6" s="27" t="n"/>
      <c r="M6" s="28" t="n"/>
      <c r="N6" s="28" t="n"/>
    </row>
    <row r="7" ht="51.9" customHeight="1" s="132">
      <c r="A7" s="87" t="n"/>
      <c r="B7" s="88" t="n"/>
      <c r="C7" s="89" t="n">
        <v>1</v>
      </c>
      <c r="D7" s="89" t="inlineStr">
        <is>
          <t>Browse the Controllers folder. Enumerate child Objects.</t>
        </is>
      </c>
      <c r="E7" s="89" t="inlineStr">
        <is>
          <t>Controllers folder accessible (AMC-1 passed).</t>
        </is>
      </c>
      <c r="F7" s="89" t="inlineStr">
        <is>
          <t>At least one child Object is present. Its TypeDefinition hierarchy includes IControllerType (either directly or via subtype).</t>
        </is>
      </c>
      <c r="G7" s="89" t="inlineStr">
        <is>
          <t>Good</t>
        </is>
      </c>
      <c r="H7" s="89" t="inlineStr">
        <is>
          <t>Good</t>
        </is>
      </c>
      <c r="I7" s="89" t="n"/>
      <c r="J7" s="89" t="inlineStr">
        <is>
          <t>OPC 40450-1 Section 7.4 (CU-42)</t>
        </is>
      </c>
      <c r="K7" s="90" t="n"/>
      <c r="L7" s="27" t="n"/>
      <c r="M7" s="28" t="n"/>
      <c r="N7" s="28" t="n"/>
    </row>
    <row r="8" ht="39" customHeight="1" s="132">
      <c r="A8" s="87" t="n"/>
      <c r="B8" s="88" t="n"/>
      <c r="C8" s="89" t="n">
        <v>2</v>
      </c>
      <c r="D8" s="89" t="inlineStr">
        <is>
          <t>Read the TypeDefinition attribute (HasTypeDefinition Reference) of the Controller instance.</t>
        </is>
      </c>
      <c r="E8" s="89" t="inlineStr">
        <is>
          <t>Controller NodeId known from Step 1.</t>
        </is>
      </c>
      <c r="F8" s="89" t="inlineStr">
        <is>
          <t>TypeDefinition resolves to IControllerType or a subtype thereof. NodeClass of the instance = Object.</t>
        </is>
      </c>
      <c r="G8" s="89" t="inlineStr">
        <is>
          <t>Good</t>
        </is>
      </c>
      <c r="H8" s="89" t="inlineStr">
        <is>
          <t>Good</t>
        </is>
      </c>
      <c r="I8" s="89" t="n"/>
      <c r="J8" s="89" t="inlineStr">
        <is>
          <t>OPC 40450-1 Section 7.4 (CU-42)</t>
        </is>
      </c>
      <c r="K8" s="90" t="n"/>
      <c r="L8" s="27" t="n"/>
      <c r="M8" s="28" t="n"/>
      <c r="N8" s="28" t="n"/>
    </row>
    <row r="9">
      <c r="A9" s="56" t="inlineStr">
        <is>
          <t>y</t>
        </is>
      </c>
      <c r="B9" s="57" t="n">
        <v>3</v>
      </c>
      <c r="C9" s="58" t="n">
        <v>0</v>
      </c>
      <c r="D9" s="58" t="inlineStr">
        <is>
          <t>AMC-3 Read all mandatory IControllerType properties and verify non-null</t>
        </is>
      </c>
      <c r="E9" s="58" t="n"/>
      <c r="F9" s="58" t="n"/>
      <c r="G9" s="58" t="n"/>
      <c r="H9" s="58" t="n"/>
      <c r="I9" s="58" t="n"/>
      <c r="J9" s="58" t="inlineStr">
        <is>
          <t>OPC 40450-1 Section 7.4 (CU-42)</t>
        </is>
      </c>
      <c r="K9" s="74" t="n"/>
      <c r="L9" s="27" t="n"/>
      <c r="M9" s="28" t="n"/>
      <c r="N9" s="28" t="n"/>
    </row>
    <row r="10" ht="64.5" customHeight="1" s="132">
      <c r="A10" s="87" t="n"/>
      <c r="B10" s="88" t="n"/>
      <c r="C10" s="89" t="n">
        <v>1</v>
      </c>
      <c r="D10" s="89" t="inlineStr">
        <is>
          <t>For the Controller instance from AMC-2: read each mandatory property node: AssetId (String), Manufacturer (LocalizedText), Model (LocalizedText), SerialNumber (String), HardwareRevision (String), SoftwareRevision (String), ProductCode (String), ProductInstanceUri (String).</t>
        </is>
      </c>
      <c r="E10" s="89" t="inlineStr">
        <is>
          <t>Controller instance is available and its Identification AddIn is accessible.</t>
        </is>
      </c>
      <c r="F10" s="89" t="inlineStr">
        <is>
          <t>All eight properties are present (BrowseName matches). Each Read returns StatusCode = Good. No property value is null or empty string.</t>
        </is>
      </c>
      <c r="G10" s="89" t="inlineStr">
        <is>
          <t>Good</t>
        </is>
      </c>
      <c r="H10" s="89" t="inlineStr">
        <is>
          <t>Good</t>
        </is>
      </c>
      <c r="I10" s="89" t="n"/>
      <c r="J10" s="89" t="inlineStr">
        <is>
          <t>OPC 40450-1 Section 7.4 (CU-42)</t>
        </is>
      </c>
      <c r="K10" s="90" t="inlineStr">
        <is>
          <t>Requirement source: Controller's Identification AddIn MUST be of type MachineIdentificationType. Mandatory properties: ProductInstanceUri, Manufacturer, ManufacturerUri, Model, DeviceClass, SerialNumber, ProductCode. Parameters folder MUST include Type property.</t>
        </is>
      </c>
      <c r="L10" s="27" t="n"/>
      <c r="M10" s="28" t="n"/>
      <c r="N10" s="28" t="n"/>
    </row>
    <row r="11" ht="51.6" customHeight="1" s="132">
      <c r="A11" s="87" t="n"/>
      <c r="B11" s="88" t="n"/>
      <c r="C11" s="89" t="n">
        <v>2</v>
      </c>
      <c r="D11" s="89" t="inlineStr">
        <is>
          <t>Verify DataType of each property: AssetId=String, Manufacturer=LocalizedText, Model=LocalizedText, SerialNumber=String, HardwareRevision=String, SoftwareRevision=String, ProductCode=String, ProductInstanceUri=String.</t>
        </is>
      </c>
      <c r="E11" s="89" t="inlineStr">
        <is>
          <t>Property nodes accessible.</t>
        </is>
      </c>
      <c r="F11" s="89" t="inlineStr">
        <is>
          <t>Each property node DataType attribute matches the expected OPC UA built-in type. No DataType mismatch.</t>
        </is>
      </c>
      <c r="G11" s="89" t="inlineStr">
        <is>
          <t>Good</t>
        </is>
      </c>
      <c r="H11" s="89" t="inlineStr">
        <is>
          <t>Good</t>
        </is>
      </c>
      <c r="I11" s="89" t="n"/>
      <c r="J11" s="89" t="inlineStr">
        <is>
          <t>OPC 40450-1 Section 7.4 (CU-42)</t>
        </is>
      </c>
      <c r="K11" s="90" t="n"/>
    </row>
    <row r="12" customFormat="1" s="138">
      <c r="A12" s="56" t="inlineStr">
        <is>
          <t>y</t>
        </is>
      </c>
      <c r="B12" s="67" t="n">
        <v>4</v>
      </c>
      <c r="C12" s="67" t="n">
        <v>0</v>
      </c>
      <c r="D12" s="67" t="inlineStr">
        <is>
          <t>AMC-4 Verify ProductInstanceUri is unique across all Controller instances</t>
        </is>
      </c>
      <c r="E12" s="67" t="n"/>
      <c r="F12" s="67" t="n"/>
      <c r="G12" s="67" t="n"/>
      <c r="H12" s="67" t="n"/>
      <c r="I12" s="67" t="n"/>
      <c r="J12" s="67" t="inlineStr">
        <is>
          <t>OPC 40450-1 Section 7.4 (CU-42)</t>
        </is>
      </c>
      <c r="K12" s="74" t="n"/>
    </row>
    <row r="13" ht="38.7" customHeight="1" s="132">
      <c r="A13" s="63" t="n"/>
      <c r="B13" s="64" t="n"/>
      <c r="C13" s="65" t="n">
        <v>1</v>
      </c>
      <c r="D13" s="65" t="inlineStr">
        <is>
          <t>Read ProductInstanceUri from every Controller instance in the Controllers folder.</t>
        </is>
      </c>
      <c r="E13" s="65" t="inlineStr">
        <is>
          <t>Multiple Controller instances accessible, or at least one.</t>
        </is>
      </c>
      <c r="F13" s="65" t="inlineStr">
        <is>
          <t>All ProductInstanceUri values are non-empty strings. No two Controller instances share the same ProductInstanceUri value. Format should conform to a URI (e.g., "urn:..." or "http://...").</t>
        </is>
      </c>
      <c r="G13" s="65" t="inlineStr">
        <is>
          <t>Good</t>
        </is>
      </c>
      <c r="H13" s="65" t="inlineStr">
        <is>
          <t>Good</t>
        </is>
      </c>
      <c r="I13" s="65" t="n"/>
      <c r="J13" s="65" t="inlineStr">
        <is>
          <t>OPC 40450-1 Section 7.4 (CU-42)</t>
        </is>
      </c>
      <c r="K13" s="66" t="n"/>
    </row>
    <row r="14">
      <c r="A14" s="211" t="inlineStr">
        <is>
          <t>y</t>
        </is>
      </c>
      <c r="B14" s="211" t="n">
        <v>5</v>
      </c>
      <c r="C14" s="211" t="n">
        <v>0</v>
      </c>
      <c r="D14" s="211" t="inlineStr">
        <is>
          <t>AMC-5 Inspect access attributes for SerialNumber and mandatory Identification properties</t>
        </is>
      </c>
      <c r="E14" s="211" t="n"/>
      <c r="F14" s="211" t="n"/>
      <c r="G14" s="211" t="n"/>
      <c r="H14" s="211" t="n"/>
      <c r="I14" s="211" t="n"/>
      <c r="J14" s="211" t="inlineStr">
        <is>
          <t>OPC 40450-1 Section 7.4 (CU-42)</t>
        </is>
      </c>
      <c r="K14" s="211" t="inlineStr">
        <is>
          <t>Static attribute-inspection test; no device state change required.</t>
        </is>
      </c>
    </row>
    <row r="15" ht="51.6" customHeight="1" s="132">
      <c r="A15" s="212" t="n"/>
      <c r="B15" s="212" t="n"/>
      <c r="C15" s="212" t="n">
        <v>1</v>
      </c>
      <c r="D15" s="212" t="inlineStr">
        <is>
          <t>Read AccessLevel, UserAccessLevel, and AccessLevelEx when supported on SerialNumber and other mandatory Identification properties. Do not attempt a write unless a separate test explicitly verifies a writable method or variable.</t>
        </is>
      </c>
      <c r="E15" s="212" t="inlineStr">
        <is>
          <t>Controller instance accessible. Identification property NodeIds known.</t>
        </is>
      </c>
      <c r="F15" s="212" t="inlineStr">
        <is>
          <t>Attributes are readable and CurrentRead is set. CurrentWrite may be set or unset according to the specification/server profile; do not fail the CU solely because an Identification property is writable unless an explicit specification rule forbids writes.</t>
        </is>
      </c>
      <c r="G15" s="212" t="inlineStr">
        <is>
          <t>Good</t>
        </is>
      </c>
      <c r="H15" s="212" t="inlineStr">
        <is>
          <t>Good</t>
        </is>
      </c>
      <c r="I15" s="212" t="n"/>
      <c r="J15" s="212" t="inlineStr">
        <is>
          <t>OPC 40450-1 Section 7.4 (CU-42)</t>
        </is>
      </c>
      <c r="K15" s="212" t="n"/>
    </row>
    <row r="16" ht="38.7" customHeight="1" s="132">
      <c r="A16" s="67" t="inlineStr">
        <is>
          <t>y</t>
        </is>
      </c>
      <c r="B16" s="67" t="n">
        <v>6</v>
      </c>
      <c r="C16" s="67" t="n">
        <v>0</v>
      </c>
      <c r="D16" s="67" t="inlineStr">
        <is>
          <t>AMC-6 Verify JoiningTechnology property present on each Controller</t>
        </is>
      </c>
      <c r="E16" s="67" t="n"/>
      <c r="F16" s="67" t="n"/>
      <c r="G16" s="67" t="n"/>
      <c r="H16" s="67" t="n"/>
      <c r="I16" s="67" t="n"/>
      <c r="J16" s="67" t="inlineStr">
        <is>
          <t>OPC 40450-1 Section 7.4 (CU-42)</t>
        </is>
      </c>
      <c r="K16" s="67" t="n"/>
    </row>
    <row r="17" ht="25.8" customHeight="1" s="132">
      <c r="A17" s="61" t="n"/>
      <c r="B17" s="61" t="n"/>
      <c r="C17" s="61" t="n">
        <v>1</v>
      </c>
      <c r="D17" s="61" t="inlineStr">
        <is>
          <t>Browse each Controller instance. Locate the JoiningTechnology property (from IJoiningAdditionalInformationType).</t>
        </is>
      </c>
      <c r="E17" s="61" t="inlineStr">
        <is>
          <t>Controller instances accessible. CU-62 (IJoiningAdditionalInformationType) may also apply.</t>
        </is>
      </c>
      <c r="F17" s="61" t="inlineStr">
        <is>
          <t>JoiningTechnology property present on each Controller instance (per IJoiningAdditionalInformationType). DataType = LocalizedText. Read returns Good. Do not apply enum/non-zero semantics.</t>
        </is>
      </c>
      <c r="G17" s="61" t="inlineStr">
        <is>
          <t>Good</t>
        </is>
      </c>
      <c r="H17" s="61" t="inlineStr">
        <is>
          <t>Good</t>
        </is>
      </c>
      <c r="I17" s="61" t="n"/>
      <c r="J17" s="61" t="inlineStr">
        <is>
          <t>OPC 40450-1 Section 7.3 / Section 7.4 (CU-42 / CU-62)</t>
        </is>
      </c>
      <c r="K17" s="61" t="n"/>
    </row>
    <row r="18" ht="51.6"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AMC-7 (error): Attempt Write to SerialNumber only when effective access is non-writable</t>
        </is>
      </c>
      <c r="E19" s="69" t="n"/>
      <c r="F19" s="69" t="n"/>
      <c r="G19" s="69" t="n"/>
      <c r="H19" s="69" t="n"/>
      <c r="I19" s="69" t="n"/>
      <c r="J19" s="69" t="inlineStr">
        <is>
          <t>OPC 40450-1 Section 7.4 (CU-42)</t>
        </is>
      </c>
      <c r="K19" s="69" t="inlineStr">
        <is>
          <t>Static negative test — no device state change required</t>
        </is>
      </c>
    </row>
    <row r="20" ht="25.8" customHeight="1" s="132">
      <c r="A20" s="61" t="n"/>
      <c r="B20" s="61" t="n"/>
      <c r="C20" s="61" t="n">
        <v>1</v>
      </c>
      <c r="D20" s="61" t="inlineStr">
        <is>
          <t>If AccessLevel/UserAccessLevel for SerialNumber has no effective CurrentWrite bit, attempt a Write service call using any valid String value.</t>
        </is>
      </c>
      <c r="E20" s="61" t="inlineStr">
        <is>
          <t>Controller instance accessible. SerialNumber property NodeId known. AccessLevel/UserAccessLevel indicates no effective client write access.</t>
        </is>
      </c>
      <c r="F20" s="61" t="inlineStr">
        <is>
          <t>Write returns Bad_NotWritable or Bad_UserAccessDenied. SerialNumber value is unchanged on subsequent Read. If the server declares the property writable, use AMC-5 attribute inspection and do not fail CU-42 solely for writable access.</t>
        </is>
      </c>
      <c r="G20" s="61" t="inlineStr">
        <is>
          <t>Good</t>
        </is>
      </c>
      <c r="H20" s="61" t="inlineStr">
        <is>
          <t>Bad_NotWritable / Bad_UserAccessDenied</t>
        </is>
      </c>
      <c r="I20" s="61" t="n"/>
      <c r="J20" s="61" t="inlineStr">
        <is>
          <t>OPC 40450-1 Section 7.4 (CU-42)</t>
        </is>
      </c>
      <c r="K20" s="61" t="inlineStr">
        <is>
          <t>This is conditional on the server-declared access policy; it does not assert that all Identification properties are always read-only.</t>
        </is>
      </c>
    </row>
    <row r="21">
      <c r="A21" s="110" t="inlineStr">
        <is>
          <t>n</t>
        </is>
      </c>
      <c r="B21" s="110" t="n">
        <v>2</v>
      </c>
      <c r="C21" s="110" t="n">
        <v>0</v>
      </c>
      <c r="D21" s="110" t="inlineStr">
        <is>
          <t>Verify Controller implements IControllerType interface (mandatory)</t>
        </is>
      </c>
      <c r="E21" s="110" t="n"/>
      <c r="F21" s="110" t="n"/>
      <c r="G21" s="110" t="n"/>
      <c r="H21" s="110" t="n"/>
      <c r="I21" s="110" t="inlineStr">
        <is>
          <t>n</t>
        </is>
      </c>
      <c r="J21" s="110" t="inlineStr">
        <is>
          <t>OPC 40450-1 Section 11.1 CU-42</t>
        </is>
      </c>
      <c r="K21" s="110" t="n"/>
    </row>
    <row r="22" ht="25.8" customHeight="1" s="132">
      <c r="A22" s="111" t="n"/>
      <c r="B22" s="111" t="n"/>
      <c r="C22" s="111" t="n">
        <v>1</v>
      </c>
      <c r="D22" s="111" t="inlineStr">
        <is>
          <t>Browse Controller for HasInterface reference to IControllerType.</t>
        </is>
      </c>
      <c r="E22" s="111" t="inlineStr">
        <is>
          <t>Server claims this Conformance Unit; no additional runtime setup is needed for this step.</t>
        </is>
      </c>
      <c r="F22" s="111" t="inlineStr">
        <is>
          <t>HasInterface reference to IControllerType found.</t>
        </is>
      </c>
      <c r="G22" s="111" t="inlineStr">
        <is>
          <t>Good</t>
        </is>
      </c>
      <c r="H22" s="111" t="n"/>
      <c r="I22" s="111" t="n"/>
      <c r="J22" s="111" t="inlineStr">
        <is>
          <t>OPC 40450-1 Section 11.1 CU-42</t>
        </is>
      </c>
      <c r="K22" s="111" t="inlineStr">
        <is>
          <t>Requirement source: OPC 40450-1 Section 8.2 - Controller must implement IControllerType.</t>
        </is>
      </c>
    </row>
    <row r="23">
      <c r="A23" s="110" t="inlineStr">
        <is>
          <t>n</t>
        </is>
      </c>
      <c r="B23" s="110" t="n">
        <v>3</v>
      </c>
      <c r="C23" s="110" t="n">
        <v>0</v>
      </c>
      <c r="D23" s="110" t="inlineStr">
        <is>
          <t>Verify Identification ProductInstanceUri is non-empty</t>
        </is>
      </c>
      <c r="E23" s="110" t="n"/>
      <c r="F23" s="110" t="n"/>
      <c r="G23" s="110" t="n"/>
      <c r="H23" s="110" t="n"/>
      <c r="I23" s="110" t="inlineStr">
        <is>
          <t>n</t>
        </is>
      </c>
      <c r="J23" s="110" t="inlineStr">
        <is>
          <t>OPC 40450-1 Section 11.1 CU-42</t>
        </is>
      </c>
      <c r="K23" s="110" t="n"/>
    </row>
    <row r="24">
      <c r="A24" s="111" t="n"/>
      <c r="B24" s="111" t="n"/>
      <c r="C24" s="111" t="n">
        <v>1</v>
      </c>
      <c r="D24" s="111" t="inlineStr">
        <is>
          <t>Read ProductInstanceUri from Controller Identification.</t>
        </is>
      </c>
      <c r="E24" s="111" t="inlineStr">
        <is>
          <t>Server claims this Conformance Unit; no additional runtime setup is needed for this step.</t>
        </is>
      </c>
      <c r="F24" s="111" t="inlineStr">
        <is>
          <t>ProductInstanceUri is non-null, non-empty.</t>
        </is>
      </c>
      <c r="G24" s="111" t="inlineStr">
        <is>
          <t>Good</t>
        </is>
      </c>
      <c r="H24" s="111" t="n"/>
      <c r="I24" s="111" t="n"/>
      <c r="J24" s="111" t="inlineStr">
        <is>
          <t>OPC 40450-1 Section 11.1 CU-42</t>
        </is>
      </c>
      <c r="K24" s="111" t="inlineStr">
        <is>
          <t>Requirement source: OPC 40450-1 Section 8.2 - ProductInstanceUri is Mandatory TrimmedString.</t>
        </is>
      </c>
    </row>
    <row r="25">
      <c r="A25" s="110" t="inlineStr">
        <is>
          <t>n</t>
        </is>
      </c>
      <c r="B25" s="110" t="n">
        <v>4</v>
      </c>
      <c r="C25" s="110" t="n">
        <v>0</v>
      </c>
      <c r="D25" s="110" t="inlineStr">
        <is>
          <t>Verify Parameters.Type property is non-empty</t>
        </is>
      </c>
      <c r="E25" s="110" t="n"/>
      <c r="F25" s="110" t="n"/>
      <c r="G25" s="110" t="n"/>
      <c r="H25" s="110" t="n"/>
      <c r="I25" s="110" t="inlineStr">
        <is>
          <t>n</t>
        </is>
      </c>
      <c r="J25" s="110" t="inlineStr">
        <is>
          <t>OPC 40450-1 Section 11.1 CU-42</t>
        </is>
      </c>
      <c r="K25" s="110" t="n"/>
    </row>
    <row r="26">
      <c r="A26" s="111" t="n"/>
      <c r="B26" s="111" t="n"/>
      <c r="C26" s="111" t="n">
        <v>1</v>
      </c>
      <c r="D26" s="111" t="inlineStr">
        <is>
          <t>Read Parameters/Type from Controller.</t>
        </is>
      </c>
      <c r="E26" s="111" t="inlineStr">
        <is>
          <t>Server claims this Conformance Unit; no additional runtime setup is needed for this step.</t>
        </is>
      </c>
      <c r="F26" s="111" t="inlineStr">
        <is>
          <t>Type is non-null, non-empty string.</t>
        </is>
      </c>
      <c r="G26" s="111" t="inlineStr">
        <is>
          <t>Good</t>
        </is>
      </c>
      <c r="H26" s="111" t="n"/>
      <c r="I26" s="111" t="n"/>
      <c r="J26" s="111" t="inlineStr">
        <is>
          <t>OPC 40450-1 Section 11.1 CU-42</t>
        </is>
      </c>
      <c r="K26" s="111" t="inlineStr">
        <is>
          <t>Requirement source: OPC 40450-1 Section 8.2 - Type is Mandatory.</t>
        </is>
      </c>
    </row>
  </sheetData>
  <mergeCells count="2">
    <mergeCell ref="A1:K1"/>
    <mergeCell ref="C2:J2"/>
  </mergeCells>
  <pageMargins left="0.7" right="0.7" top="0.75" bottom="0.75" header="0.3" footer="0.3"/>
</worksheet>
</file>

<file path=xl/worksheets/sheet49.xml><?xml version="1.0" encoding="utf-8"?>
<worksheet xmlns="http://schemas.openxmlformats.org/spreadsheetml/2006/main">
  <sheetPr codeName="Sheet46">
    <tabColor rgb="FF2E75B6"/>
    <outlinePr summaryBelow="1" summaryRight="1"/>
    <pageSetUpPr/>
  </sheetPr>
  <dimension ref="A1:N2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CU-43: Asset Management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CU-43 — Asset Management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AMT-1 Verify AssetManagement/Tools folder is browsable</t>
        </is>
      </c>
      <c r="E4" s="58" t="n"/>
      <c r="F4" s="58" t="n"/>
      <c r="G4" s="58" t="n"/>
      <c r="H4" s="58" t="n"/>
      <c r="I4" s="58" t="n"/>
      <c r="J4" s="58" t="inlineStr">
        <is>
          <t>OPC 40450-1 Section 7.5 (CU-43)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Locate the Tools folder node.</t>
        </is>
      </c>
      <c r="E5" s="89" t="inlineStr">
        <is>
          <t>OPC UA session established. JoiningSystemType instance accessible. CU-43 declared.</t>
        </is>
      </c>
      <c r="F5" s="89" t="inlineStr">
        <is>
          <t>Tools folder node present as a child of AssetManagement. NodeClass = Object. BrowseName = "Tools".</t>
        </is>
      </c>
      <c r="G5" s="89" t="inlineStr">
        <is>
          <t>Good</t>
        </is>
      </c>
      <c r="H5" s="89" t="inlineStr">
        <is>
          <t>Good</t>
        </is>
      </c>
      <c r="I5" s="89" t="n"/>
      <c r="J5" s="89" t="inlineStr">
        <is>
          <t>OPC 40450-1 Section 7.5 (CU-43)</t>
        </is>
      </c>
      <c r="K5" s="90" t="n"/>
      <c r="L5" s="27" t="n"/>
      <c r="M5" s="28" t="n"/>
      <c r="N5" s="28" t="n"/>
    </row>
    <row r="6" ht="26.1" customHeight="1" s="132">
      <c r="A6" s="56" t="inlineStr">
        <is>
          <t>y</t>
        </is>
      </c>
      <c r="B6" s="57" t="n">
        <v>2</v>
      </c>
      <c r="C6" s="58" t="n">
        <v>0</v>
      </c>
      <c r="D6" s="58" t="inlineStr">
        <is>
          <t>AMT-2 Verify at least one Tool instance with IToolType TypeDefinition</t>
        </is>
      </c>
      <c r="E6" s="58" t="n"/>
      <c r="F6" s="58" t="n"/>
      <c r="G6" s="58" t="n"/>
      <c r="H6" s="58" t="n"/>
      <c r="I6" s="58" t="n"/>
      <c r="J6" s="58" t="inlineStr">
        <is>
          <t>OPC 40450-1 Section 7.5 (CU-43)</t>
        </is>
      </c>
      <c r="K6" s="74" t="n"/>
      <c r="L6" s="27" t="n"/>
      <c r="M6" s="28" t="n"/>
      <c r="N6" s="28" t="n"/>
    </row>
    <row r="7" ht="51.9" customHeight="1" s="132">
      <c r="A7" s="87" t="n"/>
      <c r="B7" s="88" t="n"/>
      <c r="C7" s="89" t="n">
        <v>1</v>
      </c>
      <c r="D7" s="89" t="inlineStr">
        <is>
          <t>Browse the Tools folder. Enumerate child Object instances.</t>
        </is>
      </c>
      <c r="E7" s="89" t="inlineStr">
        <is>
          <t>Tools folder accessible (AMT-1 passed).</t>
        </is>
      </c>
      <c r="F7" s="89" t="inlineStr">
        <is>
          <t>At least one child Object present. TypeDefinition resolves to IToolType or a subtype thereof.</t>
        </is>
      </c>
      <c r="G7" s="89" t="inlineStr">
        <is>
          <t>Good</t>
        </is>
      </c>
      <c r="H7" s="89" t="inlineStr">
        <is>
          <t>Good</t>
        </is>
      </c>
      <c r="I7" s="89" t="n"/>
      <c r="J7" s="89" t="inlineStr">
        <is>
          <t>OPC 40450-1 Section 7.5 (CU-43)</t>
        </is>
      </c>
      <c r="K7" s="90" t="n"/>
      <c r="L7" s="27" t="n"/>
      <c r="M7" s="28" t="n"/>
      <c r="N7" s="28" t="n"/>
    </row>
    <row r="8" ht="39" customHeight="1" s="132">
      <c r="A8" s="56" t="inlineStr">
        <is>
          <t>y</t>
        </is>
      </c>
      <c r="B8" s="57" t="n">
        <v>3</v>
      </c>
      <c r="C8" s="58" t="n">
        <v>0</v>
      </c>
      <c r="D8" s="58" t="inlineStr">
        <is>
          <t>AMT-3 Read mandatory IToolType properties including DeviceClass</t>
        </is>
      </c>
      <c r="E8" s="58" t="n"/>
      <c r="F8" s="58" t="n"/>
      <c r="G8" s="58" t="n"/>
      <c r="H8" s="58" t="n"/>
      <c r="I8" s="58" t="n"/>
      <c r="J8" s="58" t="inlineStr">
        <is>
          <t>OPC 40450-1 Section 7.5 (CU-43)</t>
        </is>
      </c>
      <c r="K8" s="74" t="n"/>
      <c r="L8" s="27" t="n"/>
      <c r="M8" s="28" t="n"/>
      <c r="N8" s="28" t="n"/>
    </row>
    <row r="9" ht="51.6" customHeight="1" s="132">
      <c r="A9" s="87" t="n"/>
      <c r="B9" s="88" t="n"/>
      <c r="C9" s="89" t="n">
        <v>1</v>
      </c>
      <c r="D9" s="89" t="inlineStr">
        <is>
          <t>For a Tool instance: read AssetId (String), Manufacturer (LocalizedText), Model (LocalizedText), SerialNumber (String), HardwareRevision (String), SoftwareRevision (String), ProductCode (String), ProductInstanceUri (String), plus DeviceClass (String).</t>
        </is>
      </c>
      <c r="E9" s="89" t="inlineStr">
        <is>
          <t>Tool instance NodeId known.</t>
        </is>
      </c>
      <c r="F9" s="89" t="inlineStr">
        <is>
          <t>All nine properties present and readable (StatusCode = Good). No property value is null or empty. DeviceClass is a non-empty String describing the tool category.</t>
        </is>
      </c>
      <c r="G9" s="89" t="inlineStr">
        <is>
          <t>Good</t>
        </is>
      </c>
      <c r="H9" s="89" t="inlineStr">
        <is>
          <t>Good</t>
        </is>
      </c>
      <c r="I9" s="89" t="n"/>
      <c r="J9" s="89" t="inlineStr">
        <is>
          <t>OPC 40450-1 Section 7.5 (CU-43)</t>
        </is>
      </c>
      <c r="K9" s="90" t="n"/>
      <c r="L9" s="27" t="n"/>
      <c r="M9" s="28" t="n"/>
      <c r="N9" s="28" t="n"/>
    </row>
    <row r="10">
      <c r="A10" s="56" t="inlineStr">
        <is>
          <t>y</t>
        </is>
      </c>
      <c r="B10" s="57" t="n">
        <v>4</v>
      </c>
      <c r="C10" s="58" t="n">
        <v>0</v>
      </c>
      <c r="D10" s="58" t="inlineStr">
        <is>
          <t>AMT-4 Verify IsConnected and IsEnabled Boolean properties present</t>
        </is>
      </c>
      <c r="E10" s="58" t="n"/>
      <c r="F10" s="58" t="n"/>
      <c r="G10" s="58" t="n"/>
      <c r="H10" s="58" t="n"/>
      <c r="I10" s="58" t="n"/>
      <c r="J10" s="58" t="inlineStr">
        <is>
          <t>OPC 40450-1 Section 7.5 (CU-43)</t>
        </is>
      </c>
      <c r="K10" s="74" t="n"/>
      <c r="L10" s="27" t="n"/>
      <c r="M10" s="28" t="n"/>
      <c r="N10" s="28" t="n"/>
    </row>
    <row r="11" ht="38.7" customHeight="1" s="132">
      <c r="A11" s="87" t="n"/>
      <c r="B11" s="88" t="n"/>
      <c r="C11" s="89" t="n">
        <v>1</v>
      </c>
      <c r="D11" s="89" t="inlineStr">
        <is>
          <t>Browse the Tool instance for IsConnected and IsEnabled property nodes.</t>
        </is>
      </c>
      <c r="E11" s="89" t="inlineStr">
        <is>
          <t>Tool instance accessible.</t>
        </is>
      </c>
      <c r="F11" s="89" t="inlineStr">
        <is>
          <t>Both IsConnected and IsEnabled property nodes are present. DataType = Boolean for both. Read returns StatusCode = Good with a valid Boolean value (True or False).</t>
        </is>
      </c>
      <c r="G11" s="89" t="inlineStr">
        <is>
          <t>Good</t>
        </is>
      </c>
      <c r="H11" s="89" t="inlineStr">
        <is>
          <t>Good</t>
        </is>
      </c>
      <c r="I11" s="89" t="n"/>
      <c r="J11" s="89" t="inlineStr">
        <is>
          <t>OPC 40450-1 Section 7.5 (CU-43)</t>
        </is>
      </c>
      <c r="K11" s="90" t="n"/>
    </row>
    <row r="12" ht="38.7" customFormat="1" customHeight="1" s="138">
      <c r="A12" s="60" t="n"/>
      <c r="B12" s="61" t="n"/>
      <c r="C12" s="61" t="n">
        <v>2</v>
      </c>
      <c r="D12" s="61" t="inlineStr">
        <is>
          <t>Read IsConnected and IsEnabled values and record them.</t>
        </is>
      </c>
      <c r="E12" s="61" t="inlineStr">
        <is>
          <t>Tool instance accessible.</t>
        </is>
      </c>
      <c r="F12" s="61" t="inlineStr">
        <is>
          <t>Values recorded. If tool is physically connected and enabled, IsConnected = True and IsEnabled = True are expected but server-dependent.</t>
        </is>
      </c>
      <c r="G12" s="61" t="inlineStr">
        <is>
          <t>Good</t>
        </is>
      </c>
      <c r="H12" s="61" t="inlineStr">
        <is>
          <t>Good</t>
        </is>
      </c>
      <c r="I12" s="61" t="n"/>
      <c r="J12" s="61" t="inlineStr">
        <is>
          <t>OPC 40450-1 Section 7.5 (CU-43)</t>
        </is>
      </c>
      <c r="K12" s="62" t="n"/>
    </row>
    <row r="13" ht="25.8" customHeight="1" s="132">
      <c r="A13" s="70" t="inlineStr">
        <is>
          <t>n</t>
        </is>
      </c>
      <c r="B13" s="71" t="n">
        <v>5</v>
      </c>
      <c r="C13" s="72" t="n">
        <v>0</v>
      </c>
      <c r="D13" s="72" t="inlineStr">
        <is>
          <t>[Optional helper — non-zero semantics removed: JoiningTechnology is LocalizedText, not enum] JoiningTechnology value observation on Tools</t>
        </is>
      </c>
      <c r="E13" s="72" t="n"/>
      <c r="F13" s="72" t="n"/>
      <c r="G13" s="72" t="n"/>
      <c r="H13" s="72" t="n"/>
      <c r="I13" s="72" t="n"/>
      <c r="J13" s="72" t="inlineStr">
        <is>
          <t>OPC 40450-1 Section 7.5 (CU-43)</t>
        </is>
      </c>
      <c r="K13" s="73" t="n"/>
    </row>
    <row r="14" ht="64.5" customHeight="1" s="132">
      <c r="A14" s="61" t="n"/>
      <c r="B14" s="61" t="n"/>
      <c r="C14" s="61" t="n">
        <v>1</v>
      </c>
      <c r="D14" s="61" t="inlineStr">
        <is>
          <t>[Optional helper] Read JoiningTechnology from each Tool instance.</t>
        </is>
      </c>
      <c r="E14" s="61" t="inlineStr">
        <is>
          <t>Tool instances accessible.</t>
        </is>
      </c>
      <c r="F14" s="61" t="inlineStr">
        <is>
          <t>[Optional helper expected result] JoiningTechnology present on each Tool (per CU requirement if claimed). DataType = LocalizedText. Do not assert non-zero integer or enum semantics.</t>
        </is>
      </c>
      <c r="G14" s="61" t="inlineStr">
        <is>
          <t>Good</t>
        </is>
      </c>
      <c r="H14" s="61" t="inlineStr">
        <is>
          <t>Good</t>
        </is>
      </c>
      <c r="I14" s="61" t="n"/>
      <c r="J14" s="61" t="inlineStr">
        <is>
          <t>OPC 40450-1 Section 7.3 / Section 7.5 (CU-43 / CU-62)</t>
        </is>
      </c>
      <c r="K14" s="61" t="n"/>
    </row>
    <row r="15" ht="38.7" customHeight="1" s="132">
      <c r="A15" s="68" t="inlineStr">
        <is>
          <t>Error Test Cases</t>
        </is>
      </c>
      <c r="B15" s="68" t="n"/>
      <c r="C15" s="68" t="n"/>
      <c r="D15" s="68" t="n"/>
      <c r="E15" s="68" t="n"/>
      <c r="F15" s="68" t="n"/>
      <c r="G15" s="68" t="n"/>
      <c r="H15" s="68" t="n"/>
      <c r="I15" s="68" t="n"/>
      <c r="J15" s="68" t="n"/>
      <c r="K15" s="68" t="n"/>
    </row>
    <row r="16" ht="25.8" customHeight="1" s="132">
      <c r="A16" s="69" t="inlineStr">
        <is>
          <t>n</t>
        </is>
      </c>
      <c r="B16" s="69" t="n">
        <v>1</v>
      </c>
      <c r="C16" s="69" t="n">
        <v>0</v>
      </c>
      <c r="D16" s="69" t="inlineStr">
        <is>
          <t>AMT-5 Attempt method call on disconnected Tool; expect Uncertain/Status=1 or a documented method-specific rejection</t>
        </is>
      </c>
      <c r="E16" s="69" t="n"/>
      <c r="F16" s="69" t="n"/>
      <c r="G16" s="69" t="n"/>
      <c r="H16" s="69" t="n"/>
      <c r="I16" s="69" t="n"/>
      <c r="J16" s="69" t="inlineStr">
        <is>
          <t>OPC 40450-1 Section 7.5 (CU-43)</t>
        </is>
      </c>
      <c r="K16" s="69" t="inlineStr">
        <is>
          <t>CTT=n: requires device state control (IsConnected=False)</t>
        </is>
      </c>
    </row>
    <row r="17" ht="38.7" customHeight="1" s="132">
      <c r="A17" s="61" t="n"/>
      <c r="B17" s="61" t="n"/>
      <c r="C17" s="61" t="n">
        <v>1</v>
      </c>
      <c r="D17" s="61" t="inlineStr">
        <is>
          <t>Identify a Tool instance where IsConnected = False (or set a tool offline). Attempt to invoke an applicable Method on the Tool (e.g., a calibration or reset method).</t>
        </is>
      </c>
      <c r="E17" s="61" t="inlineStr">
        <is>
          <t>A Tool instance with IsConnected = False available or achievable.</t>
        </is>
      </c>
      <c r="F17" s="61" t="inlineStr">
        <is>
          <t>For IJT methods with Status/StatusMessage outputs, Call Service returns Good and method result code is Uncertain with Status output 1 when the disconnected Tool state prevents the operation. If the invoked method is not an IJT Status/StatusMessage method, use that method's documented operation result. IsConnected remains False after the failed call.</t>
        </is>
      </c>
      <c r="G17" s="61" t="inlineStr">
        <is>
          <t>Good</t>
        </is>
      </c>
      <c r="H17" s="61" t="inlineStr">
        <is>
          <t>Uncertain; Status=1 output with StatusMessage for IJT Status methods</t>
        </is>
      </c>
      <c r="I17" s="61" t="n"/>
      <c r="J17" s="61" t="inlineStr">
        <is>
          <t>OPC 40450-1 Section 7.5 (CU-43)</t>
        </is>
      </c>
      <c r="K17" s="61" t="n"/>
    </row>
    <row r="18">
      <c r="A18" s="110" t="inlineStr">
        <is>
          <t>n</t>
        </is>
      </c>
      <c r="B18" s="110" t="n">
        <v>2</v>
      </c>
      <c r="C18" s="110" t="n">
        <v>0</v>
      </c>
      <c r="D18" s="110" t="inlineStr">
        <is>
          <t>Verify Tool implements IToolType interface</t>
        </is>
      </c>
      <c r="E18" s="110" t="n"/>
      <c r="F18" s="110" t="n"/>
      <c r="G18" s="110" t="n"/>
      <c r="H18" s="110" t="n"/>
      <c r="I18" s="110" t="inlineStr">
        <is>
          <t>n</t>
        </is>
      </c>
      <c r="J18" s="110" t="inlineStr">
        <is>
          <t>OPC 40450-1 Section 11.1 CU-43</t>
        </is>
      </c>
      <c r="K18" s="110" t="n"/>
    </row>
    <row r="19">
      <c r="A19" s="111" t="n"/>
      <c r="B19" s="111" t="n"/>
      <c r="C19" s="111" t="n">
        <v>1</v>
      </c>
      <c r="D19" s="111" t="inlineStr">
        <is>
          <t>Browse Tool for HasInterface reference to IToolType.</t>
        </is>
      </c>
      <c r="E19" s="111" t="inlineStr">
        <is>
          <t>Server claims this Conformance Unit; no additional runtime setup is needed for this step.</t>
        </is>
      </c>
      <c r="F19" s="111" t="inlineStr">
        <is>
          <t>HasInterface reference to IToolType found.</t>
        </is>
      </c>
      <c r="G19" s="111" t="inlineStr">
        <is>
          <t>Good</t>
        </is>
      </c>
      <c r="H19" s="111" t="n"/>
      <c r="I19" s="111" t="n"/>
      <c r="J19" s="111" t="inlineStr">
        <is>
          <t>OPC 40450-1 Section 11.1 CU-43</t>
        </is>
      </c>
      <c r="K19" s="111" t="inlineStr">
        <is>
          <t>Requirement source: OPC 40450-1 Section 8.3 - Tool must implement IToolType.</t>
        </is>
      </c>
    </row>
    <row r="20">
      <c r="A20" s="110" t="inlineStr">
        <is>
          <t>n</t>
        </is>
      </c>
      <c r="B20" s="110" t="n">
        <v>3</v>
      </c>
      <c r="C20" s="110" t="n">
        <v>0</v>
      </c>
      <c r="D20" s="110" t="inlineStr">
        <is>
          <t>Verify Identification.ProductCode is non-empty</t>
        </is>
      </c>
      <c r="E20" s="110" t="n"/>
      <c r="F20" s="110" t="n"/>
      <c r="G20" s="110" t="n"/>
      <c r="H20" s="110" t="n"/>
      <c r="I20" s="110" t="inlineStr">
        <is>
          <t>n</t>
        </is>
      </c>
      <c r="J20" s="110" t="inlineStr">
        <is>
          <t>OPC 40450-1 Section 11.1 CU-43</t>
        </is>
      </c>
      <c r="K20" s="110" t="n"/>
    </row>
    <row r="21" ht="25.8" customHeight="1" s="132">
      <c r="A21" s="111" t="n"/>
      <c r="B21" s="111" t="n"/>
      <c r="C21" s="111" t="n">
        <v>1</v>
      </c>
      <c r="D21" s="111" t="inlineStr">
        <is>
          <t>Read ProductCode from Tool Identification.</t>
        </is>
      </c>
      <c r="E21" s="111" t="inlineStr">
        <is>
          <t>Server claims this Conformance Unit; no additional runtime setup is needed for this step.</t>
        </is>
      </c>
      <c r="F21" s="111" t="inlineStr">
        <is>
          <t>ProductCode is non-null, non-empty.</t>
        </is>
      </c>
      <c r="G21" s="111" t="inlineStr">
        <is>
          <t>Good</t>
        </is>
      </c>
      <c r="H21" s="111" t="n"/>
      <c r="I21" s="111" t="n"/>
      <c r="J21" s="111" t="inlineStr">
        <is>
          <t>OPC 40450-1 Section 11.1 CU-43</t>
        </is>
      </c>
      <c r="K21" s="111" t="inlineStr">
        <is>
          <t>Requirement source: OPC 40450-1 Section 8.3 - ProductCode per MachineIdentificationType.</t>
        </is>
      </c>
    </row>
    <row r="22">
      <c r="A22" s="110" t="inlineStr">
        <is>
          <t>n</t>
        </is>
      </c>
      <c r="B22" s="110" t="n">
        <v>4</v>
      </c>
      <c r="C22" s="110" t="n">
        <v>0</v>
      </c>
      <c r="D22" s="110" t="inlineStr">
        <is>
          <t>Verify Identification.DeviceClass is non-empty for Tool</t>
        </is>
      </c>
      <c r="E22" s="110" t="n"/>
      <c r="F22" s="110" t="n"/>
      <c r="G22" s="110" t="n"/>
      <c r="H22" s="110" t="n"/>
      <c r="I22" s="110" t="inlineStr">
        <is>
          <t>n</t>
        </is>
      </c>
      <c r="J22" s="110" t="inlineStr">
        <is>
          <t>OPC 40450-1 Section 11.1 CU-43</t>
        </is>
      </c>
      <c r="K22" s="110" t="n"/>
    </row>
    <row r="23">
      <c r="A23" s="111" t="n"/>
      <c r="B23" s="111" t="n"/>
      <c r="C23" s="111" t="n">
        <v>1</v>
      </c>
      <c r="D23" s="111" t="inlineStr">
        <is>
          <t>Read DeviceClass from Tool Identification.</t>
        </is>
      </c>
      <c r="E23" s="111" t="inlineStr">
        <is>
          <t>Server claims this Conformance Unit; no additional runtime setup is needed for this step.</t>
        </is>
      </c>
      <c r="F23" s="111" t="inlineStr">
        <is>
          <t>DeviceClass is non-null, non-empty.</t>
        </is>
      </c>
      <c r="G23" s="111" t="inlineStr">
        <is>
          <t>Good</t>
        </is>
      </c>
      <c r="H23" s="111" t="n"/>
      <c r="I23" s="111" t="n"/>
      <c r="J23" s="111" t="inlineStr">
        <is>
          <t>OPC 40450-1 Section 11.1 CU-43</t>
        </is>
      </c>
      <c r="K23" s="111" t="inlineStr">
        <is>
          <t>Requirement source: OPC 40450-1 Section 8.3 - DeviceClass identifies tool class.</t>
        </is>
      </c>
    </row>
  </sheetData>
  <mergeCells count="2">
    <mergeCell ref="A1:K1"/>
    <mergeCell ref="C2:J2"/>
  </mergeCells>
  <pageMargins left="0.7" right="0.7" top="0.75" bottom="0.75" header="0.3" footer="0.3"/>
</worksheet>
</file>

<file path=xl/worksheets/sheet50.xml><?xml version="1.0" encoding="utf-8"?>
<worksheet xmlns="http://schemas.openxmlformats.org/spreadsheetml/2006/main">
  <sheetPr codeName="Sheet4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CU-44: Asset Management Servo</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CU-44 — Asset Management Servo</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AMS-1 Verify AssetManagement/Servos folder exists when CU-44 is claimed</t>
        </is>
      </c>
      <c r="E4" s="58" t="n"/>
      <c r="F4" s="58" t="n"/>
      <c r="G4" s="58" t="n"/>
      <c r="H4" s="58" t="n"/>
      <c r="I4" s="58" t="n"/>
      <c r="J4" s="58" t="inlineStr">
        <is>
          <t>OPC 40450-1 Section 7.6 (CU-44)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Servos folder.</t>
        </is>
      </c>
      <c r="E5" s="89" t="inlineStr">
        <is>
          <t>CU-44 declared. JoiningSystemType instance accessible.</t>
        </is>
      </c>
      <c r="F5" s="89" t="inlineStr">
        <is>
          <t>Servos folder present as a child of AssetManagement. BrowseName = "Servos". NodeClass = Object.</t>
        </is>
      </c>
      <c r="G5" s="89" t="inlineStr">
        <is>
          <t>Good</t>
        </is>
      </c>
      <c r="H5" s="89" t="inlineStr">
        <is>
          <t>Good</t>
        </is>
      </c>
      <c r="I5" s="89" t="n"/>
      <c r="J5" s="89" t="inlineStr">
        <is>
          <t>OPC 40450-1 Section 7.6 (CU-44)</t>
        </is>
      </c>
      <c r="K5" s="90" t="n"/>
      <c r="L5" s="27" t="n"/>
      <c r="M5" s="28" t="n"/>
      <c r="N5" s="28" t="n"/>
    </row>
    <row r="6" ht="26.1" customHeight="1" s="132">
      <c r="A6" s="56" t="inlineStr">
        <is>
          <t>y</t>
        </is>
      </c>
      <c r="B6" s="57" t="n">
        <v>2</v>
      </c>
      <c r="C6" s="58" t="n">
        <v>0</v>
      </c>
      <c r="D6" s="58" t="inlineStr">
        <is>
          <t>AMS-2 Verify at least one Servo instance with IServoType</t>
        </is>
      </c>
      <c r="E6" s="58" t="n"/>
      <c r="F6" s="58" t="n"/>
      <c r="G6" s="58" t="n"/>
      <c r="H6" s="58" t="n"/>
      <c r="I6" s="58" t="n"/>
      <c r="J6" s="58" t="inlineStr">
        <is>
          <t>OPC 40450-1 Section 7.6 (CU-44)</t>
        </is>
      </c>
      <c r="K6" s="74" t="n"/>
      <c r="L6" s="27" t="n"/>
      <c r="M6" s="28" t="n"/>
      <c r="N6" s="28" t="n"/>
    </row>
    <row r="7" ht="51.9" customHeight="1" s="132">
      <c r="A7" s="87" t="n"/>
      <c r="B7" s="88" t="n"/>
      <c r="C7" s="89" t="n">
        <v>1</v>
      </c>
      <c r="D7" s="89" t="inlineStr">
        <is>
          <t>Browse Servos folder. Enumerate child Objects.</t>
        </is>
      </c>
      <c r="E7" s="89" t="inlineStr">
        <is>
          <t>Servos folder accessible (AMS-1 passed).</t>
        </is>
      </c>
      <c r="F7" s="89" t="inlineStr">
        <is>
          <t>At least one Servo Object present. TypeDefinition hierarchy includes IServoType.</t>
        </is>
      </c>
      <c r="G7" s="89" t="inlineStr">
        <is>
          <t>Good</t>
        </is>
      </c>
      <c r="H7" s="89" t="inlineStr">
        <is>
          <t>Good</t>
        </is>
      </c>
      <c r="I7" s="89" t="n"/>
      <c r="J7" s="89" t="inlineStr">
        <is>
          <t>OPC 40450-1 Section 7.6 (CU-44)</t>
        </is>
      </c>
      <c r="K7" s="90" t="n"/>
      <c r="L7" s="27" t="n"/>
      <c r="M7" s="28" t="n"/>
      <c r="N7" s="28" t="n"/>
    </row>
    <row r="8" ht="39" customHeight="1" s="132">
      <c r="A8" s="56" t="inlineStr">
        <is>
          <t>y</t>
        </is>
      </c>
      <c r="B8" s="57" t="n">
        <v>3</v>
      </c>
      <c r="C8" s="58" t="n">
        <v>0</v>
      </c>
      <c r="D8" s="58" t="inlineStr">
        <is>
          <t>AMS-3 Read mandatory IServoType properties</t>
        </is>
      </c>
      <c r="E8" s="58" t="n"/>
      <c r="F8" s="58" t="n"/>
      <c r="G8" s="58" t="n"/>
      <c r="H8" s="58" t="n"/>
      <c r="I8" s="58" t="n"/>
      <c r="J8" s="58" t="inlineStr">
        <is>
          <t>OPC 40450-1 Section 7.6 (CU-44)</t>
        </is>
      </c>
      <c r="K8" s="74" t="n"/>
      <c r="L8" s="27" t="n"/>
      <c r="M8" s="28" t="n"/>
      <c r="N8" s="28" t="n"/>
    </row>
    <row r="9" ht="51.6" customHeight="1" s="132">
      <c r="A9" s="87" t="n"/>
      <c r="B9" s="88" t="n"/>
      <c r="C9" s="89" t="n">
        <v>1</v>
      </c>
      <c r="D9" s="89" t="inlineStr">
        <is>
          <t>For a Servo instance: read mandatory identification properties: AssetId (String), Manufacturer (LocalizedText), Model (LocalizedText), SerialNumber (String), HardwareRevision (String), SoftwareRevision (String), ProductCode (String), ProductInstanceUri (String).</t>
        </is>
      </c>
      <c r="E9" s="89" t="inlineStr">
        <is>
          <t>Servo instance accessible.</t>
        </is>
      </c>
      <c r="F9" s="89" t="inlineStr">
        <is>
          <t>All mandatory properties present (BrowseName match). Read returns StatusCode = Good. No null values.</t>
        </is>
      </c>
      <c r="G9" s="89" t="inlineStr">
        <is>
          <t>Good</t>
        </is>
      </c>
      <c r="H9" s="89" t="inlineStr">
        <is>
          <t>Good</t>
        </is>
      </c>
      <c r="I9" s="89" t="n"/>
      <c r="J9" s="89" t="inlineStr">
        <is>
          <t>OPC 40450-1 Section 7.6 (CU-44)</t>
        </is>
      </c>
      <c r="K9" s="90" t="n"/>
      <c r="L9" s="27" t="n"/>
      <c r="M9" s="28" t="n"/>
      <c r="N9" s="28" t="n"/>
    </row>
    <row r="10">
      <c r="A10" s="56" t="inlineStr">
        <is>
          <t>y</t>
        </is>
      </c>
      <c r="B10" s="57" t="n">
        <v>4</v>
      </c>
      <c r="C10" s="58" t="n">
        <v>0</v>
      </c>
      <c r="D10" s="58" t="inlineStr">
        <is>
          <t>AMS-4 Verify SerialNumber is non-empty on Servo instance</t>
        </is>
      </c>
      <c r="E10" s="58" t="n"/>
      <c r="F10" s="58" t="n"/>
      <c r="G10" s="58" t="n"/>
      <c r="H10" s="58" t="n"/>
      <c r="I10" s="58" t="n"/>
      <c r="J10" s="58" t="inlineStr">
        <is>
          <t>OPC 40450-1 Section 7.6 (CU-44)</t>
        </is>
      </c>
      <c r="K10" s="74" t="n"/>
      <c r="L10" s="27" t="n"/>
      <c r="M10" s="28" t="n"/>
      <c r="N10" s="28" t="n"/>
    </row>
    <row r="11" ht="25.8" customHeight="1" s="132">
      <c r="A11" s="87" t="n"/>
      <c r="B11" s="88" t="n"/>
      <c r="C11" s="89" t="n">
        <v>1</v>
      </c>
      <c r="D11" s="89" t="inlineStr">
        <is>
          <t>Read SerialNumber String property from each Servo instance.</t>
        </is>
      </c>
      <c r="E11" s="89" t="inlineStr">
        <is>
          <t>Servo instances accessible.</t>
        </is>
      </c>
      <c r="F11" s="89" t="inlineStr">
        <is>
          <t>SerialNumber is a non-empty String on every Servo instance. An empty SerialNumber is a non-conformance for IServoType.</t>
        </is>
      </c>
      <c r="G11" s="89" t="inlineStr">
        <is>
          <t>Good</t>
        </is>
      </c>
      <c r="H11" s="89" t="inlineStr">
        <is>
          <t>Good</t>
        </is>
      </c>
      <c r="I11" s="89" t="n"/>
      <c r="J11" s="89" t="inlineStr">
        <is>
          <t>OPC 40450-1 Section 7.6 (CU-44)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n</t>
        </is>
      </c>
      <c r="B13" s="100" t="n">
        <v>1</v>
      </c>
      <c r="C13" s="101" t="n">
        <v>0</v>
      </c>
      <c r="D13" s="101" t="inlineStr">
        <is>
          <t>[Optional helper — profile negative check, not CU-44 conformance] AMS-5 Verify Servos folder is absent when CU-44 is not claimed</t>
        </is>
      </c>
      <c r="E13" s="101" t="n"/>
      <c r="F13" s="101" t="n"/>
      <c r="G13" s="101" t="n"/>
      <c r="H13" s="101" t="n"/>
      <c r="I13" s="101" t="n"/>
      <c r="J13" s="101" t="inlineStr">
        <is>
          <t>OPC 40450-1 Section 7.6 (CU-44)</t>
        </is>
      </c>
      <c r="K13" s="102" t="inlineStr">
        <is>
          <t>Static negative test — browse only</t>
        </is>
      </c>
    </row>
    <row r="14" ht="38.7" customHeight="1" s="132">
      <c r="A14" s="61" t="n"/>
      <c r="B14" s="61" t="n"/>
      <c r="C14" s="61" t="n">
        <v>1</v>
      </c>
      <c r="D14" s="61" t="inlineStr">
        <is>
          <t>[Optional helper] If the server does NOT declare CU-44 in its ConformanceUnits: browse AssetManagement Object and check for Servos folder.</t>
        </is>
      </c>
      <c r="E14" s="61" t="inlineStr">
        <is>
          <t>Server conformance profile does not include CU-44.</t>
        </is>
      </c>
      <c r="F14" s="61" t="inlineStr">
        <is>
          <t>[Optional helper expected result] Servos folder node is NOT present under AssetManagement. Browse returns no child with BrowseName = "Servos". Server must not expose asset sub-type folders for unclaimed CUs.</t>
        </is>
      </c>
      <c r="G14" s="61" t="inlineStr">
        <is>
          <t>Good</t>
        </is>
      </c>
      <c r="H14" s="61" t="n"/>
      <c r="I14" s="61" t="n"/>
      <c r="J14" s="61" t="inlineStr">
        <is>
          <t>OPC 40450-1 Section 7.6 (CU-44)</t>
        </is>
      </c>
      <c r="K14" s="61" t="n"/>
    </row>
    <row r="15">
      <c r="A15" s="110" t="inlineStr">
        <is>
          <t>n</t>
        </is>
      </c>
      <c r="B15" s="110" t="n">
        <v>2</v>
      </c>
      <c r="C15" s="110" t="n">
        <v>0</v>
      </c>
      <c r="D15" s="110" t="inlineStr">
        <is>
          <t>Verify Servo implements IServoType interface</t>
        </is>
      </c>
      <c r="E15" s="110" t="n"/>
      <c r="F15" s="110" t="n"/>
      <c r="G15" s="110" t="n"/>
      <c r="H15" s="110" t="n"/>
      <c r="I15" s="110" t="inlineStr">
        <is>
          <t>n</t>
        </is>
      </c>
      <c r="J15" s="110" t="inlineStr">
        <is>
          <t>OPC 40450-1 Section 11.1 CU-44</t>
        </is>
      </c>
      <c r="K15" s="110" t="n"/>
    </row>
    <row r="16">
      <c r="A16" s="111" t="n"/>
      <c r="B16" s="111" t="n"/>
      <c r="C16" s="111" t="n">
        <v>1</v>
      </c>
      <c r="D16" s="111" t="inlineStr">
        <is>
          <t>Browse Servo instance for HasInterface reference to IServoType.</t>
        </is>
      </c>
      <c r="E16" s="111" t="inlineStr">
        <is>
          <t>Server claims this Conformance Unit; no additional runtime setup is needed for this step.</t>
        </is>
      </c>
      <c r="F16" s="111" t="inlineStr">
        <is>
          <t>HasInterface reference to IServoType found.</t>
        </is>
      </c>
      <c r="G16" s="111" t="inlineStr">
        <is>
          <t>Good</t>
        </is>
      </c>
      <c r="H16" s="111" t="n"/>
      <c r="I16" s="111" t="n"/>
      <c r="J16" s="111" t="inlineStr">
        <is>
          <t>OPC 40450-1 Section 11.1 CU-44</t>
        </is>
      </c>
      <c r="K16" s="111" t="inlineStr">
        <is>
          <t>Requirement source: OPC 40450-1 Section 8.4 - Servo must implement IServoType.</t>
        </is>
      </c>
    </row>
    <row r="17">
      <c r="A17" s="110" t="inlineStr">
        <is>
          <t>n</t>
        </is>
      </c>
      <c r="B17" s="110" t="n">
        <v>3</v>
      </c>
      <c r="C17" s="110" t="n">
        <v>0</v>
      </c>
      <c r="D17" s="110" t="inlineStr">
        <is>
          <t>Verify Parameters.NodeNumber is present and non-negative</t>
        </is>
      </c>
      <c r="E17" s="110" t="n"/>
      <c r="F17" s="110" t="n"/>
      <c r="G17" s="110" t="n"/>
      <c r="H17" s="110" t="n"/>
      <c r="I17" s="110" t="inlineStr">
        <is>
          <t>n</t>
        </is>
      </c>
      <c r="J17" s="110" t="inlineStr">
        <is>
          <t>OPC 40450-1 Section 11.1 CU-44</t>
        </is>
      </c>
      <c r="K17" s="110" t="n"/>
    </row>
    <row r="18" ht="25.8" customHeight="1" s="132">
      <c r="A18" s="111" t="n"/>
      <c r="B18" s="111" t="n"/>
      <c r="C18" s="111" t="n">
        <v>1</v>
      </c>
      <c r="D18" s="111" t="inlineStr">
        <is>
          <t>Read Parameters/NodeNumber from Servo.</t>
        </is>
      </c>
      <c r="E18" s="111" t="inlineStr">
        <is>
          <t>Server claims this Conformance Unit; no additional runtime setup is needed for this step.</t>
        </is>
      </c>
      <c r="F18" s="111" t="inlineStr">
        <is>
          <t>NodeNumber is non-negative integer.</t>
        </is>
      </c>
      <c r="G18" s="111" t="inlineStr">
        <is>
          <t>Good</t>
        </is>
      </c>
      <c r="H18" s="111" t="n"/>
      <c r="I18" s="111" t="n"/>
      <c r="J18" s="111" t="inlineStr">
        <is>
          <t>OPC 40450-1 Section 11.1 CU-44</t>
        </is>
      </c>
      <c r="K18" s="111" t="inlineStr">
        <is>
          <t>Requirement source: OPC 40450-1 Section 8.4 - NodeNumber identifies servo on field bus.</t>
        </is>
      </c>
    </row>
    <row r="19">
      <c r="A19" s="110" t="inlineStr">
        <is>
          <t>n</t>
        </is>
      </c>
      <c r="B19" s="110" t="n">
        <v>4</v>
      </c>
      <c r="C19" s="110" t="n">
        <v>0</v>
      </c>
      <c r="D19" s="110" t="inlineStr">
        <is>
          <t>Verify Servo Identification is MachineryComponentIdentificationType</t>
        </is>
      </c>
      <c r="E19" s="110" t="n"/>
      <c r="F19" s="110" t="n"/>
      <c r="G19" s="110" t="n"/>
      <c r="H19" s="110" t="n"/>
      <c r="I19" s="110" t="inlineStr">
        <is>
          <t>n</t>
        </is>
      </c>
      <c r="J19" s="110" t="inlineStr">
        <is>
          <t>OPC 40450-1 Section 11.1 CU-44</t>
        </is>
      </c>
      <c r="K19" s="110" t="n"/>
    </row>
    <row r="20" ht="25.8" customHeight="1" s="132">
      <c r="A20" s="111" t="n"/>
      <c r="B20" s="111" t="n"/>
      <c r="C20" s="111" t="n">
        <v>1</v>
      </c>
      <c r="D20" s="111" t="inlineStr">
        <is>
          <t>Read TypeDefinitionId of Servo Identification node.</t>
        </is>
      </c>
      <c r="E20" s="111" t="inlineStr">
        <is>
          <t>Server claims this Conformance Unit; no additional runtime setup is needed for this step.</t>
        </is>
      </c>
      <c r="F20" s="111" t="inlineStr">
        <is>
          <t>TypeDefinitionId matches MachineryComponentIdentificationType.</t>
        </is>
      </c>
      <c r="G20" s="111" t="inlineStr">
        <is>
          <t>Good</t>
        </is>
      </c>
      <c r="H20" s="111" t="n"/>
      <c r="I20" s="111" t="n"/>
      <c r="J20" s="111" t="inlineStr">
        <is>
          <t>OPC 40450-1 Section 11.1 CU-44</t>
        </is>
      </c>
      <c r="K20" s="111" t="inlineStr">
        <is>
          <t>Requirement source: OPC 40450-1 Section 8.4 - Uses MachineryComponentIdentificationType.</t>
        </is>
      </c>
    </row>
  </sheetData>
  <mergeCells count="2">
    <mergeCell ref="A1:K1"/>
    <mergeCell ref="C2:J2"/>
  </mergeCells>
  <pageMargins left="0.7" right="0.7" top="0.75" bottom="0.75" header="0.3" footer="0.3"/>
</worksheet>
</file>

<file path=xl/worksheets/sheet51.xml><?xml version="1.0" encoding="utf-8"?>
<worksheet xmlns="http://schemas.openxmlformats.org/spreadsheetml/2006/main">
  <sheetPr codeName="Sheet48">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CU-45: Asset Management Memory Device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CU-45 — Asset Management Memory Device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AMMD-1 Verify AssetManagement/MemoryDevices folder exists</t>
        </is>
      </c>
      <c r="E4" s="58" t="n"/>
      <c r="F4" s="58" t="n"/>
      <c r="G4" s="58" t="n"/>
      <c r="H4" s="58" t="n"/>
      <c r="I4" s="58" t="n"/>
      <c r="J4" s="58" t="inlineStr">
        <is>
          <t>OPC 40450-1 Section 7.7 (CU-45)</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MemoryDevices folder.</t>
        </is>
      </c>
      <c r="E5" s="89" t="inlineStr">
        <is>
          <t>CU-45 declared. JoiningSystemType instance accessible.</t>
        </is>
      </c>
      <c r="F5" s="89" t="inlineStr">
        <is>
          <t>MemoryDevices folder present under AssetManagement. BrowseName = "MemoryDevices". NodeClass = Object.</t>
        </is>
      </c>
      <c r="G5" s="89" t="inlineStr">
        <is>
          <t>Good</t>
        </is>
      </c>
      <c r="H5" s="89" t="inlineStr">
        <is>
          <t>Good</t>
        </is>
      </c>
      <c r="I5" s="89" t="n"/>
      <c r="J5" s="89" t="inlineStr">
        <is>
          <t>OPC 40450-1 Section 7.7 (CU-45)</t>
        </is>
      </c>
      <c r="K5" s="90" t="n"/>
      <c r="L5" s="27" t="n"/>
      <c r="M5" s="28" t="n"/>
      <c r="N5" s="28" t="n"/>
    </row>
    <row r="6" ht="26.1" customHeight="1" s="132">
      <c r="A6" s="56" t="inlineStr">
        <is>
          <t>y</t>
        </is>
      </c>
      <c r="B6" s="57" t="n">
        <v>2</v>
      </c>
      <c r="C6" s="58" t="n">
        <v>0</v>
      </c>
      <c r="D6" s="58" t="inlineStr">
        <is>
          <t>AMMD-2 Verify at least one instance with IMemoryDeviceType</t>
        </is>
      </c>
      <c r="E6" s="58" t="n"/>
      <c r="F6" s="58" t="n"/>
      <c r="G6" s="58" t="n"/>
      <c r="H6" s="58" t="n"/>
      <c r="I6" s="58" t="n"/>
      <c r="J6" s="58" t="inlineStr">
        <is>
          <t>OPC 40450-1 Section 7.7 (CU-45)</t>
        </is>
      </c>
      <c r="K6" s="74" t="n"/>
      <c r="L6" s="27" t="n"/>
      <c r="M6" s="28" t="n"/>
      <c r="N6" s="28" t="n"/>
    </row>
    <row r="7" ht="51.9" customHeight="1" s="132">
      <c r="A7" s="87" t="n"/>
      <c r="B7" s="88" t="n"/>
      <c r="C7" s="89" t="n">
        <v>1</v>
      </c>
      <c r="D7" s="89" t="inlineStr">
        <is>
          <t>Browse MemoryDevices folder. Enumerate child Objects.</t>
        </is>
      </c>
      <c r="E7" s="89" t="inlineStr">
        <is>
          <t>MemoryDevices folder accessible (AMMD-1 passed).</t>
        </is>
      </c>
      <c r="F7" s="89" t="inlineStr">
        <is>
          <t>At least one child Object present. TypeDefinition hierarchy includes IMemoryDeviceType.</t>
        </is>
      </c>
      <c r="G7" s="89" t="inlineStr">
        <is>
          <t>Good</t>
        </is>
      </c>
      <c r="H7" s="89" t="inlineStr">
        <is>
          <t>Good</t>
        </is>
      </c>
      <c r="I7" s="89" t="n"/>
      <c r="J7" s="89" t="inlineStr">
        <is>
          <t>OPC 40450-1 Section 7.7 (CU-45)</t>
        </is>
      </c>
      <c r="K7" s="90" t="n"/>
      <c r="L7" s="27" t="n"/>
      <c r="M7" s="28" t="n"/>
      <c r="N7" s="28" t="n"/>
    </row>
    <row r="8" ht="39" customHeight="1" s="132">
      <c r="A8" s="56" t="inlineStr">
        <is>
          <t>y</t>
        </is>
      </c>
      <c r="B8" s="57" t="n">
        <v>3</v>
      </c>
      <c r="C8" s="58" t="n">
        <v>0</v>
      </c>
      <c r="D8" s="58" t="inlineStr">
        <is>
          <t>AMMD-3 Read mandatory IMemoryDeviceType properties</t>
        </is>
      </c>
      <c r="E8" s="58" t="n"/>
      <c r="F8" s="58" t="n"/>
      <c r="G8" s="58" t="n"/>
      <c r="H8" s="58" t="n"/>
      <c r="I8" s="58" t="n"/>
      <c r="J8" s="58" t="inlineStr">
        <is>
          <t>OPC 40450-1 Section 7.7 (CU-45)</t>
        </is>
      </c>
      <c r="K8" s="74" t="n"/>
      <c r="L8" s="27" t="n"/>
      <c r="M8" s="28" t="n"/>
      <c r="N8" s="28" t="n"/>
    </row>
    <row r="9" ht="51.6" customHeight="1" s="132">
      <c r="A9" s="87" t="n"/>
      <c r="B9" s="88" t="n"/>
      <c r="C9" s="89" t="n">
        <v>1</v>
      </c>
      <c r="D9" s="89" t="inlineStr">
        <is>
          <t>For a MemoryDevice instance: read AssetId (String), Manufacturer (LocalizedText), Model (LocalizedText), SerialNumber (String), HardwareRevision (String), SoftwareRevision (String), ProductCode (String), ProductInstanceUri (String).</t>
        </is>
      </c>
      <c r="E9" s="89" t="inlineStr">
        <is>
          <t>MemoryDevice instance accessible.</t>
        </is>
      </c>
      <c r="F9" s="89" t="inlineStr">
        <is>
          <t>All mandatory properties present. Read returns Good. No null values.</t>
        </is>
      </c>
      <c r="G9" s="89" t="inlineStr">
        <is>
          <t>Good</t>
        </is>
      </c>
      <c r="H9" s="89" t="inlineStr">
        <is>
          <t>Good</t>
        </is>
      </c>
      <c r="I9" s="89" t="n"/>
      <c r="J9" s="89" t="inlineStr">
        <is>
          <t>OPC 40450-1 Section 7.7 (CU-45)</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CU-45 conformance] AMMD-4 Verify MemoryDevices folder absent when CU-45 not claimed</t>
        </is>
      </c>
      <c r="E11" s="97" t="n"/>
      <c r="F11" s="97" t="n"/>
      <c r="G11" s="97" t="n"/>
      <c r="H11" s="97" t="n"/>
      <c r="I11" s="97" t="n"/>
      <c r="J11" s="97" t="inlineStr">
        <is>
          <t>OPC 40450-1 Section 7.7 (CU-45)</t>
        </is>
      </c>
      <c r="K11" s="98" t="inlineStr">
        <is>
          <t>Static negative test — browse only</t>
        </is>
      </c>
    </row>
    <row r="12" ht="25.8" customFormat="1" customHeight="1" s="138">
      <c r="A12" s="60" t="n"/>
      <c r="B12" s="61" t="n"/>
      <c r="C12" s="61" t="n">
        <v>1</v>
      </c>
      <c r="D12" s="61" t="inlineStr">
        <is>
          <t>[Optional helper] If CU-45 not declared: browse AssetManagement and check for MemoryDevices folder.</t>
        </is>
      </c>
      <c r="E12" s="61" t="inlineStr">
        <is>
          <t>Server conformance profile does not include CU-45.</t>
        </is>
      </c>
      <c r="F12" s="61" t="inlineStr">
        <is>
          <t>[Optional helper expected result] MemoryDevices folder NOT present under AssetManagement. No child with BrowseName = "MemoryDevices".</t>
        </is>
      </c>
      <c r="G12" s="61" t="inlineStr">
        <is>
          <t>Good</t>
        </is>
      </c>
      <c r="H12" s="61" t="n"/>
      <c r="I12" s="61" t="n"/>
      <c r="J12" s="61" t="inlineStr">
        <is>
          <t>OPC 40450-1 Section 7.7 (CU-45)</t>
        </is>
      </c>
      <c r="K12" s="62" t="n"/>
    </row>
    <row r="13">
      <c r="A13" s="125" t="inlineStr">
        <is>
          <t>n</t>
        </is>
      </c>
      <c r="B13" s="126" t="n">
        <v>2</v>
      </c>
      <c r="C13" s="127" t="n">
        <v>0</v>
      </c>
      <c r="D13" s="127" t="inlineStr">
        <is>
          <t>Verify MemoryDevice implements IMemoryDeviceType interface</t>
        </is>
      </c>
      <c r="E13" s="127" t="n"/>
      <c r="F13" s="127" t="n"/>
      <c r="G13" s="127" t="n"/>
      <c r="H13" s="127" t="n"/>
      <c r="I13" s="127" t="inlineStr">
        <is>
          <t>n</t>
        </is>
      </c>
      <c r="J13" s="127" t="inlineStr">
        <is>
          <t>OPC 40450-1 Section 11.1 CU-45</t>
        </is>
      </c>
      <c r="K13" s="128" t="n"/>
    </row>
    <row r="14" ht="25.8" customHeight="1" s="132">
      <c r="A14" s="111" t="n"/>
      <c r="B14" s="111" t="n"/>
      <c r="C14" s="111" t="n">
        <v>1</v>
      </c>
      <c r="D14" s="111" t="inlineStr">
        <is>
          <t>Browse MemoryDevice instance for HasInterface reference to IMemoryDeviceType.</t>
        </is>
      </c>
      <c r="E14" s="111" t="inlineStr">
        <is>
          <t>Server claims this Conformance Unit; no additional runtime setup is needed for this step.</t>
        </is>
      </c>
      <c r="F14" s="111" t="inlineStr">
        <is>
          <t>HasInterface reference to IMemoryDeviceType found.</t>
        </is>
      </c>
      <c r="G14" s="111" t="inlineStr">
        <is>
          <t>Good</t>
        </is>
      </c>
      <c r="H14" s="111" t="n"/>
      <c r="I14" s="111" t="n"/>
      <c r="J14" s="111" t="inlineStr">
        <is>
          <t>OPC 40450-1 Section 11.1 CU-45</t>
        </is>
      </c>
      <c r="K14" s="111" t="inlineStr">
        <is>
          <t>Requirement source: OPC 40450-1 Section 8.5 - MemoryDevice must implement IMemoryDeviceType.</t>
        </is>
      </c>
    </row>
    <row r="15">
      <c r="A15" s="110" t="inlineStr">
        <is>
          <t>n</t>
        </is>
      </c>
      <c r="B15" s="110" t="n">
        <v>3</v>
      </c>
      <c r="C15" s="110" t="n">
        <v>0</v>
      </c>
      <c r="D15" s="110" t="inlineStr">
        <is>
          <t>Verify MemoryDevice Parameters.Type is non-empty</t>
        </is>
      </c>
      <c r="E15" s="110" t="n"/>
      <c r="F15" s="110" t="n"/>
      <c r="G15" s="110" t="n"/>
      <c r="H15" s="110" t="n"/>
      <c r="I15" s="110" t="inlineStr">
        <is>
          <t>n</t>
        </is>
      </c>
      <c r="J15" s="110" t="inlineStr">
        <is>
          <t>OPC 40450-1 Section 11.1 CU-45</t>
        </is>
      </c>
      <c r="K15" s="110" t="n"/>
    </row>
    <row r="16">
      <c r="A16" s="111" t="n"/>
      <c r="B16" s="111" t="n"/>
      <c r="C16" s="111" t="n">
        <v>1</v>
      </c>
      <c r="D16" s="111" t="inlineStr">
        <is>
          <t>Read Parameters/Type from MemoryDevice.</t>
        </is>
      </c>
      <c r="E16" s="111" t="inlineStr">
        <is>
          <t>Server claims this Conformance Unit; no additional runtime setup is needed for this step.</t>
        </is>
      </c>
      <c r="F16" s="111" t="inlineStr">
        <is>
          <t>Type is non-null, non-empty string.</t>
        </is>
      </c>
      <c r="G16" s="111" t="inlineStr">
        <is>
          <t>Good</t>
        </is>
      </c>
      <c r="H16" s="111" t="n"/>
      <c r="I16" s="111" t="n"/>
      <c r="J16" s="111" t="inlineStr">
        <is>
          <t>OPC 40450-1 Section 11.1 CU-45</t>
        </is>
      </c>
      <c r="K16" s="111" t="inlineStr">
        <is>
          <t>Requirement source: OPC 40450-1 Section 8.5 - Type is Mandatory.</t>
        </is>
      </c>
    </row>
    <row r="17" ht="25.8" customHeight="1" s="132">
      <c r="A17" s="110" t="inlineStr">
        <is>
          <t>n</t>
        </is>
      </c>
      <c r="B17" s="110" t="n">
        <v>4</v>
      </c>
      <c r="C17" s="110" t="n">
        <v>0</v>
      </c>
      <c r="D17" s="110" t="inlineStr">
        <is>
          <t>Verify MemoryDevice Identification is MachineryComponentIdentificationType</t>
        </is>
      </c>
      <c r="E17" s="110" t="n"/>
      <c r="F17" s="110" t="n"/>
      <c r="G17" s="110" t="n"/>
      <c r="H17" s="110" t="n"/>
      <c r="I17" s="110" t="inlineStr">
        <is>
          <t>n</t>
        </is>
      </c>
      <c r="J17" s="110" t="inlineStr">
        <is>
          <t>OPC 40450-1 Section 11.1 CU-45</t>
        </is>
      </c>
      <c r="K17" s="110" t="n"/>
    </row>
    <row r="18" ht="25.8" customHeight="1" s="132">
      <c r="A18" s="111" t="n"/>
      <c r="B18" s="111" t="n"/>
      <c r="C18" s="111" t="n">
        <v>1</v>
      </c>
      <c r="D18" s="111" t="inlineStr">
        <is>
          <t>Read TypeDefinitionId of MemoryDevice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inlineStr">
        <is>
          <t>OPC 40450-1 Section 11.1 CU-45</t>
        </is>
      </c>
      <c r="K18" s="111" t="inlineStr">
        <is>
          <t>Requirement source: OPC 40450-1 Section 8.5 - Uses MachineryComponentIdentificationType.</t>
        </is>
      </c>
    </row>
  </sheetData>
  <mergeCells count="2">
    <mergeCell ref="A1:K1"/>
    <mergeCell ref="C2:J2"/>
  </mergeCells>
  <pageMargins left="0.7" right="0.7" top="0.75" bottom="0.75" header="0.3" footer="0.3"/>
</worksheet>
</file>

<file path=xl/worksheets/sheet52.xml><?xml version="1.0" encoding="utf-8"?>
<worksheet xmlns="http://schemas.openxmlformats.org/spreadsheetml/2006/main">
  <sheetPr codeName="Sheet49">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CU-46: Asset Management Cable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CU-46 — Asset Management Cable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AMCA-1 Verify AssetManagement/Cables folder exists</t>
        </is>
      </c>
      <c r="E4" s="58" t="n"/>
      <c r="F4" s="58" t="n"/>
      <c r="G4" s="58" t="n"/>
      <c r="H4" s="58" t="n"/>
      <c r="I4" s="58" t="n"/>
      <c r="J4" s="58" t="inlineStr">
        <is>
          <t>OPC 40450-1 Section 7.8 (CU-46)</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Cables folder.</t>
        </is>
      </c>
      <c r="E5" s="89" t="inlineStr">
        <is>
          <t>CU-46 declared. JoiningSystemType instance accessible.</t>
        </is>
      </c>
      <c r="F5" s="89" t="inlineStr">
        <is>
          <t>Cables folder present under AssetManagement. BrowseName = "Cables". NodeClass = Object.</t>
        </is>
      </c>
      <c r="G5" s="89" t="inlineStr">
        <is>
          <t>Good</t>
        </is>
      </c>
      <c r="H5" s="89" t="inlineStr">
        <is>
          <t>Good</t>
        </is>
      </c>
      <c r="I5" s="89" t="n"/>
      <c r="J5" s="89" t="inlineStr">
        <is>
          <t>OPC 40450-1 Section 7.8 (CU-46)</t>
        </is>
      </c>
      <c r="K5" s="90" t="n"/>
      <c r="L5" s="27" t="n"/>
      <c r="M5" s="28" t="n"/>
      <c r="N5" s="28" t="n"/>
    </row>
    <row r="6" ht="26.1" customHeight="1" s="132">
      <c r="A6" s="56" t="inlineStr">
        <is>
          <t>y</t>
        </is>
      </c>
      <c r="B6" s="57" t="n">
        <v>2</v>
      </c>
      <c r="C6" s="58" t="n">
        <v>0</v>
      </c>
      <c r="D6" s="58" t="inlineStr">
        <is>
          <t>AMCA-2 Verify at least one Cable instance with ICableType</t>
        </is>
      </c>
      <c r="E6" s="58" t="n"/>
      <c r="F6" s="58" t="n"/>
      <c r="G6" s="58" t="n"/>
      <c r="H6" s="58" t="n"/>
      <c r="I6" s="58" t="n"/>
      <c r="J6" s="58" t="inlineStr">
        <is>
          <t>OPC 40450-1 Section 7.8 (CU-46)</t>
        </is>
      </c>
      <c r="K6" s="74" t="n"/>
      <c r="L6" s="27" t="n"/>
      <c r="M6" s="28" t="n"/>
      <c r="N6" s="28" t="n"/>
    </row>
    <row r="7" ht="51.9" customHeight="1" s="132">
      <c r="A7" s="87" t="n"/>
      <c r="B7" s="88" t="n"/>
      <c r="C7" s="89" t="n">
        <v>1</v>
      </c>
      <c r="D7" s="89" t="inlineStr">
        <is>
          <t>Browse Cables folder. Enumerate child Objects.</t>
        </is>
      </c>
      <c r="E7" s="89" t="inlineStr">
        <is>
          <t>Cables folder accessible (AMCA-1 passed).</t>
        </is>
      </c>
      <c r="F7" s="89" t="inlineStr">
        <is>
          <t>At least one child Object present. TypeDefinition hierarchy includes ICableType.</t>
        </is>
      </c>
      <c r="G7" s="89" t="inlineStr">
        <is>
          <t>Good</t>
        </is>
      </c>
      <c r="H7" s="89" t="inlineStr">
        <is>
          <t>Good</t>
        </is>
      </c>
      <c r="I7" s="89" t="n"/>
      <c r="J7" s="89" t="inlineStr">
        <is>
          <t>OPC 40450-1 Section 7.8 (CU-46)</t>
        </is>
      </c>
      <c r="K7" s="90" t="n"/>
      <c r="L7" s="27" t="n"/>
      <c r="M7" s="28" t="n"/>
      <c r="N7" s="28" t="n"/>
    </row>
    <row r="8" ht="39" customHeight="1" s="132">
      <c r="A8" s="56" t="inlineStr">
        <is>
          <t>y</t>
        </is>
      </c>
      <c r="B8" s="57" t="n">
        <v>3</v>
      </c>
      <c r="C8" s="58" t="n">
        <v>0</v>
      </c>
      <c r="D8" s="58" t="inlineStr">
        <is>
          <t>AMCA-3 Read mandatory ICableType properties including SerialNumber</t>
        </is>
      </c>
      <c r="E8" s="58" t="n"/>
      <c r="F8" s="58" t="n"/>
      <c r="G8" s="58" t="n"/>
      <c r="H8" s="58" t="n"/>
      <c r="I8" s="58" t="n"/>
      <c r="J8" s="58" t="inlineStr">
        <is>
          <t>OPC 40450-1 Section 7.8 (CU-46)</t>
        </is>
      </c>
      <c r="K8" s="74" t="n"/>
      <c r="L8" s="27" t="n"/>
      <c r="M8" s="28" t="n"/>
      <c r="N8" s="28" t="n"/>
    </row>
    <row r="9" ht="38.7" customHeight="1" s="132">
      <c r="A9" s="87" t="n"/>
      <c r="B9" s="88" t="n"/>
      <c r="C9" s="89" t="n">
        <v>1</v>
      </c>
      <c r="D9" s="89" t="inlineStr">
        <is>
          <t>For a Cable instance: read AssetId (String), Manufacturer (LocalizedText), Model (LocalizedText), SerialNumber (String), HardwareRevision (String), SoftwareRevision (String), ProductCode (String), ProductInstanceUri (String).</t>
        </is>
      </c>
      <c r="E9" s="89" t="inlineStr">
        <is>
          <t>Cable instance accessible.</t>
        </is>
      </c>
      <c r="F9" s="89" t="inlineStr">
        <is>
          <t>All mandatory properties present. Read returns Good. SerialNumber is a non-empty String (cables must be individually identified).</t>
        </is>
      </c>
      <c r="G9" s="89" t="inlineStr">
        <is>
          <t>Good</t>
        </is>
      </c>
      <c r="H9" s="89" t="inlineStr">
        <is>
          <t>Good</t>
        </is>
      </c>
      <c r="I9" s="89" t="n"/>
      <c r="J9" s="89" t="inlineStr">
        <is>
          <t>OPC 40450-1 Section 7.8 (CU-46)</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CU-46 conformance] AMCA-4 Verify Cables folder absent when CU-46 not claimed</t>
        </is>
      </c>
      <c r="E11" s="97" t="n"/>
      <c r="F11" s="97" t="n"/>
      <c r="G11" s="97" t="n"/>
      <c r="H11" s="97" t="n"/>
      <c r="I11" s="97" t="n"/>
      <c r="J11" s="97" t="inlineStr">
        <is>
          <t>OPC 40450-1 Section 7.8 (CU-46)</t>
        </is>
      </c>
      <c r="K11" s="98" t="inlineStr">
        <is>
          <t>Static negative test — browse only</t>
        </is>
      </c>
    </row>
    <row r="12" ht="25.8" customFormat="1" customHeight="1" s="138">
      <c r="A12" s="60" t="n"/>
      <c r="B12" s="61" t="n"/>
      <c r="C12" s="61" t="n">
        <v>1</v>
      </c>
      <c r="D12" s="61" t="inlineStr">
        <is>
          <t>[Optional helper] If CU-46 not declared: browse AssetManagement and check for Cables folder.</t>
        </is>
      </c>
      <c r="E12" s="61" t="inlineStr">
        <is>
          <t>Server conformance profile does not include CU-46.</t>
        </is>
      </c>
      <c r="F12" s="61" t="inlineStr">
        <is>
          <t>[Optional helper expected result] Cables folder NOT present under AssetManagement.</t>
        </is>
      </c>
      <c r="G12" s="61" t="inlineStr">
        <is>
          <t>Good</t>
        </is>
      </c>
      <c r="H12" s="61" t="n"/>
      <c r="I12" s="61" t="n"/>
      <c r="J12" s="61" t="inlineStr">
        <is>
          <t>OPC 40450-1 Section 7.8 (CU-46)</t>
        </is>
      </c>
      <c r="K12" s="62" t="n"/>
    </row>
    <row r="13">
      <c r="A13" s="125" t="inlineStr">
        <is>
          <t>n</t>
        </is>
      </c>
      <c r="B13" s="126" t="n">
        <v>2</v>
      </c>
      <c r="C13" s="127" t="n">
        <v>0</v>
      </c>
      <c r="D13" s="127" t="inlineStr">
        <is>
          <t>Verify Cable implements ICableType interface</t>
        </is>
      </c>
      <c r="E13" s="127" t="n"/>
      <c r="F13" s="127" t="n"/>
      <c r="G13" s="127" t="n"/>
      <c r="H13" s="127" t="n"/>
      <c r="I13" s="127" t="inlineStr">
        <is>
          <t>n</t>
        </is>
      </c>
      <c r="J13" s="127" t="inlineStr">
        <is>
          <t>OPC 40450-1 Section 11.1 CU-46</t>
        </is>
      </c>
      <c r="K13" s="128" t="n"/>
    </row>
    <row r="14">
      <c r="A14" s="111" t="n"/>
      <c r="B14" s="111" t="n"/>
      <c r="C14" s="111" t="n">
        <v>1</v>
      </c>
      <c r="D14" s="111" t="inlineStr">
        <is>
          <t>Browse Cable instance for HasInterface reference to ICableType.</t>
        </is>
      </c>
      <c r="E14" s="111" t="inlineStr">
        <is>
          <t>Server claims this Conformance Unit; no additional runtime setup is needed for this step.</t>
        </is>
      </c>
      <c r="F14" s="111" t="inlineStr">
        <is>
          <t>HasInterface reference to ICableType found.</t>
        </is>
      </c>
      <c r="G14" s="111" t="inlineStr">
        <is>
          <t>Good</t>
        </is>
      </c>
      <c r="H14" s="111" t="n"/>
      <c r="I14" s="111" t="n"/>
      <c r="J14" s="111" t="inlineStr">
        <is>
          <t>OPC 40450-1 Section 11.1 CU-46</t>
        </is>
      </c>
      <c r="K14" s="111" t="inlineStr">
        <is>
          <t>Requirement source: OPC 40450-1 Section 8.6 - Cable must implement ICableType.</t>
        </is>
      </c>
    </row>
    <row r="15">
      <c r="A15" s="110" t="inlineStr">
        <is>
          <t>n</t>
        </is>
      </c>
      <c r="B15" s="110" t="n">
        <v>3</v>
      </c>
      <c r="C15" s="110" t="n">
        <v>0</v>
      </c>
      <c r="D15" s="110" t="inlineStr">
        <is>
          <t>Verify Cable Parameters.Type is non-empty</t>
        </is>
      </c>
      <c r="E15" s="110" t="n"/>
      <c r="F15" s="110" t="n"/>
      <c r="G15" s="110" t="n"/>
      <c r="H15" s="110" t="n"/>
      <c r="I15" s="110" t="inlineStr">
        <is>
          <t>n</t>
        </is>
      </c>
      <c r="J15" s="110" t="inlineStr">
        <is>
          <t>OPC 40450-1 Section 11.1 CU-46</t>
        </is>
      </c>
      <c r="K15" s="110" t="n"/>
    </row>
    <row r="16">
      <c r="A16" s="111" t="n"/>
      <c r="B16" s="111" t="n"/>
      <c r="C16" s="111" t="n">
        <v>1</v>
      </c>
      <c r="D16" s="111" t="inlineStr">
        <is>
          <t>Read Parameters/Type from Cable.</t>
        </is>
      </c>
      <c r="E16" s="111" t="inlineStr">
        <is>
          <t>Server claims this Conformance Unit; no additional runtime setup is needed for this step.</t>
        </is>
      </c>
      <c r="F16" s="111" t="inlineStr">
        <is>
          <t>Type is non-null, non-empty string.</t>
        </is>
      </c>
      <c r="G16" s="111" t="inlineStr">
        <is>
          <t>Good</t>
        </is>
      </c>
      <c r="H16" s="111" t="n"/>
      <c r="I16" s="111" t="n"/>
      <c r="J16" s="111" t="inlineStr">
        <is>
          <t>OPC 40450-1 Section 11.1 CU-46</t>
        </is>
      </c>
      <c r="K16" s="111" t="inlineStr">
        <is>
          <t>Requirement source: OPC 40450-1 Section 8.6 - Type is Mandatory.</t>
        </is>
      </c>
    </row>
    <row r="17">
      <c r="A17" s="110" t="inlineStr">
        <is>
          <t>n</t>
        </is>
      </c>
      <c r="B17" s="110" t="n">
        <v>4</v>
      </c>
      <c r="C17" s="110" t="n">
        <v>0</v>
      </c>
      <c r="D17" s="110" t="inlineStr">
        <is>
          <t>Verify Cable Identification is MachineryComponentIdentificationType</t>
        </is>
      </c>
      <c r="E17" s="110" t="n"/>
      <c r="F17" s="110" t="n"/>
      <c r="G17" s="110" t="n"/>
      <c r="H17" s="110" t="n"/>
      <c r="I17" s="110" t="inlineStr">
        <is>
          <t>n</t>
        </is>
      </c>
      <c r="J17" s="110" t="inlineStr">
        <is>
          <t>OPC 40450-1 Section 11.1 CU-46</t>
        </is>
      </c>
      <c r="K17" s="110" t="n"/>
    </row>
    <row r="18" ht="25.8" customHeight="1" s="132">
      <c r="A18" s="111" t="n"/>
      <c r="B18" s="111" t="n"/>
      <c r="C18" s="111" t="n">
        <v>1</v>
      </c>
      <c r="D18" s="111" t="inlineStr">
        <is>
          <t>Read TypeDefinitionId of Cable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inlineStr">
        <is>
          <t>OPC 40450-1 Section 11.1 CU-46</t>
        </is>
      </c>
      <c r="K18" s="111" t="inlineStr">
        <is>
          <t>Requirement source: OPC 40450-1 Section 8.6 - Uses MachineryComponentIdentificationType.</t>
        </is>
      </c>
    </row>
  </sheetData>
  <mergeCells count="2">
    <mergeCell ref="A1:K1"/>
    <mergeCell ref="C2:J2"/>
  </mergeCells>
  <pageMargins left="0.7" right="0.7" top="0.75" bottom="0.75" header="0.3" footer="0.3"/>
</worksheet>
</file>

<file path=xl/worksheets/sheet53.xml><?xml version="1.0" encoding="utf-8"?>
<worksheet xmlns="http://schemas.openxmlformats.org/spreadsheetml/2006/main">
  <sheetPr codeName="Sheet50">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CU-47: Asset Management Power Supply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CU-47 — Asset Management Power Supply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AMPS-1 Verify AssetManagement/PowerSupplies folder exists</t>
        </is>
      </c>
      <c r="E4" s="58" t="n"/>
      <c r="F4" s="58" t="n"/>
      <c r="G4" s="58" t="n"/>
      <c r="H4" s="58" t="n"/>
      <c r="I4" s="58" t="n"/>
      <c r="J4" s="58" t="inlineStr">
        <is>
          <t>OPC 40450-1 Section 7.9 (CU-47)</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PowerSupplies folder.</t>
        </is>
      </c>
      <c r="E5" s="89" t="inlineStr">
        <is>
          <t>CU-47 declared. JoiningSystemType instance accessible.</t>
        </is>
      </c>
      <c r="F5" s="89" t="inlineStr">
        <is>
          <t>PowerSupplies folder present under AssetManagement. BrowseName = "PowerSupplies". NodeClass = Object.</t>
        </is>
      </c>
      <c r="G5" s="89" t="inlineStr">
        <is>
          <t>Good</t>
        </is>
      </c>
      <c r="H5" s="89" t="inlineStr">
        <is>
          <t>Good</t>
        </is>
      </c>
      <c r="I5" s="89" t="n"/>
      <c r="J5" s="89" t="inlineStr">
        <is>
          <t>OPC 40450-1 Section 7.9 (CU-47)</t>
        </is>
      </c>
      <c r="K5" s="90" t="n"/>
      <c r="L5" s="27" t="n"/>
      <c r="M5" s="28" t="n"/>
      <c r="N5" s="28" t="n"/>
    </row>
    <row r="6" ht="26.1" customHeight="1" s="132">
      <c r="A6" s="56" t="inlineStr">
        <is>
          <t>y</t>
        </is>
      </c>
      <c r="B6" s="57" t="n">
        <v>2</v>
      </c>
      <c r="C6" s="58" t="n">
        <v>0</v>
      </c>
      <c r="D6" s="58" t="inlineStr">
        <is>
          <t>AMPS-2 Verify at least one instance with IPowerSupplyType</t>
        </is>
      </c>
      <c r="E6" s="58" t="n"/>
      <c r="F6" s="58" t="n"/>
      <c r="G6" s="58" t="n"/>
      <c r="H6" s="58" t="n"/>
      <c r="I6" s="58" t="n"/>
      <c r="J6" s="58" t="inlineStr">
        <is>
          <t>OPC 40450-1 Section 7.9 (CU-47)</t>
        </is>
      </c>
      <c r="K6" s="74" t="n"/>
      <c r="L6" s="27" t="n"/>
      <c r="M6" s="28" t="n"/>
      <c r="N6" s="28" t="n"/>
    </row>
    <row r="7" ht="51.9" customHeight="1" s="132">
      <c r="A7" s="87" t="n"/>
      <c r="B7" s="88" t="n"/>
      <c r="C7" s="89" t="n">
        <v>1</v>
      </c>
      <c r="D7" s="89" t="inlineStr">
        <is>
          <t>Browse PowerSupplies folder. Enumerate child Objects.</t>
        </is>
      </c>
      <c r="E7" s="89" t="inlineStr">
        <is>
          <t>PowerSupplies folder accessible (AMPS-1 passed).</t>
        </is>
      </c>
      <c r="F7" s="89" t="inlineStr">
        <is>
          <t>At least one child Object present. TypeDefinition includes IPowerSupplyType.</t>
        </is>
      </c>
      <c r="G7" s="89" t="inlineStr">
        <is>
          <t>Good</t>
        </is>
      </c>
      <c r="H7" s="89" t="inlineStr">
        <is>
          <t>Good</t>
        </is>
      </c>
      <c r="I7" s="89" t="n"/>
      <c r="J7" s="89" t="inlineStr">
        <is>
          <t>OPC 40450-1 Section 7.9 (CU-47)</t>
        </is>
      </c>
      <c r="K7" s="90" t="n"/>
      <c r="L7" s="27" t="n"/>
      <c r="M7" s="28" t="n"/>
      <c r="N7" s="28" t="n"/>
    </row>
    <row r="8" ht="39" customHeight="1" s="132">
      <c r="A8" s="56" t="inlineStr">
        <is>
          <t>y</t>
        </is>
      </c>
      <c r="B8" s="57" t="n">
        <v>3</v>
      </c>
      <c r="C8" s="58" t="n">
        <v>0</v>
      </c>
      <c r="D8" s="58" t="inlineStr">
        <is>
          <t>AMPS-3 Read mandatory IPowerSupplyType properties</t>
        </is>
      </c>
      <c r="E8" s="58" t="n"/>
      <c r="F8" s="58" t="n"/>
      <c r="G8" s="58" t="n"/>
      <c r="H8" s="58" t="n"/>
      <c r="I8" s="58" t="n"/>
      <c r="J8" s="58" t="inlineStr">
        <is>
          <t>OPC 40450-1 Section 7.9 (CU-47)</t>
        </is>
      </c>
      <c r="K8" s="74" t="n"/>
      <c r="L8" s="27" t="n"/>
      <c r="M8" s="28" t="n"/>
      <c r="N8" s="28" t="n"/>
    </row>
    <row r="9" ht="51.6" customHeight="1" s="132">
      <c r="A9" s="87" t="n"/>
      <c r="B9" s="88" t="n"/>
      <c r="C9" s="89" t="n">
        <v>1</v>
      </c>
      <c r="D9" s="89" t="inlineStr">
        <is>
          <t>For a PowerSupply instance: read AssetId (String), Manufacturer (LocalizedText), Model (LocalizedText), SerialNumber (String), HardwareRevision (String), SoftwareRevision (String), ProductCode (String), ProductInstanceUri (String).</t>
        </is>
      </c>
      <c r="E9" s="89" t="inlineStr">
        <is>
          <t>PowerSupply instance accessible.</t>
        </is>
      </c>
      <c r="F9" s="89" t="inlineStr">
        <is>
          <t>All mandatory properties present. Read returns Good. No null values.</t>
        </is>
      </c>
      <c r="G9" s="89" t="inlineStr">
        <is>
          <t>Good</t>
        </is>
      </c>
      <c r="H9" s="89" t="inlineStr">
        <is>
          <t>Good</t>
        </is>
      </c>
      <c r="I9" s="89" t="n"/>
      <c r="J9" s="89" t="inlineStr">
        <is>
          <t>OPC 40450-1 Section 7.9 (CU-47)</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CU-47 conformance] AMPS-4 Verify PowerSupplies folder absent when CU-47 not claimed</t>
        </is>
      </c>
      <c r="E11" s="97" t="n"/>
      <c r="F11" s="97" t="n"/>
      <c r="G11" s="97" t="n"/>
      <c r="H11" s="97" t="n"/>
      <c r="I11" s="97" t="n"/>
      <c r="J11" s="97" t="inlineStr">
        <is>
          <t>OPC 40450-1 Section 7.9 (CU-47)</t>
        </is>
      </c>
      <c r="K11" s="98" t="inlineStr">
        <is>
          <t>Static negative test — browse only</t>
        </is>
      </c>
    </row>
    <row r="12" ht="25.8" customFormat="1" customHeight="1" s="138">
      <c r="A12" s="60" t="n"/>
      <c r="B12" s="61" t="n"/>
      <c r="C12" s="61" t="n">
        <v>1</v>
      </c>
      <c r="D12" s="61" t="inlineStr">
        <is>
          <t>[Optional helper] If CU-47 not declared: browse AssetManagement and check for PowerSupplies folder.</t>
        </is>
      </c>
      <c r="E12" s="61" t="inlineStr">
        <is>
          <t>Server conformance profile does not include CU-47.</t>
        </is>
      </c>
      <c r="F12" s="61" t="inlineStr">
        <is>
          <t>[Optional helper expected result] PowerSupplies folder NOT present under AssetManagement.</t>
        </is>
      </c>
      <c r="G12" s="61" t="inlineStr">
        <is>
          <t>Good</t>
        </is>
      </c>
      <c r="H12" s="61" t="n"/>
      <c r="I12" s="61" t="n"/>
      <c r="J12" s="61" t="inlineStr">
        <is>
          <t>OPC 40450-1 Section 7.9 (CU-47)</t>
        </is>
      </c>
      <c r="K12" s="62" t="n"/>
    </row>
    <row r="13">
      <c r="A13" s="125" t="inlineStr">
        <is>
          <t>n</t>
        </is>
      </c>
      <c r="B13" s="126" t="n">
        <v>2</v>
      </c>
      <c r="C13" s="127" t="n">
        <v>0</v>
      </c>
      <c r="D13" s="127" t="inlineStr">
        <is>
          <t>Verify PowerSupply implements IPowerSupplyType interface</t>
        </is>
      </c>
      <c r="E13" s="127" t="n"/>
      <c r="F13" s="127" t="n"/>
      <c r="G13" s="127" t="n"/>
      <c r="H13" s="127" t="n"/>
      <c r="I13" s="127" t="inlineStr">
        <is>
          <t>n</t>
        </is>
      </c>
      <c r="J13" s="127" t="inlineStr">
        <is>
          <t>OPC 40450-1 Section 11.1 CU-47</t>
        </is>
      </c>
      <c r="K13" s="128" t="n"/>
    </row>
    <row r="14" ht="25.8" customHeight="1" s="132">
      <c r="A14" s="111" t="n"/>
      <c r="B14" s="111" t="n"/>
      <c r="C14" s="111" t="n">
        <v>1</v>
      </c>
      <c r="D14" s="111" t="inlineStr">
        <is>
          <t>Browse PowerSupply for HasInterface reference to IPowerSupplyType.</t>
        </is>
      </c>
      <c r="E14" s="111" t="inlineStr">
        <is>
          <t>Server claims this Conformance Unit; no additional runtime setup is needed for this step.</t>
        </is>
      </c>
      <c r="F14" s="111" t="inlineStr">
        <is>
          <t>HasInterface reference found.</t>
        </is>
      </c>
      <c r="G14" s="111" t="inlineStr">
        <is>
          <t>Good</t>
        </is>
      </c>
      <c r="H14" s="111" t="n"/>
      <c r="I14" s="111" t="n"/>
      <c r="J14" s="111" t="inlineStr">
        <is>
          <t>OPC 40450-1 Section 11.1 CU-47</t>
        </is>
      </c>
      <c r="K14" s="111" t="inlineStr">
        <is>
          <t>Requirement source: OPC 40450-1 Section 8.7 - Must implement IPowerSupplyType.</t>
        </is>
      </c>
    </row>
    <row r="15">
      <c r="A15" s="110" t="inlineStr">
        <is>
          <t>n</t>
        </is>
      </c>
      <c r="B15" s="110" t="n">
        <v>3</v>
      </c>
      <c r="C15" s="110" t="n">
        <v>0</v>
      </c>
      <c r="D15" s="110" t="inlineStr">
        <is>
          <t>Verify Parameters.InputSpecification is present</t>
        </is>
      </c>
      <c r="E15" s="110" t="n"/>
      <c r="F15" s="110" t="n"/>
      <c r="G15" s="110" t="n"/>
      <c r="H15" s="110" t="n"/>
      <c r="I15" s="110" t="inlineStr">
        <is>
          <t>n</t>
        </is>
      </c>
      <c r="J15" s="110" t="inlineStr">
        <is>
          <t>OPC 40450-1 Section 11.1 CU-47</t>
        </is>
      </c>
      <c r="K15" s="110" t="n"/>
    </row>
    <row r="16">
      <c r="A16" s="111" t="n"/>
      <c r="B16" s="111" t="n"/>
      <c r="C16" s="111" t="n">
        <v>1</v>
      </c>
      <c r="D16" s="111" t="inlineStr">
        <is>
          <t>Read Parameters/InputSpecification from PowerSupply.</t>
        </is>
      </c>
      <c r="E16" s="111" t="inlineStr">
        <is>
          <t>Server claims this Conformance Unit; no additional runtime setup is needed for this step.</t>
        </is>
      </c>
      <c r="F16" s="111" t="inlineStr">
        <is>
          <t>InputSpecification is non-null.</t>
        </is>
      </c>
      <c r="G16" s="111" t="inlineStr">
        <is>
          <t>Good</t>
        </is>
      </c>
      <c r="H16" s="111" t="n"/>
      <c r="I16" s="111" t="n"/>
      <c r="J16" s="111" t="inlineStr">
        <is>
          <t>OPC 40450-1 Section 11.1 CU-47</t>
        </is>
      </c>
      <c r="K16" s="111" t="inlineStr">
        <is>
          <t>Requirement source: OPC 40450-1 Section 8.7 - InputSpecification expected.</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inlineStr">
        <is>
          <t>OPC 40450-1 Section 11.1 CU-47</t>
        </is>
      </c>
      <c r="K17" s="110" t="n"/>
    </row>
    <row r="18" ht="25.8" customHeight="1" s="132">
      <c r="A18" s="111" t="n"/>
      <c r="B18" s="111" t="n"/>
      <c r="C18" s="111" t="n">
        <v>1</v>
      </c>
      <c r="D18" s="111" t="inlineStr">
        <is>
          <t>Read TypeDefinitionId of PowerSupply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inlineStr">
        <is>
          <t>OPC 40450-1 Section 11.1 CU-47</t>
        </is>
      </c>
      <c r="K18" s="111" t="inlineStr">
        <is>
          <t>Requirement source: OPC 40450-1 Section 8.7 - Uses MachineryComponentIdentificationType.</t>
        </is>
      </c>
    </row>
  </sheetData>
  <mergeCells count="2">
    <mergeCell ref="A1:K1"/>
    <mergeCell ref="C2:J2"/>
  </mergeCells>
  <pageMargins left="0.7" right="0.7" top="0.75" bottom="0.75" header="0.3" footer="0.3"/>
</worksheet>
</file>

<file path=xl/worksheets/sheet54.xml><?xml version="1.0" encoding="utf-8"?>
<worksheet xmlns="http://schemas.openxmlformats.org/spreadsheetml/2006/main">
  <sheetPr codeName="Sheet51">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CU-48: Asset Management Feeder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CU-48 — Asset Management Feeder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AMF-1 Verify AssetManagement/Feeders folder exists</t>
        </is>
      </c>
      <c r="E4" s="58" t="n"/>
      <c r="F4" s="58" t="n"/>
      <c r="G4" s="58" t="n"/>
      <c r="H4" s="58" t="n"/>
      <c r="I4" s="58" t="n"/>
      <c r="J4" s="58" t="inlineStr">
        <is>
          <t>OPC 40450-1 Section 7.10 (CU-48)</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Feeders folder.</t>
        </is>
      </c>
      <c r="E5" s="89" t="inlineStr">
        <is>
          <t>CU-48 declared. JoiningSystemType instance accessible.</t>
        </is>
      </c>
      <c r="F5" s="89" t="inlineStr">
        <is>
          <t>Feeders folder present under AssetManagement. BrowseName = "Feeders". NodeClass = Object.</t>
        </is>
      </c>
      <c r="G5" s="89" t="inlineStr">
        <is>
          <t>Good</t>
        </is>
      </c>
      <c r="H5" s="89" t="inlineStr">
        <is>
          <t>Good</t>
        </is>
      </c>
      <c r="I5" s="89" t="n"/>
      <c r="J5" s="89" t="inlineStr">
        <is>
          <t>OPC 40450-1 Section 7.10 (CU-48)</t>
        </is>
      </c>
      <c r="K5" s="90" t="n"/>
      <c r="L5" s="27" t="n"/>
      <c r="M5" s="28" t="n"/>
      <c r="N5" s="28" t="n"/>
    </row>
    <row r="6" ht="26.1" customHeight="1" s="132">
      <c r="A6" s="56" t="inlineStr">
        <is>
          <t>y</t>
        </is>
      </c>
      <c r="B6" s="57" t="n">
        <v>2</v>
      </c>
      <c r="C6" s="58" t="n">
        <v>0</v>
      </c>
      <c r="D6" s="58" t="inlineStr">
        <is>
          <t>AMF-2 Verify at least one Feeder instance with IFeederType</t>
        </is>
      </c>
      <c r="E6" s="58" t="n"/>
      <c r="F6" s="58" t="n"/>
      <c r="G6" s="58" t="n"/>
      <c r="H6" s="58" t="n"/>
      <c r="I6" s="58" t="n"/>
      <c r="J6" s="58" t="inlineStr">
        <is>
          <t>OPC 40450-1 Section 7.10 (CU-48)</t>
        </is>
      </c>
      <c r="K6" s="74" t="n"/>
      <c r="L6" s="27" t="n"/>
      <c r="M6" s="28" t="n"/>
      <c r="N6" s="28" t="n"/>
    </row>
    <row r="7" ht="51.9" customHeight="1" s="132">
      <c r="A7" s="87" t="n"/>
      <c r="B7" s="88" t="n"/>
      <c r="C7" s="89" t="n">
        <v>1</v>
      </c>
      <c r="D7" s="89" t="inlineStr">
        <is>
          <t>Browse Feeders folder. Enumerate child Objects.</t>
        </is>
      </c>
      <c r="E7" s="89" t="inlineStr">
        <is>
          <t>Feeders folder accessible (AMF-1 passed).</t>
        </is>
      </c>
      <c r="F7" s="89" t="inlineStr">
        <is>
          <t>At least one child Object present. TypeDefinition includes IFeederType.</t>
        </is>
      </c>
      <c r="G7" s="89" t="inlineStr">
        <is>
          <t>Good</t>
        </is>
      </c>
      <c r="H7" s="89" t="inlineStr">
        <is>
          <t>Good</t>
        </is>
      </c>
      <c r="I7" s="89" t="n"/>
      <c r="J7" s="89" t="inlineStr">
        <is>
          <t>OPC 40450-1 Section 7.10 (CU-48)</t>
        </is>
      </c>
      <c r="K7" s="90" t="n"/>
      <c r="L7" s="27" t="n"/>
      <c r="M7" s="28" t="n"/>
      <c r="N7" s="28" t="n"/>
    </row>
    <row r="8" ht="39" customHeight="1" s="132">
      <c r="A8" s="56" t="inlineStr">
        <is>
          <t>y</t>
        </is>
      </c>
      <c r="B8" s="57" t="n">
        <v>3</v>
      </c>
      <c r="C8" s="58" t="n">
        <v>0</v>
      </c>
      <c r="D8" s="58" t="inlineStr">
        <is>
          <t>AMF-3 Read mandatory IFeederType properties</t>
        </is>
      </c>
      <c r="E8" s="58" t="n"/>
      <c r="F8" s="58" t="n"/>
      <c r="G8" s="58" t="n"/>
      <c r="H8" s="58" t="n"/>
      <c r="I8" s="58" t="n"/>
      <c r="J8" s="58" t="inlineStr">
        <is>
          <t>OPC 40450-1 Section 7.10 (CU-48)</t>
        </is>
      </c>
      <c r="K8" s="74" t="n"/>
      <c r="L8" s="27" t="n"/>
      <c r="M8" s="28" t="n"/>
      <c r="N8" s="28" t="n"/>
    </row>
    <row r="9" ht="38.7" customHeight="1" s="132">
      <c r="A9" s="87" t="n"/>
      <c r="B9" s="88" t="n"/>
      <c r="C9" s="89" t="n">
        <v>1</v>
      </c>
      <c r="D9" s="89" t="inlineStr">
        <is>
          <t>For a Feeder instance: read AssetId (String), Manufacturer (LocalizedText), Model (LocalizedText), SerialNumber (String), HardwareRevision (String), SoftwareRevision (String), ProductCode (String), ProductInstanceUri (String).</t>
        </is>
      </c>
      <c r="E9" s="89" t="inlineStr">
        <is>
          <t>Feeder instance accessible.</t>
        </is>
      </c>
      <c r="F9" s="89" t="inlineStr">
        <is>
          <t>All mandatory properties present. Read returns Good. No null values.</t>
        </is>
      </c>
      <c r="G9" s="89" t="inlineStr">
        <is>
          <t>Good</t>
        </is>
      </c>
      <c r="H9" s="89" t="inlineStr">
        <is>
          <t>Good</t>
        </is>
      </c>
      <c r="I9" s="89" t="n"/>
      <c r="J9" s="89" t="inlineStr">
        <is>
          <t>OPC 40450-1 Section 7.10 (CU-48)</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CU-48 conformance] AMF-4 Verify Feeders folder absent when CU-48 not claimed</t>
        </is>
      </c>
      <c r="E11" s="97" t="n"/>
      <c r="F11" s="97" t="n"/>
      <c r="G11" s="97" t="n"/>
      <c r="H11" s="97" t="n"/>
      <c r="I11" s="97" t="n"/>
      <c r="J11" s="97" t="inlineStr">
        <is>
          <t>OPC 40450-1 Section 7.10 (CU-48)</t>
        </is>
      </c>
      <c r="K11" s="98" t="inlineStr">
        <is>
          <t>Static negative test — browse only</t>
        </is>
      </c>
    </row>
    <row r="12" ht="25.8" customFormat="1" customHeight="1" s="138">
      <c r="A12" s="60" t="n"/>
      <c r="B12" s="61" t="n"/>
      <c r="C12" s="61" t="n">
        <v>1</v>
      </c>
      <c r="D12" s="61" t="inlineStr">
        <is>
          <t>[Optional helper] If CU-48 not declared: browse AssetManagement and check for Feeders folder.</t>
        </is>
      </c>
      <c r="E12" s="61" t="inlineStr">
        <is>
          <t>Server conformance profile does not include CU-48.</t>
        </is>
      </c>
      <c r="F12" s="61" t="inlineStr">
        <is>
          <t>[Optional helper expected result] Feeders folder NOT present under AssetManagement.</t>
        </is>
      </c>
      <c r="G12" s="61" t="inlineStr">
        <is>
          <t>Good</t>
        </is>
      </c>
      <c r="H12" s="61" t="n"/>
      <c r="I12" s="61" t="n"/>
      <c r="J12" s="61" t="inlineStr">
        <is>
          <t>OPC 40450-1 Section 7.10 (CU-48)</t>
        </is>
      </c>
      <c r="K12" s="62" t="n"/>
    </row>
    <row r="13">
      <c r="A13" s="125" t="inlineStr">
        <is>
          <t>n</t>
        </is>
      </c>
      <c r="B13" s="126" t="n">
        <v>2</v>
      </c>
      <c r="C13" s="127" t="n">
        <v>0</v>
      </c>
      <c r="D13" s="127" t="inlineStr">
        <is>
          <t>Verify Feeder implements IFeederType interface</t>
        </is>
      </c>
      <c r="E13" s="127" t="n"/>
      <c r="F13" s="127" t="n"/>
      <c r="G13" s="127" t="n"/>
      <c r="H13" s="127" t="n"/>
      <c r="I13" s="127" t="inlineStr">
        <is>
          <t>n</t>
        </is>
      </c>
      <c r="J13" s="127" t="inlineStr">
        <is>
          <t>OPC 40450-1 Section 11.1 CU-48</t>
        </is>
      </c>
      <c r="K13" s="128" t="n"/>
    </row>
    <row r="14">
      <c r="A14" s="111" t="n"/>
      <c r="B14" s="111" t="n"/>
      <c r="C14" s="111" t="n">
        <v>1</v>
      </c>
      <c r="D14" s="111" t="inlineStr">
        <is>
          <t>Browse Feeder for HasInterface reference to IFeederType.</t>
        </is>
      </c>
      <c r="E14" s="111" t="inlineStr">
        <is>
          <t>Server claims this Conformance Unit; no additional runtime setup is needed for this step.</t>
        </is>
      </c>
      <c r="F14" s="111" t="inlineStr">
        <is>
          <t>HasInterface reference found.</t>
        </is>
      </c>
      <c r="G14" s="111" t="inlineStr">
        <is>
          <t>Good</t>
        </is>
      </c>
      <c r="H14" s="111" t="n"/>
      <c r="I14" s="111" t="n"/>
      <c r="J14" s="111" t="inlineStr">
        <is>
          <t>OPC 40450-1 Section 11.1 CU-48</t>
        </is>
      </c>
      <c r="K14" s="111" t="inlineStr">
        <is>
          <t>Requirement source: OPC 40450-1 Section 8.8 - Must implement IFeederType.</t>
        </is>
      </c>
    </row>
    <row r="15">
      <c r="A15" s="110" t="inlineStr">
        <is>
          <t>n</t>
        </is>
      </c>
      <c r="B15" s="110" t="n">
        <v>3</v>
      </c>
      <c r="C15" s="110" t="n">
        <v>0</v>
      </c>
      <c r="D15" s="110" t="inlineStr">
        <is>
          <t>Verify Parameters.Type and Parameters.Material are present</t>
        </is>
      </c>
      <c r="E15" s="110" t="n"/>
      <c r="F15" s="110" t="n"/>
      <c r="G15" s="110" t="n"/>
      <c r="H15" s="110" t="n"/>
      <c r="I15" s="110" t="inlineStr">
        <is>
          <t>n</t>
        </is>
      </c>
      <c r="J15" s="110" t="inlineStr">
        <is>
          <t>OPC 40450-1 Section 11.1 CU-48</t>
        </is>
      </c>
      <c r="K15" s="110" t="n"/>
    </row>
    <row r="16">
      <c r="A16" s="111" t="n"/>
      <c r="B16" s="111" t="n"/>
      <c r="C16" s="111" t="n">
        <v>1</v>
      </c>
      <c r="D16" s="111" t="inlineStr">
        <is>
          <t>Read Parameters/Type and Parameters/Material from Feeder.</t>
        </is>
      </c>
      <c r="E16" s="111" t="inlineStr">
        <is>
          <t>Server claims this Conformance Unit; no additional runtime setup is needed for this step.</t>
        </is>
      </c>
      <c r="F16" s="111" t="inlineStr">
        <is>
          <t>Both Type and Material are non-null.</t>
        </is>
      </c>
      <c r="G16" s="111" t="inlineStr">
        <is>
          <t>Good</t>
        </is>
      </c>
      <c r="H16" s="111" t="n"/>
      <c r="I16" s="111" t="n"/>
      <c r="J16" s="111" t="inlineStr">
        <is>
          <t>OPC 40450-1 Section 11.1 CU-48</t>
        </is>
      </c>
      <c r="K16" s="111" t="inlineStr">
        <is>
          <t>Requirement source: OPC 40450-1 Section 8.8 - Both are expected properties.</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inlineStr">
        <is>
          <t>OPC 40450-1 Section 11.1 CU-48</t>
        </is>
      </c>
      <c r="K17" s="110" t="n"/>
    </row>
    <row r="18" ht="25.8" customHeight="1" s="132">
      <c r="A18" s="111" t="n"/>
      <c r="B18" s="111" t="n"/>
      <c r="C18" s="111" t="n">
        <v>1</v>
      </c>
      <c r="D18" s="111" t="inlineStr">
        <is>
          <t>Read TypeDefinitionId of Feeder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inlineStr">
        <is>
          <t>OPC 40450-1 Section 11.1 CU-48</t>
        </is>
      </c>
      <c r="K18" s="111" t="inlineStr">
        <is>
          <t>Requirement source: OPC 40450-1 Section 8.8 - Uses MachineryComponentIdentificationType.</t>
        </is>
      </c>
    </row>
  </sheetData>
  <mergeCells count="2">
    <mergeCell ref="A1:K1"/>
    <mergeCell ref="C2:J2"/>
  </mergeCells>
  <pageMargins left="0.7" right="0.7" top="0.75" bottom="0.75" header="0.3" footer="0.3"/>
</worksheet>
</file>

<file path=xl/worksheets/sheet55.xml><?xml version="1.0" encoding="utf-8"?>
<worksheet xmlns="http://schemas.openxmlformats.org/spreadsheetml/2006/main">
  <sheetPr codeName="Sheet5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CU-49: Asset Management Battery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CU-49 — Asset Management Battery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AMB-1 Verify AssetManagement/Batteries folder exists</t>
        </is>
      </c>
      <c r="E4" s="58" t="n"/>
      <c r="F4" s="58" t="n"/>
      <c r="G4" s="58" t="n"/>
      <c r="H4" s="58" t="n"/>
      <c r="I4" s="58" t="n"/>
      <c r="J4" s="58" t="inlineStr">
        <is>
          <t>OPC 40450-1 Section 7.11 (CU-49)</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Batteries folder.</t>
        </is>
      </c>
      <c r="E5" s="89" t="inlineStr">
        <is>
          <t>CU-49 declared. JoiningSystemType instance accessible.</t>
        </is>
      </c>
      <c r="F5" s="89" t="inlineStr">
        <is>
          <t>Batteries folder present under AssetManagement. BrowseName = "Batteries". NodeClass = Object.</t>
        </is>
      </c>
      <c r="G5" s="89" t="inlineStr">
        <is>
          <t>Good</t>
        </is>
      </c>
      <c r="H5" s="89" t="inlineStr">
        <is>
          <t>Good</t>
        </is>
      </c>
      <c r="I5" s="89" t="n"/>
      <c r="J5" s="89" t="inlineStr">
        <is>
          <t>OPC 40450-1 Section 7.11 (CU-49)</t>
        </is>
      </c>
      <c r="K5" s="90" t="n"/>
      <c r="L5" s="27" t="n"/>
      <c r="M5" s="28" t="n"/>
      <c r="N5" s="28" t="n"/>
    </row>
    <row r="6" ht="26.1" customHeight="1" s="132">
      <c r="A6" s="56" t="inlineStr">
        <is>
          <t>y</t>
        </is>
      </c>
      <c r="B6" s="57" t="n">
        <v>2</v>
      </c>
      <c r="C6" s="58" t="n">
        <v>0</v>
      </c>
      <c r="D6" s="58" t="inlineStr">
        <is>
          <t>AMB-2 Verify at least one Battery instance with IFeederType or IBatteryType</t>
        </is>
      </c>
      <c r="E6" s="58" t="n"/>
      <c r="F6" s="58" t="n"/>
      <c r="G6" s="58" t="n"/>
      <c r="H6" s="58" t="n"/>
      <c r="I6" s="58" t="n"/>
      <c r="J6" s="58" t="inlineStr">
        <is>
          <t>OPC 40450-1 Section 7.11 (CU-49)</t>
        </is>
      </c>
      <c r="K6" s="74" t="n"/>
      <c r="L6" s="27" t="n"/>
      <c r="M6" s="28" t="n"/>
      <c r="N6" s="28" t="n"/>
    </row>
    <row r="7" ht="51.9" customHeight="1" s="132">
      <c r="A7" s="87" t="n"/>
      <c r="B7" s="88" t="n"/>
      <c r="C7" s="89" t="n">
        <v>1</v>
      </c>
      <c r="D7" s="89" t="inlineStr">
        <is>
          <t>Browse Batteries folder. Enumerate child Objects.</t>
        </is>
      </c>
      <c r="E7" s="89" t="inlineStr">
        <is>
          <t>Batteries folder accessible (AMB-1 passed).</t>
        </is>
      </c>
      <c r="F7" s="89" t="inlineStr">
        <is>
          <t>At least one child Object present. TypeDefinition includes IBatteryType or IFeederType (per spec inheritance).</t>
        </is>
      </c>
      <c r="G7" s="89" t="inlineStr">
        <is>
          <t>Good</t>
        </is>
      </c>
      <c r="H7" s="89" t="inlineStr">
        <is>
          <t>Good</t>
        </is>
      </c>
      <c r="I7" s="89" t="n"/>
      <c r="J7" s="89" t="inlineStr">
        <is>
          <t>OPC 40450-1 Section 7.11 (CU-49)</t>
        </is>
      </c>
      <c r="K7" s="90" t="n"/>
      <c r="L7" s="27" t="n"/>
      <c r="M7" s="28" t="n"/>
      <c r="N7" s="28" t="n"/>
    </row>
    <row r="8" ht="39" customHeight="1" s="132">
      <c r="A8" s="56" t="inlineStr">
        <is>
          <t>y</t>
        </is>
      </c>
      <c r="B8" s="57" t="n">
        <v>3</v>
      </c>
      <c r="C8" s="58" t="n">
        <v>0</v>
      </c>
      <c r="D8" s="58" t="inlineStr">
        <is>
          <t>AMB-3 Read mandatory IBatteryType properties</t>
        </is>
      </c>
      <c r="E8" s="58" t="n"/>
      <c r="F8" s="58" t="n"/>
      <c r="G8" s="58" t="n"/>
      <c r="H8" s="58" t="n"/>
      <c r="I8" s="58" t="n"/>
      <c r="J8" s="58" t="inlineStr">
        <is>
          <t>OPC 40450-1 Section 7.11 (CU-49)</t>
        </is>
      </c>
      <c r="K8" s="74" t="n"/>
      <c r="L8" s="27" t="n"/>
      <c r="M8" s="28" t="n"/>
      <c r="N8" s="28" t="n"/>
    </row>
    <row r="9" ht="38.7" customHeight="1" s="132">
      <c r="A9" s="87" t="n"/>
      <c r="B9" s="88" t="n"/>
      <c r="C9" s="89" t="n">
        <v>1</v>
      </c>
      <c r="D9" s="89" t="inlineStr">
        <is>
          <t>For a Battery instance: read AssetId (String), Manufacturer (LocalizedText), Model (LocalizedText), SerialNumber (String), HardwareRevision (String), SoftwareRevision (String), ProductCode (String), ProductInstanceUri (String).</t>
        </is>
      </c>
      <c r="E9" s="89" t="inlineStr">
        <is>
          <t>Battery instance accessible.</t>
        </is>
      </c>
      <c r="F9" s="89" t="inlineStr">
        <is>
          <t>All mandatory properties present. Read returns Good. No null values.</t>
        </is>
      </c>
      <c r="G9" s="89" t="inlineStr">
        <is>
          <t>Good</t>
        </is>
      </c>
      <c r="H9" s="89" t="inlineStr">
        <is>
          <t>Good</t>
        </is>
      </c>
      <c r="I9" s="89" t="n"/>
      <c r="J9" s="89" t="inlineStr">
        <is>
          <t>OPC 40450-1 Section 7.11 (CU-49)</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CU-49 conformance] AMB-4 Verify Batteries folder absent when CU-49 not claimed</t>
        </is>
      </c>
      <c r="E11" s="97" t="n"/>
      <c r="F11" s="97" t="n"/>
      <c r="G11" s="97" t="n"/>
      <c r="H11" s="97" t="n"/>
      <c r="I11" s="97" t="n"/>
      <c r="J11" s="97" t="inlineStr">
        <is>
          <t>OPC 40450-1 Section 7.11 (CU-49)</t>
        </is>
      </c>
      <c r="K11" s="98" t="inlineStr">
        <is>
          <t>Static negative test — browse only</t>
        </is>
      </c>
    </row>
    <row r="12" ht="25.8" customFormat="1" customHeight="1" s="138">
      <c r="A12" s="60" t="n"/>
      <c r="B12" s="61" t="n"/>
      <c r="C12" s="61" t="n">
        <v>1</v>
      </c>
      <c r="D12" s="61" t="inlineStr">
        <is>
          <t>[Optional helper] If CU-49 not declared: browse AssetManagement and check for Batteries folder.</t>
        </is>
      </c>
      <c r="E12" s="61" t="inlineStr">
        <is>
          <t>Server conformance profile does not include CU-49.</t>
        </is>
      </c>
      <c r="F12" s="61" t="inlineStr">
        <is>
          <t>[Optional helper expected result] Batteries folder NOT present under AssetManagement.</t>
        </is>
      </c>
      <c r="G12" s="61" t="inlineStr">
        <is>
          <t>Good</t>
        </is>
      </c>
      <c r="H12" s="61" t="n"/>
      <c r="I12" s="61" t="n"/>
      <c r="J12" s="61" t="inlineStr">
        <is>
          <t>OPC 40450-1 Section 7.11 (CU-49)</t>
        </is>
      </c>
      <c r="K12" s="62" t="n"/>
    </row>
    <row r="13">
      <c r="A13" s="125" t="inlineStr">
        <is>
          <t>n</t>
        </is>
      </c>
      <c r="B13" s="126" t="n">
        <v>2</v>
      </c>
      <c r="C13" s="127" t="n">
        <v>0</v>
      </c>
      <c r="D13" s="127" t="inlineStr">
        <is>
          <t>Verify Battery implements IBatteryType interface</t>
        </is>
      </c>
      <c r="E13" s="127" t="n"/>
      <c r="F13" s="127" t="n"/>
      <c r="G13" s="127" t="n"/>
      <c r="H13" s="127" t="n"/>
      <c r="I13" s="127" t="inlineStr">
        <is>
          <t>n</t>
        </is>
      </c>
      <c r="J13" s="127" t="inlineStr">
        <is>
          <t>OPC 40450-1 Section 11.1 CU-49</t>
        </is>
      </c>
      <c r="K13" s="128" t="n"/>
    </row>
    <row r="14">
      <c r="A14" s="111" t="n"/>
      <c r="B14" s="111" t="n"/>
      <c r="C14" s="111" t="n">
        <v>1</v>
      </c>
      <c r="D14" s="111" t="inlineStr">
        <is>
          <t>Browse Battery for HasInterface reference to IBatteryType.</t>
        </is>
      </c>
      <c r="E14" s="111" t="inlineStr">
        <is>
          <t>Server claims this Conformance Unit; no additional runtime setup is needed for this step.</t>
        </is>
      </c>
      <c r="F14" s="111" t="inlineStr">
        <is>
          <t>HasInterface reference found.</t>
        </is>
      </c>
      <c r="G14" s="111" t="inlineStr">
        <is>
          <t>Good</t>
        </is>
      </c>
      <c r="H14" s="111" t="n"/>
      <c r="I14" s="111" t="n"/>
      <c r="J14" s="111" t="inlineStr">
        <is>
          <t>OPC 40450-1 Section 11.1 CU-49</t>
        </is>
      </c>
      <c r="K14" s="111" t="inlineStr">
        <is>
          <t>Requirement source: OPC 40450-1 Section 8.9 - Must implement IBatteryType.</t>
        </is>
      </c>
    </row>
    <row r="15">
      <c r="A15" s="110" t="inlineStr">
        <is>
          <t>n</t>
        </is>
      </c>
      <c r="B15" s="110" t="n">
        <v>3</v>
      </c>
      <c r="C15" s="110" t="n">
        <v>0</v>
      </c>
      <c r="D15" s="110" t="inlineStr">
        <is>
          <t>Verify Parameters.NominalVoltage is positive Double</t>
        </is>
      </c>
      <c r="E15" s="110" t="n"/>
      <c r="F15" s="110" t="n"/>
      <c r="G15" s="110" t="n"/>
      <c r="H15" s="110" t="n"/>
      <c r="I15" s="110" t="inlineStr">
        <is>
          <t>n</t>
        </is>
      </c>
      <c r="J15" s="110" t="inlineStr">
        <is>
          <t>OPC 40450-1 Section 11.1 CU-49</t>
        </is>
      </c>
      <c r="K15" s="110" t="n"/>
    </row>
    <row r="16">
      <c r="A16" s="111" t="n"/>
      <c r="B16" s="111" t="n"/>
      <c r="C16" s="111" t="n">
        <v>1</v>
      </c>
      <c r="D16" s="111" t="inlineStr">
        <is>
          <t>Read Parameters/NominalVoltage from Battery.</t>
        </is>
      </c>
      <c r="E16" s="111" t="inlineStr">
        <is>
          <t>Server claims this Conformance Unit; no additional runtime setup is needed for this step.</t>
        </is>
      </c>
      <c r="F16" s="111" t="inlineStr">
        <is>
          <t>NominalVoltage is positive Double.</t>
        </is>
      </c>
      <c r="G16" s="111" t="inlineStr">
        <is>
          <t>Good</t>
        </is>
      </c>
      <c r="H16" s="111" t="n"/>
      <c r="I16" s="111" t="n"/>
      <c r="J16" s="111" t="inlineStr">
        <is>
          <t>OPC 40450-1 Section 11.1 CU-49</t>
        </is>
      </c>
      <c r="K16" s="111" t="inlineStr">
        <is>
          <t>Requirement source: OPC 40450-1 Section 8.9 - NominalVoltage must be &gt; 0.</t>
        </is>
      </c>
    </row>
    <row r="17">
      <c r="A17" s="110" t="inlineStr">
        <is>
          <t>n</t>
        </is>
      </c>
      <c r="B17" s="110" t="n">
        <v>4</v>
      </c>
      <c r="C17" s="110" t="n">
        <v>0</v>
      </c>
      <c r="D17" s="110" t="inlineStr">
        <is>
          <t>Verify Parameters.Capacity is positive Double</t>
        </is>
      </c>
      <c r="E17" s="110" t="n"/>
      <c r="F17" s="110" t="n"/>
      <c r="G17" s="110" t="n"/>
      <c r="H17" s="110" t="n"/>
      <c r="I17" s="110" t="inlineStr">
        <is>
          <t>n</t>
        </is>
      </c>
      <c r="J17" s="110" t="inlineStr">
        <is>
          <t>OPC 40450-1 Section 11.1 CU-49</t>
        </is>
      </c>
      <c r="K17" s="110" t="n"/>
    </row>
    <row r="18">
      <c r="A18" s="111" t="n"/>
      <c r="B18" s="111" t="n"/>
      <c r="C18" s="111" t="n">
        <v>1</v>
      </c>
      <c r="D18" s="111" t="inlineStr">
        <is>
          <t>Read Parameters/Capacity from Battery.</t>
        </is>
      </c>
      <c r="E18" s="111" t="inlineStr">
        <is>
          <t>Server claims this Conformance Unit; no additional runtime setup is needed for this step.</t>
        </is>
      </c>
      <c r="F18" s="111" t="inlineStr">
        <is>
          <t>Capacity is positive Double.</t>
        </is>
      </c>
      <c r="G18" s="111" t="inlineStr">
        <is>
          <t>Good</t>
        </is>
      </c>
      <c r="H18" s="111" t="n"/>
      <c r="I18" s="111" t="n"/>
      <c r="J18" s="111" t="inlineStr">
        <is>
          <t>OPC 40450-1 Section 11.1 CU-49</t>
        </is>
      </c>
      <c r="K18" s="111" t="inlineStr">
        <is>
          <t>Requirement source: OPC 40450-1 Section 8.9 - Capacity must be &gt; 0.</t>
        </is>
      </c>
    </row>
  </sheetData>
  <mergeCells count="2">
    <mergeCell ref="A1:K1"/>
    <mergeCell ref="C2:J2"/>
  </mergeCells>
  <pageMargins left="0.7" right="0.7" top="0.75" bottom="0.75" header="0.3" footer="0.3"/>
</worksheet>
</file>

<file path=xl/worksheets/sheet56.xml><?xml version="1.0" encoding="utf-8"?>
<worksheet xmlns="http://schemas.openxmlformats.org/spreadsheetml/2006/main">
  <sheetPr codeName="Sheet53">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CU-50: Asset Management Sensor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CU-50 — Asset Management Sensor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AMSE-1 Verify AssetManagement/Sensors folder exists</t>
        </is>
      </c>
      <c r="E4" s="58" t="n"/>
      <c r="F4" s="58" t="n"/>
      <c r="G4" s="58" t="n"/>
      <c r="H4" s="58" t="n"/>
      <c r="I4" s="58" t="n"/>
      <c r="J4" s="58" t="inlineStr">
        <is>
          <t>OPC 40450-1 Section 7.12 (CU-50)</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Sensors folder.</t>
        </is>
      </c>
      <c r="E5" s="89" t="inlineStr">
        <is>
          <t>CU-50 declared. JoiningSystemType instance accessible.</t>
        </is>
      </c>
      <c r="F5" s="89" t="inlineStr">
        <is>
          <t>Sensors folder present under AssetManagement. BrowseName = "Sensors". NodeClass = Object.</t>
        </is>
      </c>
      <c r="G5" s="89" t="inlineStr">
        <is>
          <t>Good</t>
        </is>
      </c>
      <c r="H5" s="89" t="inlineStr">
        <is>
          <t>Good</t>
        </is>
      </c>
      <c r="I5" s="89" t="n"/>
      <c r="J5" s="89" t="inlineStr">
        <is>
          <t>OPC 40450-1 Section 7.12 (CU-50)</t>
        </is>
      </c>
      <c r="K5" s="90" t="n"/>
      <c r="L5" s="27" t="n"/>
      <c r="M5" s="28" t="n"/>
      <c r="N5" s="28" t="n"/>
    </row>
    <row r="6" ht="26.1" customHeight="1" s="132">
      <c r="A6" s="56" t="inlineStr">
        <is>
          <t>y</t>
        </is>
      </c>
      <c r="B6" s="57" t="n">
        <v>2</v>
      </c>
      <c r="C6" s="58" t="n">
        <v>0</v>
      </c>
      <c r="D6" s="58" t="inlineStr">
        <is>
          <t>AMSE-2 Verify at least one Sensor instance with ISensorType</t>
        </is>
      </c>
      <c r="E6" s="58" t="n"/>
      <c r="F6" s="58" t="n"/>
      <c r="G6" s="58" t="n"/>
      <c r="H6" s="58" t="n"/>
      <c r="I6" s="58" t="n"/>
      <c r="J6" s="58" t="inlineStr">
        <is>
          <t>OPC 40450-1 Section 7.12 (CU-50)</t>
        </is>
      </c>
      <c r="K6" s="74" t="n"/>
      <c r="L6" s="27" t="n"/>
      <c r="M6" s="28" t="n"/>
      <c r="N6" s="28" t="n"/>
    </row>
    <row r="7" ht="51.9" customHeight="1" s="132">
      <c r="A7" s="87" t="n"/>
      <c r="B7" s="88" t="n"/>
      <c r="C7" s="89" t="n">
        <v>1</v>
      </c>
      <c r="D7" s="89" t="inlineStr">
        <is>
          <t>Browse Sensors folder. Enumerate child Objects.</t>
        </is>
      </c>
      <c r="E7" s="89" t="inlineStr">
        <is>
          <t>Sensors folder accessible (AMSE-1 passed).</t>
        </is>
      </c>
      <c r="F7" s="89" t="inlineStr">
        <is>
          <t>At least one child Object present. TypeDefinition includes ISensorType.</t>
        </is>
      </c>
      <c r="G7" s="89" t="inlineStr">
        <is>
          <t>Good</t>
        </is>
      </c>
      <c r="H7" s="89" t="inlineStr">
        <is>
          <t>Good</t>
        </is>
      </c>
      <c r="I7" s="89" t="n"/>
      <c r="J7" s="89" t="inlineStr">
        <is>
          <t>OPC 40450-1 Section 7.12 (CU-50)</t>
        </is>
      </c>
      <c r="K7" s="90" t="n"/>
      <c r="L7" s="27" t="n"/>
      <c r="M7" s="28" t="n"/>
      <c r="N7" s="28" t="n"/>
    </row>
    <row r="8" ht="39" customHeight="1" s="132">
      <c r="A8" s="56" t="inlineStr">
        <is>
          <t>y</t>
        </is>
      </c>
      <c r="B8" s="57" t="n">
        <v>3</v>
      </c>
      <c r="C8" s="58" t="n">
        <v>0</v>
      </c>
      <c r="D8" s="58" t="inlineStr">
        <is>
          <t>AMSE-3 Read mandatory ISensorType properties</t>
        </is>
      </c>
      <c r="E8" s="58" t="n"/>
      <c r="F8" s="58" t="n"/>
      <c r="G8" s="58" t="n"/>
      <c r="H8" s="58" t="n"/>
      <c r="I8" s="58" t="n"/>
      <c r="J8" s="58" t="inlineStr">
        <is>
          <t>OPC 40450-1 Section 7.12 (CU-50)</t>
        </is>
      </c>
      <c r="K8" s="74" t="n"/>
      <c r="L8" s="27" t="n"/>
      <c r="M8" s="28" t="n"/>
      <c r="N8" s="28" t="n"/>
    </row>
    <row r="9" ht="38.7" customHeight="1" s="132">
      <c r="A9" s="87" t="n"/>
      <c r="B9" s="88" t="n"/>
      <c r="C9" s="89" t="n">
        <v>1</v>
      </c>
      <c r="D9" s="89" t="inlineStr">
        <is>
          <t>For a Sensor instance: read AssetId (String), Manufacturer (LocalizedText), Model (LocalizedText), SerialNumber (String), HardwareRevision (String), SoftwareRevision (String), ProductCode (String), ProductInstanceUri (String).</t>
        </is>
      </c>
      <c r="E9" s="89" t="inlineStr">
        <is>
          <t>Sensor instance accessible.</t>
        </is>
      </c>
      <c r="F9" s="89" t="inlineStr">
        <is>
          <t>All mandatory properties present. Read returns Good. No null values.</t>
        </is>
      </c>
      <c r="G9" s="89" t="inlineStr">
        <is>
          <t>Good</t>
        </is>
      </c>
      <c r="H9" s="89" t="inlineStr">
        <is>
          <t>Good</t>
        </is>
      </c>
      <c r="I9" s="89" t="n"/>
      <c r="J9" s="89" t="inlineStr">
        <is>
          <t>OPC 40450-1 Section 7.12 (CU-50)</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CU-50 conformance] AMSE-4 Verify Sensors folder absent when CU-50 not claimed</t>
        </is>
      </c>
      <c r="E11" s="97" t="n"/>
      <c r="F11" s="97" t="n"/>
      <c r="G11" s="97" t="n"/>
      <c r="H11" s="97" t="n"/>
      <c r="I11" s="97" t="n"/>
      <c r="J11" s="97" t="inlineStr">
        <is>
          <t>OPC 40450-1 Section 7.12 (CU-50)</t>
        </is>
      </c>
      <c r="K11" s="98" t="inlineStr">
        <is>
          <t>Static negative test — browse only</t>
        </is>
      </c>
    </row>
    <row r="12" ht="25.8" customFormat="1" customHeight="1" s="138">
      <c r="A12" s="60" t="n"/>
      <c r="B12" s="61" t="n"/>
      <c r="C12" s="61" t="n">
        <v>1</v>
      </c>
      <c r="D12" s="61" t="inlineStr">
        <is>
          <t>[Optional helper] If CU-50 not declared: browse AssetManagement and check for Sensors folder.</t>
        </is>
      </c>
      <c r="E12" s="61" t="inlineStr">
        <is>
          <t>Server conformance profile does not include CU-50.</t>
        </is>
      </c>
      <c r="F12" s="61" t="inlineStr">
        <is>
          <t>[Optional helper expected result] Sensors folder NOT present under AssetManagement.</t>
        </is>
      </c>
      <c r="G12" s="61" t="inlineStr">
        <is>
          <t>Good</t>
        </is>
      </c>
      <c r="H12" s="61" t="n"/>
      <c r="I12" s="61" t="n"/>
      <c r="J12" s="61" t="inlineStr">
        <is>
          <t>OPC 40450-1 Section 7.12 (CU-50)</t>
        </is>
      </c>
      <c r="K12" s="62" t="n"/>
    </row>
    <row r="13">
      <c r="A13" s="125" t="inlineStr">
        <is>
          <t>n</t>
        </is>
      </c>
      <c r="B13" s="126" t="n">
        <v>2</v>
      </c>
      <c r="C13" s="127" t="n">
        <v>0</v>
      </c>
      <c r="D13" s="127" t="inlineStr">
        <is>
          <t>Verify Sensor implements ISensorType interface</t>
        </is>
      </c>
      <c r="E13" s="127" t="n"/>
      <c r="F13" s="127" t="n"/>
      <c r="G13" s="127" t="n"/>
      <c r="H13" s="127" t="n"/>
      <c r="I13" s="127" t="inlineStr">
        <is>
          <t>n</t>
        </is>
      </c>
      <c r="J13" s="127" t="inlineStr">
        <is>
          <t>OPC 40450-1 Section 11.1 CU-50</t>
        </is>
      </c>
      <c r="K13" s="128" t="n"/>
    </row>
    <row r="14" ht="25.8" customHeight="1" s="132">
      <c r="A14" s="111" t="n"/>
      <c r="B14" s="111" t="n"/>
      <c r="C14" s="111" t="n">
        <v>1</v>
      </c>
      <c r="D14" s="111" t="inlineStr">
        <is>
          <t>Browse Sensor instance for HasInterface reference to ISensorType.</t>
        </is>
      </c>
      <c r="E14" s="111" t="inlineStr">
        <is>
          <t>Server claims this Conformance Unit; no additional runtime setup is needed for this step.</t>
        </is>
      </c>
      <c r="F14" s="111" t="inlineStr">
        <is>
          <t>HasInterface reference to ISensorType found.</t>
        </is>
      </c>
      <c r="G14" s="111" t="inlineStr">
        <is>
          <t>Good</t>
        </is>
      </c>
      <c r="H14" s="111" t="n"/>
      <c r="I14" s="111" t="n"/>
      <c r="J14" s="111" t="inlineStr">
        <is>
          <t>OPC 40450-1 Section 11.1 CU-50</t>
        </is>
      </c>
      <c r="K14" s="111" t="inlineStr">
        <is>
          <t>Requirement source: OPC 40450-1 Section 8.10 - Sensor must implement ISensorType.</t>
        </is>
      </c>
    </row>
    <row r="15">
      <c r="A15" s="110" t="inlineStr">
        <is>
          <t>n</t>
        </is>
      </c>
      <c r="B15" s="110" t="n">
        <v>3</v>
      </c>
      <c r="C15" s="110" t="n">
        <v>0</v>
      </c>
      <c r="D15" s="110" t="inlineStr">
        <is>
          <t>Verify Sensor Parameters.Type is non-empty</t>
        </is>
      </c>
      <c r="E15" s="110" t="n"/>
      <c r="F15" s="110" t="n"/>
      <c r="G15" s="110" t="n"/>
      <c r="H15" s="110" t="n"/>
      <c r="I15" s="110" t="inlineStr">
        <is>
          <t>n</t>
        </is>
      </c>
      <c r="J15" s="110" t="inlineStr">
        <is>
          <t>OPC 40450-1 Section 11.1 CU-50</t>
        </is>
      </c>
      <c r="K15" s="110" t="n"/>
    </row>
    <row r="16">
      <c r="A16" s="111" t="n"/>
      <c r="B16" s="111" t="n"/>
      <c r="C16" s="111" t="n">
        <v>1</v>
      </c>
      <c r="D16" s="111" t="inlineStr">
        <is>
          <t>Read Parameters/Type from Sensor.</t>
        </is>
      </c>
      <c r="E16" s="111" t="inlineStr">
        <is>
          <t>Server claims this Conformance Unit; no additional runtime setup is needed for this step.</t>
        </is>
      </c>
      <c r="F16" s="111" t="inlineStr">
        <is>
          <t>Type is non-null, non-empty string.</t>
        </is>
      </c>
      <c r="G16" s="111" t="inlineStr">
        <is>
          <t>Good</t>
        </is>
      </c>
      <c r="H16" s="111" t="n"/>
      <c r="I16" s="111" t="n"/>
      <c r="J16" s="111" t="inlineStr">
        <is>
          <t>OPC 40450-1 Section 11.1 CU-50</t>
        </is>
      </c>
      <c r="K16" s="111" t="inlineStr">
        <is>
          <t>Requirement source: OPC 40450-1 Section 8.10 - Type is Mandatory.</t>
        </is>
      </c>
    </row>
    <row r="17">
      <c r="A17" s="110" t="inlineStr">
        <is>
          <t>n</t>
        </is>
      </c>
      <c r="B17" s="110" t="n">
        <v>4</v>
      </c>
      <c r="C17" s="110" t="n">
        <v>0</v>
      </c>
      <c r="D17" s="110" t="inlineStr">
        <is>
          <t>Verify Sensor Identification is MachineryComponentIdentificationType</t>
        </is>
      </c>
      <c r="E17" s="110" t="n"/>
      <c r="F17" s="110" t="n"/>
      <c r="G17" s="110" t="n"/>
      <c r="H17" s="110" t="n"/>
      <c r="I17" s="110" t="inlineStr">
        <is>
          <t>n</t>
        </is>
      </c>
      <c r="J17" s="110" t="inlineStr">
        <is>
          <t>OPC 40450-1 Section 11.1 CU-50</t>
        </is>
      </c>
      <c r="K17" s="110" t="n"/>
    </row>
    <row r="18" ht="25.8" customHeight="1" s="132">
      <c r="A18" s="111" t="n"/>
      <c r="B18" s="111" t="n"/>
      <c r="C18" s="111" t="n">
        <v>1</v>
      </c>
      <c r="D18" s="111" t="inlineStr">
        <is>
          <t>Read TypeDefinitionId of Sensor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inlineStr">
        <is>
          <t>OPC 40450-1 Section 11.1 CU-50</t>
        </is>
      </c>
      <c r="K18" s="111" t="inlineStr">
        <is>
          <t>Requirement source: OPC 40450-1 Section 8.10 - Uses MachineryComponentIdentificationType.</t>
        </is>
      </c>
    </row>
  </sheetData>
  <mergeCells count="2">
    <mergeCell ref="A1:K1"/>
    <mergeCell ref="C2:J2"/>
  </mergeCells>
  <pageMargins left="0.7" right="0.7" top="0.75" bottom="0.75" header="0.3" footer="0.3"/>
</worksheet>
</file>

<file path=xl/worksheets/sheet57.xml><?xml version="1.0" encoding="utf-8"?>
<worksheet xmlns="http://schemas.openxmlformats.org/spreadsheetml/2006/main">
  <sheetPr codeName="Sheet54">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CU-51: Asset Management Accessory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CU-51 — Asset Management Accessory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AMAC-1 Verify AssetManagement/Accessories folder exists</t>
        </is>
      </c>
      <c r="E4" s="58" t="n"/>
      <c r="F4" s="58" t="n"/>
      <c r="G4" s="58" t="n"/>
      <c r="H4" s="58" t="n"/>
      <c r="I4" s="58" t="n"/>
      <c r="J4" s="58" t="inlineStr">
        <is>
          <t>OPC 40450-1 Section 7.13 (CU-51)</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Accessories folder.</t>
        </is>
      </c>
      <c r="E5" s="89" t="inlineStr">
        <is>
          <t>CU-51 declared. JoiningSystemType instance accessible.</t>
        </is>
      </c>
      <c r="F5" s="89" t="inlineStr">
        <is>
          <t>Accessories folder present under AssetManagement. BrowseName = "Accessories". NodeClass = Object.</t>
        </is>
      </c>
      <c r="G5" s="89" t="inlineStr">
        <is>
          <t>Good</t>
        </is>
      </c>
      <c r="H5" s="89" t="inlineStr">
        <is>
          <t>Good</t>
        </is>
      </c>
      <c r="I5" s="89" t="n"/>
      <c r="J5" s="89" t="inlineStr">
        <is>
          <t>OPC 40450-1 Section 7.13 (CU-51)</t>
        </is>
      </c>
      <c r="K5" s="90" t="n"/>
      <c r="L5" s="27" t="n"/>
      <c r="M5" s="28" t="n"/>
      <c r="N5" s="28" t="n"/>
    </row>
    <row r="6" ht="26.1" customHeight="1" s="132">
      <c r="A6" s="56" t="inlineStr">
        <is>
          <t>y</t>
        </is>
      </c>
      <c r="B6" s="57" t="n">
        <v>2</v>
      </c>
      <c r="C6" s="58" t="n">
        <v>0</v>
      </c>
      <c r="D6" s="58" t="inlineStr">
        <is>
          <t>AMAC-2 Verify at least one Accessory instance with IAccessoryType</t>
        </is>
      </c>
      <c r="E6" s="58" t="n"/>
      <c r="F6" s="58" t="n"/>
      <c r="G6" s="58" t="n"/>
      <c r="H6" s="58" t="n"/>
      <c r="I6" s="58" t="n"/>
      <c r="J6" s="58" t="inlineStr">
        <is>
          <t>OPC 40450-1 Section 7.13 (CU-51)</t>
        </is>
      </c>
      <c r="K6" s="74" t="n"/>
      <c r="L6" s="27" t="n"/>
      <c r="M6" s="28" t="n"/>
      <c r="N6" s="28" t="n"/>
    </row>
    <row r="7" ht="51.9" customHeight="1" s="132">
      <c r="A7" s="87" t="n"/>
      <c r="B7" s="88" t="n"/>
      <c r="C7" s="89" t="n">
        <v>1</v>
      </c>
      <c r="D7" s="89" t="inlineStr">
        <is>
          <t>Browse Accessories folder. Enumerate child Objects.</t>
        </is>
      </c>
      <c r="E7" s="89" t="inlineStr">
        <is>
          <t>Accessories folder accessible (AMAC-1 passed).</t>
        </is>
      </c>
      <c r="F7" s="89" t="inlineStr">
        <is>
          <t>At least one child Object present. TypeDefinition includes IAccessoryType.</t>
        </is>
      </c>
      <c r="G7" s="89" t="inlineStr">
        <is>
          <t>Good</t>
        </is>
      </c>
      <c r="H7" s="89" t="inlineStr">
        <is>
          <t>Good</t>
        </is>
      </c>
      <c r="I7" s="89" t="n"/>
      <c r="J7" s="89" t="inlineStr">
        <is>
          <t>OPC 40450-1 Section 7.13 (CU-51)</t>
        </is>
      </c>
      <c r="K7" s="90" t="n"/>
      <c r="L7" s="27" t="n"/>
      <c r="M7" s="28" t="n"/>
      <c r="N7" s="28" t="n"/>
    </row>
    <row r="8" ht="39" customHeight="1" s="132">
      <c r="A8" s="56" t="inlineStr">
        <is>
          <t>y</t>
        </is>
      </c>
      <c r="B8" s="57" t="n">
        <v>3</v>
      </c>
      <c r="C8" s="58" t="n">
        <v>0</v>
      </c>
      <c r="D8" s="58" t="inlineStr">
        <is>
          <t>AMAC-3 Read mandatory IAccessoryType properties</t>
        </is>
      </c>
      <c r="E8" s="58" t="n"/>
      <c r="F8" s="58" t="n"/>
      <c r="G8" s="58" t="n"/>
      <c r="H8" s="58" t="n"/>
      <c r="I8" s="58" t="n"/>
      <c r="J8" s="58" t="inlineStr">
        <is>
          <t>OPC 40450-1 Section 7.13 (CU-51)</t>
        </is>
      </c>
      <c r="K8" s="74" t="n"/>
      <c r="L8" s="27" t="n"/>
      <c r="M8" s="28" t="n"/>
      <c r="N8" s="28" t="n"/>
    </row>
    <row r="9" ht="51.6" customHeight="1" s="132">
      <c r="A9" s="87" t="n"/>
      <c r="B9" s="88" t="n"/>
      <c r="C9" s="89" t="n">
        <v>1</v>
      </c>
      <c r="D9" s="89" t="inlineStr">
        <is>
          <t>For an Accessory instance: read AssetId (String), Manufacturer (LocalizedText), Model (LocalizedText), SerialNumber (String), HardwareRevision (String), SoftwareRevision (String), ProductCode (String), ProductInstanceUri (String).</t>
        </is>
      </c>
      <c r="E9" s="89" t="inlineStr">
        <is>
          <t>Accessory instance accessible.</t>
        </is>
      </c>
      <c r="F9" s="89" t="inlineStr">
        <is>
          <t>All mandatory properties present. Read returns Good. No null values.</t>
        </is>
      </c>
      <c r="G9" s="89" t="inlineStr">
        <is>
          <t>Good</t>
        </is>
      </c>
      <c r="H9" s="89" t="inlineStr">
        <is>
          <t>Good</t>
        </is>
      </c>
      <c r="I9" s="89" t="n"/>
      <c r="J9" s="89" t="inlineStr">
        <is>
          <t>OPC 40450-1 Section 7.13 (CU-51)</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CU-51 conformance] AMAC-4 Verify Accessories folder absent when CU-51 not claimed</t>
        </is>
      </c>
      <c r="E11" s="97" t="n"/>
      <c r="F11" s="97" t="n"/>
      <c r="G11" s="97" t="n"/>
      <c r="H11" s="97" t="n"/>
      <c r="I11" s="97" t="n"/>
      <c r="J11" s="97" t="inlineStr">
        <is>
          <t>OPC 40450-1 Section 7.13 (CU-51)</t>
        </is>
      </c>
      <c r="K11" s="98" t="inlineStr">
        <is>
          <t>Static negative test — browse only</t>
        </is>
      </c>
    </row>
    <row r="12" ht="25.8" customFormat="1" customHeight="1" s="138">
      <c r="A12" s="60" t="n"/>
      <c r="B12" s="61" t="n"/>
      <c r="C12" s="61" t="n">
        <v>1</v>
      </c>
      <c r="D12" s="61" t="inlineStr">
        <is>
          <t>[Optional helper] If CU-51 not declared: browse AssetManagement and check for Accessories folder.</t>
        </is>
      </c>
      <c r="E12" s="61" t="inlineStr">
        <is>
          <t>Server conformance profile does not include CU-51.</t>
        </is>
      </c>
      <c r="F12" s="61" t="inlineStr">
        <is>
          <t>[Optional helper expected result] Accessories folder NOT present under AssetManagement.</t>
        </is>
      </c>
      <c r="G12" s="61" t="inlineStr">
        <is>
          <t>Good</t>
        </is>
      </c>
      <c r="H12" s="61" t="n"/>
      <c r="I12" s="61" t="n"/>
      <c r="J12" s="61" t="inlineStr">
        <is>
          <t>OPC 40450-1 Section 7.13 (CU-51)</t>
        </is>
      </c>
      <c r="K12" s="62" t="n"/>
    </row>
    <row r="13">
      <c r="A13" s="125" t="inlineStr">
        <is>
          <t>n</t>
        </is>
      </c>
      <c r="B13" s="126" t="n">
        <v>2</v>
      </c>
      <c r="C13" s="127" t="n">
        <v>0</v>
      </c>
      <c r="D13" s="127" t="inlineStr">
        <is>
          <t>Verify Accessory implements IAccessoryType interface</t>
        </is>
      </c>
      <c r="E13" s="127" t="n"/>
      <c r="F13" s="127" t="n"/>
      <c r="G13" s="127" t="n"/>
      <c r="H13" s="127" t="n"/>
      <c r="I13" s="127" t="inlineStr">
        <is>
          <t>n</t>
        </is>
      </c>
      <c r="J13" s="127" t="inlineStr">
        <is>
          <t>OPC 40450-1 Section 11.1 CU-51</t>
        </is>
      </c>
      <c r="K13" s="128" t="n"/>
    </row>
    <row r="14" ht="25.8" customHeight="1" s="132">
      <c r="A14" s="111" t="n"/>
      <c r="B14" s="111" t="n"/>
      <c r="C14" s="111" t="n">
        <v>1</v>
      </c>
      <c r="D14" s="111" t="inlineStr">
        <is>
          <t>Browse Accessory instance for HasInterface reference to IAccessoryType.</t>
        </is>
      </c>
      <c r="E14" s="111" t="inlineStr">
        <is>
          <t>Server claims this Conformance Unit; no additional runtime setup is needed for this step.</t>
        </is>
      </c>
      <c r="F14" s="111" t="inlineStr">
        <is>
          <t>HasInterface reference to IAccessoryType found.</t>
        </is>
      </c>
      <c r="G14" s="111" t="inlineStr">
        <is>
          <t>Good</t>
        </is>
      </c>
      <c r="H14" s="111" t="n"/>
      <c r="I14" s="111" t="n"/>
      <c r="J14" s="111" t="inlineStr">
        <is>
          <t>OPC 40450-1 Section 11.1 CU-51</t>
        </is>
      </c>
      <c r="K14" s="111" t="inlineStr">
        <is>
          <t>Requirement source: OPC 40450-1 Section 8.11 - Accessory must implement IAccessoryType.</t>
        </is>
      </c>
    </row>
    <row r="15">
      <c r="A15" s="110" t="inlineStr">
        <is>
          <t>n</t>
        </is>
      </c>
      <c r="B15" s="110" t="n">
        <v>3</v>
      </c>
      <c r="C15" s="110" t="n">
        <v>0</v>
      </c>
      <c r="D15" s="110" t="inlineStr">
        <is>
          <t>Verify Accessory Parameters.Type is non-empty</t>
        </is>
      </c>
      <c r="E15" s="110" t="n"/>
      <c r="F15" s="110" t="n"/>
      <c r="G15" s="110" t="n"/>
      <c r="H15" s="110" t="n"/>
      <c r="I15" s="110" t="inlineStr">
        <is>
          <t>n</t>
        </is>
      </c>
      <c r="J15" s="110" t="inlineStr">
        <is>
          <t>OPC 40450-1 Section 11.1 CU-51</t>
        </is>
      </c>
      <c r="K15" s="110" t="n"/>
    </row>
    <row r="16">
      <c r="A16" s="111" t="n"/>
      <c r="B16" s="111" t="n"/>
      <c r="C16" s="111" t="n">
        <v>1</v>
      </c>
      <c r="D16" s="111" t="inlineStr">
        <is>
          <t>Read Parameters/Type from Accessory.</t>
        </is>
      </c>
      <c r="E16" s="111" t="inlineStr">
        <is>
          <t>Server claims this Conformance Unit; no additional runtime setup is needed for this step.</t>
        </is>
      </c>
      <c r="F16" s="111" t="inlineStr">
        <is>
          <t>Type is non-null, non-empty string.</t>
        </is>
      </c>
      <c r="G16" s="111" t="inlineStr">
        <is>
          <t>Good</t>
        </is>
      </c>
      <c r="H16" s="111" t="n"/>
      <c r="I16" s="111" t="n"/>
      <c r="J16" s="111" t="inlineStr">
        <is>
          <t>OPC 40450-1 Section 11.1 CU-51</t>
        </is>
      </c>
      <c r="K16" s="111" t="inlineStr">
        <is>
          <t>Requirement source: OPC 40450-1 Section 8.11 - Type is Mandatory.</t>
        </is>
      </c>
    </row>
    <row r="17">
      <c r="A17" s="110" t="inlineStr">
        <is>
          <t>n</t>
        </is>
      </c>
      <c r="B17" s="110" t="n">
        <v>4</v>
      </c>
      <c r="C17" s="110" t="n">
        <v>0</v>
      </c>
      <c r="D17" s="110" t="inlineStr">
        <is>
          <t>Verify Accessory Identification is MachineryComponentIdentificationType</t>
        </is>
      </c>
      <c r="E17" s="110" t="n"/>
      <c r="F17" s="110" t="n"/>
      <c r="G17" s="110" t="n"/>
      <c r="H17" s="110" t="n"/>
      <c r="I17" s="110" t="inlineStr">
        <is>
          <t>n</t>
        </is>
      </c>
      <c r="J17" s="110" t="inlineStr">
        <is>
          <t>OPC 40450-1 Section 11.1 CU-51</t>
        </is>
      </c>
      <c r="K17" s="110" t="n"/>
    </row>
    <row r="18" ht="25.8" customHeight="1" s="132">
      <c r="A18" s="111" t="n"/>
      <c r="B18" s="111" t="n"/>
      <c r="C18" s="111" t="n">
        <v>1</v>
      </c>
      <c r="D18" s="111" t="inlineStr">
        <is>
          <t>Read TypeDefinitionId of Accessory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inlineStr">
        <is>
          <t>OPC 40450-1 Section 11.1 CU-51</t>
        </is>
      </c>
      <c r="K18" s="111" t="inlineStr">
        <is>
          <t>Requirement source: OPC 40450-1 Section 8.11 - Uses MachineryComponentIdentificationType.</t>
        </is>
      </c>
    </row>
  </sheetData>
  <mergeCells count="2">
    <mergeCell ref="A1:K1"/>
    <mergeCell ref="C2:J2"/>
  </mergeCells>
  <pageMargins left="0.7" right="0.7" top="0.75" bottom="0.75" header="0.3" footer="0.3"/>
</worksheet>
</file>

<file path=xl/worksheets/sheet58.xml><?xml version="1.0" encoding="utf-8"?>
<worksheet xmlns="http://schemas.openxmlformats.org/spreadsheetml/2006/main">
  <sheetPr codeName="Sheet55">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CU-52: Asset Management Software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CU-52 — Asset Management Software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AMSW-1 Verify AssetManagement/SoftwareComponents folder exists</t>
        </is>
      </c>
      <c r="E4" s="58" t="n"/>
      <c r="F4" s="58" t="n"/>
      <c r="G4" s="58" t="n"/>
      <c r="H4" s="58" t="n"/>
      <c r="I4" s="58" t="n"/>
      <c r="J4" s="58" t="inlineStr">
        <is>
          <t>OPC 40450-1 Section 7.14 (CU-52)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SoftwareComponents folder.</t>
        </is>
      </c>
      <c r="E5" s="89" t="inlineStr">
        <is>
          <t>CU-52 declared. JoiningSystemType instance accessible.</t>
        </is>
      </c>
      <c r="F5" s="89" t="inlineStr">
        <is>
          <t>SoftwareComponents folder present under AssetManagement. BrowseName = "SoftwareComponents". NodeClass = Object.</t>
        </is>
      </c>
      <c r="G5" s="89" t="inlineStr">
        <is>
          <t>Good</t>
        </is>
      </c>
      <c r="H5" s="89" t="inlineStr">
        <is>
          <t>Good</t>
        </is>
      </c>
      <c r="I5" s="89" t="n"/>
      <c r="J5" s="89" t="inlineStr">
        <is>
          <t>OPC 40450-1 Section 7.14 (CU-52)</t>
        </is>
      </c>
      <c r="K5" s="90" t="n"/>
      <c r="L5" s="27" t="n"/>
      <c r="M5" s="28" t="n"/>
      <c r="N5" s="28" t="n"/>
    </row>
    <row r="6" ht="26.1" customHeight="1" s="132">
      <c r="A6" s="56" t="inlineStr">
        <is>
          <t>y</t>
        </is>
      </c>
      <c r="B6" s="57" t="n">
        <v>2</v>
      </c>
      <c r="C6" s="58" t="n">
        <v>0</v>
      </c>
      <c r="D6" s="58" t="inlineStr">
        <is>
          <t>AMSW-2 Verify at least one SoftwareComponent instance with ISoftwareType</t>
        </is>
      </c>
      <c r="E6" s="58" t="n"/>
      <c r="F6" s="58" t="n"/>
      <c r="G6" s="58" t="n"/>
      <c r="H6" s="58" t="n"/>
      <c r="I6" s="58" t="n"/>
      <c r="J6" s="58" t="inlineStr">
        <is>
          <t>OPC 40450-1 Section 7.14 (CU-52)</t>
        </is>
      </c>
      <c r="K6" s="74" t="n"/>
      <c r="L6" s="27" t="n"/>
      <c r="M6" s="28" t="n"/>
      <c r="N6" s="28" t="n"/>
    </row>
    <row r="7" ht="51.9" customHeight="1" s="132">
      <c r="A7" s="87" t="n"/>
      <c r="B7" s="88" t="n"/>
      <c r="C7" s="89" t="n">
        <v>1</v>
      </c>
      <c r="D7" s="89" t="inlineStr">
        <is>
          <t>Browse SoftwareComponents folder. Enumerate child Objects.</t>
        </is>
      </c>
      <c r="E7" s="89" t="inlineStr">
        <is>
          <t>SoftwareComponents folder accessible (AMSW-1 passed).</t>
        </is>
      </c>
      <c r="F7" s="89" t="inlineStr">
        <is>
          <t>At least one child Object present. TypeDefinition includes ISoftwareType.</t>
        </is>
      </c>
      <c r="G7" s="89" t="inlineStr">
        <is>
          <t>Good</t>
        </is>
      </c>
      <c r="H7" s="89" t="inlineStr">
        <is>
          <t>Good</t>
        </is>
      </c>
      <c r="I7" s="89" t="n"/>
      <c r="J7" s="89" t="inlineStr">
        <is>
          <t>OPC 40450-1 Section 7.14 (CU-52)</t>
        </is>
      </c>
      <c r="K7" s="90" t="n"/>
      <c r="L7" s="27" t="n"/>
      <c r="M7" s="28" t="n"/>
      <c r="N7" s="28" t="n"/>
    </row>
    <row r="8" ht="39" customHeight="1" s="132">
      <c r="A8" s="56" t="inlineStr">
        <is>
          <t>y</t>
        </is>
      </c>
      <c r="B8" s="57" t="n">
        <v>3</v>
      </c>
      <c r="C8" s="58" t="n">
        <v>0</v>
      </c>
      <c r="D8" s="58" t="inlineStr">
        <is>
          <t>AMSW-3 Read mandatory ISoftwareType properties including Manufacturer, SoftwareRevision, ProductUri</t>
        </is>
      </c>
      <c r="E8" s="58" t="n"/>
      <c r="F8" s="58" t="n"/>
      <c r="G8" s="58" t="n"/>
      <c r="H8" s="58" t="n"/>
      <c r="I8" s="58" t="n"/>
      <c r="J8" s="58" t="inlineStr">
        <is>
          <t>OPC 40450-1 Section 7.14 (CU-52)</t>
        </is>
      </c>
      <c r="K8" s="74" t="n"/>
      <c r="L8" s="27" t="n"/>
      <c r="M8" s="28" t="n"/>
      <c r="N8" s="28" t="n"/>
    </row>
    <row r="9" ht="38.7" customHeight="1" s="132">
      <c r="A9" s="87" t="n"/>
      <c r="B9" s="88" t="n"/>
      <c r="C9" s="89" t="n">
        <v>1</v>
      </c>
      <c r="D9" s="89" t="inlineStr">
        <is>
          <t>For a SoftwareComponent instance: read Manufacturer (LocalizedText), SoftwareRevision (String), ProductUri (String), and any other mandatory properties.</t>
        </is>
      </c>
      <c r="E9" s="89" t="inlineStr">
        <is>
          <t>SoftwareComponent instance accessible.</t>
        </is>
      </c>
      <c r="F9" s="89" t="inlineStr">
        <is>
          <t>Manufacturer is a non-null LocalizedText. SoftwareRevision is a non-empty String (e.g., version number). ProductUri is a non-empty String (URI format). All reads return StatusCode = Good.</t>
        </is>
      </c>
      <c r="G9" s="89" t="inlineStr">
        <is>
          <t>Good</t>
        </is>
      </c>
      <c r="H9" s="89" t="inlineStr">
        <is>
          <t>Good</t>
        </is>
      </c>
      <c r="I9" s="89" t="n"/>
      <c r="J9" s="89" t="inlineStr">
        <is>
          <t>OPC 40450-1 Section 7.14 (CU-52)</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n</t>
        </is>
      </c>
      <c r="B11" s="96" t="n">
        <v>1</v>
      </c>
      <c r="C11" s="97" t="n">
        <v>0</v>
      </c>
      <c r="D11" s="97" t="inlineStr">
        <is>
          <t>[Optional helper — profile negative check, not CU-52 conformance] AMSW-4 Verify SoftwareComponents folder absent when CU-52 not claimed</t>
        </is>
      </c>
      <c r="E11" s="97" t="n"/>
      <c r="F11" s="97" t="n"/>
      <c r="G11" s="97" t="n"/>
      <c r="H11" s="97" t="n"/>
      <c r="I11" s="97" t="n"/>
      <c r="J11" s="97" t="inlineStr">
        <is>
          <t>OPC 40450-1 Section 7.14 (CU-52)</t>
        </is>
      </c>
      <c r="K11" s="98" t="inlineStr">
        <is>
          <t>Static negative test — browse only</t>
        </is>
      </c>
    </row>
    <row r="12" ht="25.8" customFormat="1" customHeight="1" s="138">
      <c r="A12" s="60" t="n"/>
      <c r="B12" s="61" t="n"/>
      <c r="C12" s="61" t="n">
        <v>1</v>
      </c>
      <c r="D12" s="61" t="inlineStr">
        <is>
          <t>[Optional helper] If CU-52 not declared: browse AssetManagement and check for SoftwareComponents folder.</t>
        </is>
      </c>
      <c r="E12" s="61" t="inlineStr">
        <is>
          <t>Server conformance profile does not include CU-52.</t>
        </is>
      </c>
      <c r="F12" s="61" t="inlineStr">
        <is>
          <t>[Optional helper expected result] SoftwareComponents folder NOT present under AssetManagement.</t>
        </is>
      </c>
      <c r="G12" s="61" t="inlineStr">
        <is>
          <t>Good</t>
        </is>
      </c>
      <c r="H12" s="61" t="n"/>
      <c r="I12" s="61" t="n"/>
      <c r="J12" s="61" t="inlineStr">
        <is>
          <t>OPC 40450-1 Section 7.14 (CU-52)</t>
        </is>
      </c>
      <c r="K12" s="62" t="n"/>
    </row>
    <row r="13">
      <c r="A13" s="125" t="inlineStr">
        <is>
          <t>n</t>
        </is>
      </c>
      <c r="B13" s="126" t="n">
        <v>2</v>
      </c>
      <c r="C13" s="127" t="n">
        <v>0</v>
      </c>
      <c r="D13" s="127" t="inlineStr">
        <is>
          <t>Verify Software implements ISoftwareType interface</t>
        </is>
      </c>
      <c r="E13" s="127" t="n"/>
      <c r="F13" s="127" t="n"/>
      <c r="G13" s="127" t="n"/>
      <c r="H13" s="127" t="n"/>
      <c r="I13" s="127" t="inlineStr">
        <is>
          <t>n</t>
        </is>
      </c>
      <c r="J13" s="127" t="inlineStr">
        <is>
          <t>OPC 40450-1 Section 11.1 CU-52</t>
        </is>
      </c>
      <c r="K13" s="128" t="n"/>
    </row>
    <row r="14">
      <c r="A14" s="111" t="n"/>
      <c r="B14" s="111" t="n"/>
      <c r="C14" s="111" t="n">
        <v>1</v>
      </c>
      <c r="D14" s="111" t="inlineStr">
        <is>
          <t>Browse Software for HasInterface reference to ISoftwareType.</t>
        </is>
      </c>
      <c r="E14" s="111" t="inlineStr">
        <is>
          <t>Server claims this Conformance Unit; no additional runtime setup is needed for this step.</t>
        </is>
      </c>
      <c r="F14" s="111" t="inlineStr">
        <is>
          <t>HasInterface reference found.</t>
        </is>
      </c>
      <c r="G14" s="111" t="inlineStr">
        <is>
          <t>Good</t>
        </is>
      </c>
      <c r="H14" s="111" t="n"/>
      <c r="I14" s="111" t="n"/>
      <c r="J14" s="111" t="inlineStr">
        <is>
          <t>OPC 40450-1 Section 11.1 CU-52</t>
        </is>
      </c>
      <c r="K14" s="111" t="inlineStr">
        <is>
          <t>Requirement source: OPC 40450-1 Section 8.12 - Must implement ISoftwareType.</t>
        </is>
      </c>
    </row>
    <row r="15">
      <c r="A15" s="110" t="inlineStr">
        <is>
          <t>n</t>
        </is>
      </c>
      <c r="B15" s="110" t="n">
        <v>3</v>
      </c>
      <c r="C15" s="110" t="n">
        <v>0</v>
      </c>
      <c r="D15" s="110" t="inlineStr">
        <is>
          <t>Verify Software Identification has no DeviceClass or ProductCode</t>
        </is>
      </c>
      <c r="E15" s="110" t="n"/>
      <c r="F15" s="110" t="n"/>
      <c r="G15" s="110" t="n"/>
      <c r="H15" s="110" t="n"/>
      <c r="I15" s="110" t="inlineStr">
        <is>
          <t>n</t>
        </is>
      </c>
      <c r="J15" s="110" t="inlineStr">
        <is>
          <t>OPC 40450-1 Section 11.1 CU-52</t>
        </is>
      </c>
      <c r="K15" s="110" t="n"/>
    </row>
    <row r="16" ht="25.8" customHeight="1" s="132">
      <c r="A16" s="111" t="n"/>
      <c r="B16" s="111" t="n"/>
      <c r="C16" s="111" t="n">
        <v>1</v>
      </c>
      <c r="D16" s="111" t="inlineStr">
        <is>
          <t>Read DeviceClass and ProductCode from Software Identification.</t>
        </is>
      </c>
      <c r="E16" s="111" t="inlineStr">
        <is>
          <t>Server claims this Conformance Unit; no additional runtime setup is needed for this step.</t>
        </is>
      </c>
      <c r="F16" s="111" t="inlineStr">
        <is>
          <t>DeviceClass and ProductCode absent or null.</t>
        </is>
      </c>
      <c r="G16" s="111" t="inlineStr">
        <is>
          <t>Good</t>
        </is>
      </c>
      <c r="H16" s="111" t="n"/>
      <c r="I16" s="111" t="n"/>
      <c r="J16" s="111" t="inlineStr">
        <is>
          <t>OPC 40450-1 Section 11.1 CU-52</t>
        </is>
      </c>
      <c r="K16" s="111" t="inlineStr">
        <is>
          <t>Requirement source: OPC 40450-1 Section 8.12 - MachineryComponentIdentificationType lacks these.</t>
        </is>
      </c>
    </row>
    <row r="17">
      <c r="A17" s="110" t="inlineStr">
        <is>
          <t>n</t>
        </is>
      </c>
      <c r="B17" s="110" t="n">
        <v>4</v>
      </c>
      <c r="C17" s="110" t="n">
        <v>0</v>
      </c>
      <c r="D17" s="110" t="inlineStr">
        <is>
          <t>Verify Software Identification is MachineryComponentIdentificationType</t>
        </is>
      </c>
      <c r="E17" s="110" t="n"/>
      <c r="F17" s="110" t="n"/>
      <c r="G17" s="110" t="n"/>
      <c r="H17" s="110" t="n"/>
      <c r="I17" s="110" t="inlineStr">
        <is>
          <t>n</t>
        </is>
      </c>
      <c r="J17" s="110" t="inlineStr">
        <is>
          <t>OPC 40450-1 Section 11.1 CU-52</t>
        </is>
      </c>
      <c r="K17" s="110" t="n"/>
    </row>
    <row r="18" ht="25.8" customHeight="1" s="132">
      <c r="A18" s="111" t="n"/>
      <c r="B18" s="111" t="n"/>
      <c r="C18" s="111" t="n">
        <v>1</v>
      </c>
      <c r="D18" s="111" t="inlineStr">
        <is>
          <t>Read TypeDefinitionId of Software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inlineStr">
        <is>
          <t>OPC 40450-1 Section 11.1 CU-52</t>
        </is>
      </c>
      <c r="K18" s="111" t="inlineStr">
        <is>
          <t>Requirement source: OPC 40450-1 Section 8.12 - Uses MachineryComponentIdentificationType.</t>
        </is>
      </c>
    </row>
  </sheetData>
  <mergeCells count="2">
    <mergeCell ref="A1:K1"/>
    <mergeCell ref="C2:J2"/>
  </mergeCells>
  <pageMargins left="0.7" right="0.7" top="0.75" bottom="0.75" header="0.3" footer="0.3"/>
</worksheet>
</file>

<file path=xl/worksheets/sheet59.xml><?xml version="1.0" encoding="utf-8"?>
<worksheet xmlns="http://schemas.openxmlformats.org/spreadsheetml/2006/main">
  <sheetPr codeName="Sheet56">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CU-53: Asset Management SubComponent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CU-53 — Asset Management SubComponent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AMSC-1 Verify SubComponents component browsable on an existing asset</t>
        </is>
      </c>
      <c r="E4" s="58" t="n"/>
      <c r="F4" s="58" t="n"/>
      <c r="G4" s="58" t="n"/>
      <c r="H4" s="58" t="n"/>
      <c r="I4" s="58" t="n"/>
      <c r="J4" s="58" t="inlineStr">
        <is>
          <t>OPC 40450-1 Section 7.15 (CU-53)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Select a primary asset instance (e.g., a Controller or Tool). Browse its child nodes and locate a SubComponents Object.</t>
        </is>
      </c>
      <c r="E5" s="89" t="inlineStr">
        <is>
          <t>CU-53 declared. At least one primary asset instance with SubComponents accessible.</t>
        </is>
      </c>
      <c r="F5" s="89" t="inlineStr">
        <is>
          <t>SubComponents Object node present as a child of the primary asset. BrowseName = "SubComponents". NodeClass = Object.</t>
        </is>
      </c>
      <c r="G5" s="89" t="inlineStr">
        <is>
          <t>Good</t>
        </is>
      </c>
      <c r="H5" s="89" t="inlineStr">
        <is>
          <t>Good</t>
        </is>
      </c>
      <c r="I5" s="89" t="n"/>
      <c r="J5" s="89" t="inlineStr">
        <is>
          <t>OPC 40450-1 Section 7.15 (CU-53)</t>
        </is>
      </c>
      <c r="K5" s="90" t="n"/>
      <c r="L5" s="27" t="n"/>
      <c r="M5" s="28" t="n"/>
      <c r="N5" s="28" t="n"/>
    </row>
    <row r="6" ht="26.1" customHeight="1" s="132">
      <c r="A6" s="56" t="inlineStr">
        <is>
          <t>y</t>
        </is>
      </c>
      <c r="B6" s="57" t="n">
        <v>2</v>
      </c>
      <c r="C6" s="58" t="n">
        <v>0</v>
      </c>
      <c r="D6" s="58" t="inlineStr">
        <is>
          <t>AMSC-2 Verify SubComponent instances implement ISubComponentType</t>
        </is>
      </c>
      <c r="E6" s="58" t="n"/>
      <c r="F6" s="58" t="n"/>
      <c r="G6" s="58" t="n"/>
      <c r="H6" s="58" t="n"/>
      <c r="I6" s="58" t="n"/>
      <c r="J6" s="58" t="inlineStr">
        <is>
          <t>OPC 40450-1 Section 7.15 (CU-53)</t>
        </is>
      </c>
      <c r="K6" s="74" t="n"/>
      <c r="L6" s="27" t="n"/>
      <c r="M6" s="28" t="n"/>
      <c r="N6" s="28" t="n"/>
    </row>
    <row r="7" ht="51.9" customHeight="1" s="132">
      <c r="A7" s="87" t="n"/>
      <c r="B7" s="88" t="n"/>
      <c r="C7" s="89" t="n">
        <v>1</v>
      </c>
      <c r="D7" s="89" t="inlineStr">
        <is>
          <t>Browse the SubComponents Object. Enumerate child asset instances.</t>
        </is>
      </c>
      <c r="E7" s="89" t="inlineStr">
        <is>
          <t>SubComponents Object accessible (AMSC-1 passed).</t>
        </is>
      </c>
      <c r="F7" s="89" t="inlineStr">
        <is>
          <t>At least one child Object present. TypeDefinition includes ISubComponentType.</t>
        </is>
      </c>
      <c r="G7" s="89" t="inlineStr">
        <is>
          <t>Good</t>
        </is>
      </c>
      <c r="H7" s="89" t="inlineStr">
        <is>
          <t>Good</t>
        </is>
      </c>
      <c r="I7" s="89" t="n"/>
      <c r="J7" s="89" t="inlineStr">
        <is>
          <t>OPC 40450-1 Section 7.15 (CU-53)</t>
        </is>
      </c>
      <c r="K7" s="90" t="n"/>
      <c r="L7" s="27" t="n"/>
      <c r="M7" s="28" t="n"/>
      <c r="N7" s="28" t="n"/>
    </row>
    <row r="8" ht="39" customHeight="1" s="132">
      <c r="A8" s="56" t="inlineStr">
        <is>
          <t>y</t>
        </is>
      </c>
      <c r="B8" s="57" t="n">
        <v>3</v>
      </c>
      <c r="C8" s="58" t="n">
        <v>0</v>
      </c>
      <c r="D8" s="58" t="inlineStr">
        <is>
          <t>AMSC-3 Read mandatory ISubComponentType properties</t>
        </is>
      </c>
      <c r="E8" s="58" t="n"/>
      <c r="F8" s="58" t="n"/>
      <c r="G8" s="58" t="n"/>
      <c r="H8" s="58" t="n"/>
      <c r="I8" s="58" t="n"/>
      <c r="J8" s="58" t="inlineStr">
        <is>
          <t>OPC 40450-1 Section 7.15 (CU-53)</t>
        </is>
      </c>
      <c r="K8" s="74" t="n"/>
      <c r="L8" s="27" t="n"/>
      <c r="M8" s="28" t="n"/>
      <c r="N8" s="28" t="n"/>
    </row>
    <row r="9" ht="51.6" customHeight="1" s="132">
      <c r="A9" s="87" t="n"/>
      <c r="B9" s="88" t="n"/>
      <c r="C9" s="89" t="n">
        <v>1</v>
      </c>
      <c r="D9" s="89" t="inlineStr">
        <is>
          <t>For a SubComponent instance: read AssetId (String), Manufacturer (LocalizedText), Model (LocalizedText), SerialNumber (String), HardwareRevision (String), SoftwareRevision (String), ProductCode (String), ProductInstanceUri (String).</t>
        </is>
      </c>
      <c r="E9" s="89" t="inlineStr">
        <is>
          <t>SubComponent instance accessible.</t>
        </is>
      </c>
      <c r="F9" s="89" t="inlineStr">
        <is>
          <t>All mandatory properties present. Read returns Good. No null values.</t>
        </is>
      </c>
      <c r="G9" s="89" t="inlineStr">
        <is>
          <t>Good</t>
        </is>
      </c>
      <c r="H9" s="89" t="inlineStr">
        <is>
          <t>Good</t>
        </is>
      </c>
      <c r="I9" s="89" t="n"/>
      <c r="J9" s="89" t="inlineStr">
        <is>
          <t>OPC 40450-1 Section 7.15 (CU-53)</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CU-53 conformance] AMSC-4 Verify SubComponents absent when CU-53 not claimed</t>
        </is>
      </c>
      <c r="E11" s="97" t="n"/>
      <c r="F11" s="97" t="n"/>
      <c r="G11" s="97" t="n"/>
      <c r="H11" s="97" t="n"/>
      <c r="I11" s="97" t="n"/>
      <c r="J11" s="97" t="inlineStr">
        <is>
          <t>OPC 40450-1 Section 7.15 (CU-53)</t>
        </is>
      </c>
      <c r="K11" s="98" t="inlineStr">
        <is>
          <t>Static negative test — browse only</t>
        </is>
      </c>
    </row>
    <row r="12" ht="38.7" customFormat="1" customHeight="1" s="138">
      <c r="A12" s="60" t="n"/>
      <c r="B12" s="61" t="n"/>
      <c r="C12" s="61" t="n">
        <v>1</v>
      </c>
      <c r="D12" s="61" t="inlineStr">
        <is>
          <t>[Optional helper] If CU-53 not declared: browse primary asset instances and check for SubComponents.</t>
        </is>
      </c>
      <c r="E12" s="61" t="inlineStr">
        <is>
          <t>Server conformance profile does not include CU-53.</t>
        </is>
      </c>
      <c r="F12" s="61" t="inlineStr">
        <is>
          <t>[Optional helper expected result] No SubComponents child node present on any primary asset. Server must not expose SubComponents structure for unclaimed CU-53.</t>
        </is>
      </c>
      <c r="G12" s="61" t="inlineStr">
        <is>
          <t>Good</t>
        </is>
      </c>
      <c r="H12" s="61" t="n"/>
      <c r="I12" s="61" t="n"/>
      <c r="J12" s="61" t="inlineStr">
        <is>
          <t>OPC 40450-1 Section 7.15 (CU-53)</t>
        </is>
      </c>
      <c r="K12" s="62" t="n"/>
    </row>
    <row r="13">
      <c r="A13" s="125" t="inlineStr">
        <is>
          <t>n</t>
        </is>
      </c>
      <c r="B13" s="126" t="n">
        <v>2</v>
      </c>
      <c r="C13" s="127" t="n">
        <v>0</v>
      </c>
      <c r="D13" s="127" t="inlineStr">
        <is>
          <t>Verify SubComponent implements ISubComponentType interface</t>
        </is>
      </c>
      <c r="E13" s="127" t="n"/>
      <c r="F13" s="127" t="n"/>
      <c r="G13" s="127" t="n"/>
      <c r="H13" s="127" t="n"/>
      <c r="I13" s="127" t="inlineStr">
        <is>
          <t>n</t>
        </is>
      </c>
      <c r="J13" s="127" t="inlineStr">
        <is>
          <t>OPC 40450-1 Section 11.1 CU-53</t>
        </is>
      </c>
      <c r="K13" s="128" t="n"/>
    </row>
    <row r="14" ht="25.8" customHeight="1" s="132">
      <c r="A14" s="111" t="n"/>
      <c r="B14" s="111" t="n"/>
      <c r="C14" s="111" t="n">
        <v>1</v>
      </c>
      <c r="D14" s="111" t="inlineStr">
        <is>
          <t>Browse SubComponent instance for HasInterface reference to ISubComponentType.</t>
        </is>
      </c>
      <c r="E14" s="111" t="inlineStr">
        <is>
          <t>Server claims this Conformance Unit; no additional runtime setup is needed for this step.</t>
        </is>
      </c>
      <c r="F14" s="111" t="inlineStr">
        <is>
          <t>HasInterface reference to ISubComponentType found.</t>
        </is>
      </c>
      <c r="G14" s="111" t="inlineStr">
        <is>
          <t>Good</t>
        </is>
      </c>
      <c r="H14" s="111" t="n"/>
      <c r="I14" s="111" t="n"/>
      <c r="J14" s="111" t="inlineStr">
        <is>
          <t>OPC 40450-1 Section 11.1 CU-53</t>
        </is>
      </c>
      <c r="K14" s="111" t="inlineStr">
        <is>
          <t>Requirement source: OPC 40450-1 Section 8.13 - SubComponent must implement ISubComponentType.</t>
        </is>
      </c>
    </row>
    <row r="15">
      <c r="A15" s="110" t="inlineStr">
        <is>
          <t>n</t>
        </is>
      </c>
      <c r="B15" s="110" t="n">
        <v>3</v>
      </c>
      <c r="C15" s="110" t="n">
        <v>0</v>
      </c>
      <c r="D15" s="110" t="inlineStr">
        <is>
          <t>Verify SubComponent Parameters.Type is non-empty</t>
        </is>
      </c>
      <c r="E15" s="110" t="n"/>
      <c r="F15" s="110" t="n"/>
      <c r="G15" s="110" t="n"/>
      <c r="H15" s="110" t="n"/>
      <c r="I15" s="110" t="inlineStr">
        <is>
          <t>n</t>
        </is>
      </c>
      <c r="J15" s="110" t="inlineStr">
        <is>
          <t>OPC 40450-1 Section 11.1 CU-53</t>
        </is>
      </c>
      <c r="K15" s="110" t="n"/>
    </row>
    <row r="16">
      <c r="A16" s="111" t="n"/>
      <c r="B16" s="111" t="n"/>
      <c r="C16" s="111" t="n">
        <v>1</v>
      </c>
      <c r="D16" s="111" t="inlineStr">
        <is>
          <t>Read Parameters/Type from SubComponent.</t>
        </is>
      </c>
      <c r="E16" s="111" t="inlineStr">
        <is>
          <t>Server claims this Conformance Unit; no additional runtime setup is needed for this step.</t>
        </is>
      </c>
      <c r="F16" s="111" t="inlineStr">
        <is>
          <t>Type is non-null, non-empty string.</t>
        </is>
      </c>
      <c r="G16" s="111" t="inlineStr">
        <is>
          <t>Good</t>
        </is>
      </c>
      <c r="H16" s="111" t="n"/>
      <c r="I16" s="111" t="n"/>
      <c r="J16" s="111" t="inlineStr">
        <is>
          <t>OPC 40450-1 Section 11.1 CU-53</t>
        </is>
      </c>
      <c r="K16" s="111" t="inlineStr">
        <is>
          <t>Requirement source: OPC 40450-1 Section 8.13 - Type is Mandatory.</t>
        </is>
      </c>
    </row>
    <row r="17" ht="25.8" customHeight="1" s="132">
      <c r="A17" s="110" t="inlineStr">
        <is>
          <t>n</t>
        </is>
      </c>
      <c r="B17" s="110" t="n">
        <v>4</v>
      </c>
      <c r="C17" s="110" t="n">
        <v>0</v>
      </c>
      <c r="D17" s="110" t="inlineStr">
        <is>
          <t>Verify SubComponent Identification is MachineryComponentIdentificationType</t>
        </is>
      </c>
      <c r="E17" s="110" t="n"/>
      <c r="F17" s="110" t="n"/>
      <c r="G17" s="110" t="n"/>
      <c r="H17" s="110" t="n"/>
      <c r="I17" s="110" t="inlineStr">
        <is>
          <t>n</t>
        </is>
      </c>
      <c r="J17" s="110" t="inlineStr">
        <is>
          <t>OPC 40450-1 Section 11.1 CU-53</t>
        </is>
      </c>
      <c r="K17" s="110" t="n"/>
    </row>
    <row r="18" ht="25.8" customHeight="1" s="132">
      <c r="A18" s="111" t="n"/>
      <c r="B18" s="111" t="n"/>
      <c r="C18" s="111" t="n">
        <v>1</v>
      </c>
      <c r="D18" s="111" t="inlineStr">
        <is>
          <t>Read TypeDefinitionId of SubComponent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inlineStr">
        <is>
          <t>OPC 40450-1 Section 11.1 CU-53</t>
        </is>
      </c>
      <c r="K18" s="111" t="inlineStr">
        <is>
          <t>Requirement source: OPC 40450-1 Section 8.13 - Uses MachineryComponentIdentificationType.</t>
        </is>
      </c>
    </row>
  </sheetData>
  <mergeCells count="2">
    <mergeCell ref="A1:K1"/>
    <mergeCell ref="C2:J2"/>
  </mergeCells>
  <pageMargins left="0.7" right="0.7" top="0.75" bottom="0.75" header="0.3" footer="0.3"/>
</worksheet>
</file>

<file path=xl/worksheets/sheet60.xml><?xml version="1.0" encoding="utf-8"?>
<worksheet xmlns="http://schemas.openxmlformats.org/spreadsheetml/2006/main">
  <sheetPr codeName="Sheet5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CU-54: Asset Management Virtual Station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CU-54 — Asset Management Virtual Station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AMVS-1 Verify AssetManagement/VirtualStations folder exists</t>
        </is>
      </c>
      <c r="E4" s="58" t="n"/>
      <c r="F4" s="58" t="n"/>
      <c r="G4" s="58" t="n"/>
      <c r="H4" s="58" t="n"/>
      <c r="I4" s="58" t="n"/>
      <c r="J4" s="58" t="inlineStr">
        <is>
          <t>OPC 40450-1 Section 7.16 (CU-54)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VirtualStations folder.</t>
        </is>
      </c>
      <c r="E5" s="89" t="inlineStr">
        <is>
          <t>CU-54 declared. JoiningSystemType instance accessible.</t>
        </is>
      </c>
      <c r="F5" s="89" t="inlineStr">
        <is>
          <t>VirtualStations folder present under AssetManagement. BrowseName = "VirtualStations". NodeClass = Object.</t>
        </is>
      </c>
      <c r="G5" s="89" t="inlineStr">
        <is>
          <t>Good</t>
        </is>
      </c>
      <c r="H5" s="89" t="inlineStr">
        <is>
          <t>Good</t>
        </is>
      </c>
      <c r="I5" s="89" t="n"/>
      <c r="J5" s="89" t="inlineStr">
        <is>
          <t>OPC 40450-1 Section 7.16 (CU-54)</t>
        </is>
      </c>
      <c r="K5" s="90" t="n"/>
      <c r="L5" s="27" t="n"/>
      <c r="M5" s="28" t="n"/>
      <c r="N5" s="28" t="n"/>
    </row>
    <row r="6" ht="26.1" customHeight="1" s="132">
      <c r="A6" s="56" t="inlineStr">
        <is>
          <t>y</t>
        </is>
      </c>
      <c r="B6" s="57" t="n">
        <v>2</v>
      </c>
      <c r="C6" s="58" t="n">
        <v>0</v>
      </c>
      <c r="D6" s="58" t="inlineStr">
        <is>
          <t>AMVS-2 Verify at least one VirtualStation instance with IVirtualStationType</t>
        </is>
      </c>
      <c r="E6" s="58" t="n"/>
      <c r="F6" s="58" t="n"/>
      <c r="G6" s="58" t="n"/>
      <c r="H6" s="58" t="n"/>
      <c r="I6" s="58" t="n"/>
      <c r="J6" s="58" t="inlineStr">
        <is>
          <t>OPC 40450-1 Section 7.16 (CU-54)</t>
        </is>
      </c>
      <c r="K6" s="74" t="n"/>
      <c r="L6" s="27" t="n"/>
      <c r="M6" s="28" t="n"/>
      <c r="N6" s="28" t="n"/>
    </row>
    <row r="7" ht="51.9" customHeight="1" s="132">
      <c r="A7" s="87" t="n"/>
      <c r="B7" s="88" t="n"/>
      <c r="C7" s="89" t="n">
        <v>1</v>
      </c>
      <c r="D7" s="89" t="inlineStr">
        <is>
          <t>Browse VirtualStations folder. Enumerate child Objects.</t>
        </is>
      </c>
      <c r="E7" s="89" t="inlineStr">
        <is>
          <t>VirtualStations folder accessible (AMVS-1 passed).</t>
        </is>
      </c>
      <c r="F7" s="89" t="inlineStr">
        <is>
          <t>At least one child Object present. TypeDefinition includes IVirtualStationType.</t>
        </is>
      </c>
      <c r="G7" s="89" t="inlineStr">
        <is>
          <t>Good</t>
        </is>
      </c>
      <c r="H7" s="89" t="inlineStr">
        <is>
          <t>Good</t>
        </is>
      </c>
      <c r="I7" s="89" t="n"/>
      <c r="J7" s="89" t="inlineStr">
        <is>
          <t>OPC 40450-1 Section 7.16 (CU-54)</t>
        </is>
      </c>
      <c r="K7" s="90" t="n"/>
      <c r="L7" s="27" t="n"/>
      <c r="M7" s="28" t="n"/>
      <c r="N7" s="28" t="n"/>
    </row>
    <row r="8" ht="39" customHeight="1" s="132">
      <c r="A8" s="56" t="inlineStr">
        <is>
          <t>y</t>
        </is>
      </c>
      <c r="B8" s="57" t="n">
        <v>3</v>
      </c>
      <c r="C8" s="58" t="n">
        <v>0</v>
      </c>
      <c r="D8" s="58" t="inlineStr">
        <is>
          <t>AMVS-3 Read mandatory VirtualStation properties including AssignedTools array</t>
        </is>
      </c>
      <c r="E8" s="58" t="n"/>
      <c r="F8" s="58" t="n"/>
      <c r="G8" s="58" t="n"/>
      <c r="H8" s="58" t="n"/>
      <c r="I8" s="58" t="n"/>
      <c r="J8" s="58" t="inlineStr">
        <is>
          <t>OPC 40450-1 Section 7.16 (CU-54)</t>
        </is>
      </c>
      <c r="K8" s="74" t="n"/>
      <c r="L8" s="27" t="n"/>
      <c r="M8" s="28" t="n"/>
      <c r="N8" s="28" t="n"/>
    </row>
    <row r="9" ht="51.6" customHeight="1" s="132">
      <c r="A9" s="87" t="n"/>
      <c r="B9" s="88" t="n"/>
      <c r="C9" s="89" t="n">
        <v>1</v>
      </c>
      <c r="D9" s="89" t="inlineStr">
        <is>
          <t>For a VirtualStation instance: read mandatory identification properties and AssignedTools (array/list of String).</t>
        </is>
      </c>
      <c r="E9" s="89" t="inlineStr">
        <is>
          <t>VirtualStation instance accessible.</t>
        </is>
      </c>
      <c r="F9" s="89" t="inlineStr">
        <is>
          <t>Mandatory identification properties present and non-null. AssignedTools property present. DataType = String[] (array of ProductInstanceUri strings). Array may be empty if no tools currently assigned.</t>
        </is>
      </c>
      <c r="G9" s="89" t="inlineStr">
        <is>
          <t>Good</t>
        </is>
      </c>
      <c r="H9" s="89" t="inlineStr">
        <is>
          <t>Good</t>
        </is>
      </c>
      <c r="I9" s="89" t="n"/>
      <c r="J9" s="89" t="inlineStr">
        <is>
          <t>OPC 40450-1 Section 7.16 (CU-54)</t>
        </is>
      </c>
      <c r="K9" s="90" t="n"/>
      <c r="L9" s="27" t="n"/>
      <c r="M9" s="28" t="n"/>
      <c r="N9" s="28" t="n"/>
    </row>
    <row r="10">
      <c r="A10" s="56" t="inlineStr">
        <is>
          <t>y</t>
        </is>
      </c>
      <c r="B10" s="57" t="n">
        <v>4</v>
      </c>
      <c r="C10" s="58" t="n">
        <v>0</v>
      </c>
      <c r="D10" s="58" t="inlineStr">
        <is>
          <t>AMVS-4 Verify AssignedTools references valid Tool ProductInstanceUris</t>
        </is>
      </c>
      <c r="E10" s="58" t="n"/>
      <c r="F10" s="58" t="n"/>
      <c r="G10" s="58" t="n"/>
      <c r="H10" s="58" t="n"/>
      <c r="I10" s="58" t="n"/>
      <c r="J10" s="58" t="inlineStr">
        <is>
          <t>OPC 40450-1 Section 7.16 (CU-54)</t>
        </is>
      </c>
      <c r="K10" s="74" t="n"/>
      <c r="L10" s="27" t="n"/>
      <c r="M10" s="28" t="n"/>
      <c r="N10" s="28" t="n"/>
    </row>
    <row r="11" ht="38.7" customHeight="1" s="132">
      <c r="A11" s="87" t="n"/>
      <c r="B11" s="88" t="n"/>
      <c r="C11" s="89" t="n">
        <v>1</v>
      </c>
      <c r="D11" s="89" t="inlineStr">
        <is>
          <t>Read AssignedTools from each VirtualStation. Cross-reference each entry against ProductInstanceUri values of Tool instances in Tools folder.</t>
        </is>
      </c>
      <c r="E11" s="89" t="inlineStr">
        <is>
          <t>VirtualStation and Tools folder both accessible. AssignedTools non-empty.</t>
        </is>
      </c>
      <c r="F11" s="89" t="inlineStr">
        <is>
          <t>Each entry in AssignedTools matches the ProductInstanceUri of an existing Tool instance. No dangling references to non-existent tools. AssignedTools entries are unique within a VirtualStation.</t>
        </is>
      </c>
      <c r="G11" s="89" t="inlineStr">
        <is>
          <t>Good</t>
        </is>
      </c>
      <c r="H11" s="89" t="inlineStr">
        <is>
          <t>Good</t>
        </is>
      </c>
      <c r="I11" s="89" t="n"/>
      <c r="J11" s="89" t="inlineStr">
        <is>
          <t>OPC 40450-1 Section 7.16 (CU-54)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n</t>
        </is>
      </c>
      <c r="B13" s="100" t="n">
        <v>1</v>
      </c>
      <c r="C13" s="101" t="n">
        <v>0</v>
      </c>
      <c r="D13" s="101" t="inlineStr">
        <is>
          <t>[Optional helper — profile negative check, not CU-54 conformance] AMVS-5 Verify VirtualStations folder absent when CU-54 not claimed</t>
        </is>
      </c>
      <c r="E13" s="101" t="n"/>
      <c r="F13" s="101" t="n"/>
      <c r="G13" s="101" t="n"/>
      <c r="H13" s="101" t="n"/>
      <c r="I13" s="101" t="n"/>
      <c r="J13" s="101" t="inlineStr">
        <is>
          <t>OPC 40450-1 Section 7.16 (CU-54)</t>
        </is>
      </c>
      <c r="K13" s="102" t="inlineStr">
        <is>
          <t>Static negative test — browse only</t>
        </is>
      </c>
    </row>
    <row r="14" ht="25.8" customHeight="1" s="132">
      <c r="A14" s="61" t="n"/>
      <c r="B14" s="61" t="n"/>
      <c r="C14" s="61" t="n">
        <v>1</v>
      </c>
      <c r="D14" s="61" t="inlineStr">
        <is>
          <t>[Optional helper] If CU-54 not declared: browse AssetManagement and check for VirtualStations folder.</t>
        </is>
      </c>
      <c r="E14" s="61" t="inlineStr">
        <is>
          <t>Server conformance profile does not include CU-54.</t>
        </is>
      </c>
      <c r="F14" s="61" t="inlineStr">
        <is>
          <t>[Optional helper expected result] VirtualStations folder NOT present under AssetManagement.</t>
        </is>
      </c>
      <c r="G14" s="61" t="inlineStr">
        <is>
          <t>Good</t>
        </is>
      </c>
      <c r="H14" s="61" t="n"/>
      <c r="I14" s="61" t="n"/>
      <c r="J14" s="61" t="inlineStr">
        <is>
          <t>OPC 40450-1 Section 7.16 (CU-54)</t>
        </is>
      </c>
      <c r="K14" s="61" t="n"/>
    </row>
    <row r="15">
      <c r="A15" s="110" t="inlineStr">
        <is>
          <t>n</t>
        </is>
      </c>
      <c r="B15" s="110" t="n">
        <v>2</v>
      </c>
      <c r="C15" s="110" t="n">
        <v>0</v>
      </c>
      <c r="D15" s="110" t="inlineStr">
        <is>
          <t>Verify VirtualStation implements IVirtualStationType interface</t>
        </is>
      </c>
      <c r="E15" s="110" t="n"/>
      <c r="F15" s="110" t="n"/>
      <c r="G15" s="110" t="n"/>
      <c r="H15" s="110" t="n"/>
      <c r="I15" s="110" t="inlineStr">
        <is>
          <t>n</t>
        </is>
      </c>
      <c r="J15" s="110" t="inlineStr">
        <is>
          <t>OPC 40450-1 Section 11.1 CU-54</t>
        </is>
      </c>
      <c r="K15" s="110" t="n"/>
    </row>
    <row r="16" ht="25.8" customHeight="1" s="132">
      <c r="A16" s="111" t="n"/>
      <c r="B16" s="111" t="n"/>
      <c r="C16" s="111" t="n">
        <v>1</v>
      </c>
      <c r="D16" s="111" t="inlineStr">
        <is>
          <t>Browse VirtualStation for HasInterface reference.</t>
        </is>
      </c>
      <c r="E16" s="111" t="inlineStr">
        <is>
          <t>Server claims this Conformance Unit; no additional runtime setup is needed for this step.</t>
        </is>
      </c>
      <c r="F16" s="111" t="inlineStr">
        <is>
          <t>HasInterface reference found.</t>
        </is>
      </c>
      <c r="G16" s="111" t="inlineStr">
        <is>
          <t>Good</t>
        </is>
      </c>
      <c r="H16" s="111" t="n"/>
      <c r="I16" s="111" t="n"/>
      <c r="J16" s="111" t="inlineStr">
        <is>
          <t>OPC 40450-1 Section 11.1 CU-54</t>
        </is>
      </c>
      <c r="K16" s="111" t="inlineStr">
        <is>
          <t>Requirement source: OPC 40450-1 Section 8.14 - Must implement IVirtualStationType.</t>
        </is>
      </c>
    </row>
    <row r="17">
      <c r="A17" s="110" t="inlineStr">
        <is>
          <t>n</t>
        </is>
      </c>
      <c r="B17" s="110" t="n">
        <v>3</v>
      </c>
      <c r="C17" s="110" t="n">
        <v>0</v>
      </c>
      <c r="D17" s="110" t="inlineStr">
        <is>
          <t>Verify VirtualStation Identification has no DeviceClass/ProductCode</t>
        </is>
      </c>
      <c r="E17" s="110" t="n"/>
      <c r="F17" s="110" t="n"/>
      <c r="G17" s="110" t="n"/>
      <c r="H17" s="110" t="n"/>
      <c r="I17" s="110" t="inlineStr">
        <is>
          <t>n</t>
        </is>
      </c>
      <c r="J17" s="110" t="inlineStr">
        <is>
          <t>OPC 40450-1 Section 11.1 CU-54</t>
        </is>
      </c>
      <c r="K17" s="110" t="n"/>
    </row>
    <row r="18" ht="25.8" customHeight="1" s="132">
      <c r="A18" s="111" t="n"/>
      <c r="B18" s="111" t="n"/>
      <c r="C18" s="111" t="n">
        <v>1</v>
      </c>
      <c r="D18" s="111" t="inlineStr">
        <is>
          <t>Read DeviceClass/ProductCode from VirtualStation Identification.</t>
        </is>
      </c>
      <c r="E18" s="111" t="inlineStr">
        <is>
          <t>Server claims this Conformance Unit; no additional runtime setup is needed for this step.</t>
        </is>
      </c>
      <c r="F18" s="111" t="inlineStr">
        <is>
          <t>DeviceClass and ProductCode absent or null.</t>
        </is>
      </c>
      <c r="G18" s="111" t="inlineStr">
        <is>
          <t>Good</t>
        </is>
      </c>
      <c r="H18" s="111" t="n"/>
      <c r="I18" s="111" t="n"/>
      <c r="J18" s="111" t="inlineStr">
        <is>
          <t>OPC 40450-1 Section 11.1 CU-54</t>
        </is>
      </c>
      <c r="K18" s="111" t="inlineStr">
        <is>
          <t>Requirement source: OPC 40450-1 Section 8.14 - MachineryComponentIdentificationType.</t>
        </is>
      </c>
    </row>
    <row r="19">
      <c r="A19" s="110" t="inlineStr">
        <is>
          <t>n</t>
        </is>
      </c>
      <c r="B19" s="110" t="n">
        <v>4</v>
      </c>
      <c r="C19" s="110" t="n">
        <v>0</v>
      </c>
      <c r="D19" s="110" t="inlineStr">
        <is>
          <t>Verify Identification is MachineryComponentIdentificationType</t>
        </is>
      </c>
      <c r="E19" s="110" t="n"/>
      <c r="F19" s="110" t="n"/>
      <c r="G19" s="110" t="n"/>
      <c r="H19" s="110" t="n"/>
      <c r="I19" s="110" t="inlineStr">
        <is>
          <t>n</t>
        </is>
      </c>
      <c r="J19" s="110" t="inlineStr">
        <is>
          <t>OPC 40450-1 Section 11.1 CU-54</t>
        </is>
      </c>
      <c r="K19" s="110" t="n"/>
    </row>
    <row r="20" ht="25.8" customHeight="1" s="132">
      <c r="A20" s="111" t="n"/>
      <c r="B20" s="111" t="n"/>
      <c r="C20" s="111" t="n">
        <v>1</v>
      </c>
      <c r="D20" s="111" t="inlineStr">
        <is>
          <t>Read TypeDefinitionId of VirtualStation Identification.</t>
        </is>
      </c>
      <c r="E20" s="111" t="inlineStr">
        <is>
          <t>Server claims this Conformance Unit; no additional runtime setup is needed for this step.</t>
        </is>
      </c>
      <c r="F20" s="111" t="inlineStr">
        <is>
          <t>TypeDefinitionId matches.</t>
        </is>
      </c>
      <c r="G20" s="111" t="inlineStr">
        <is>
          <t>Good</t>
        </is>
      </c>
      <c r="H20" s="111" t="n"/>
      <c r="I20" s="111" t="n"/>
      <c r="J20" s="111" t="inlineStr">
        <is>
          <t>OPC 40450-1 Section 11.1 CU-54</t>
        </is>
      </c>
      <c r="K20" s="111" t="inlineStr">
        <is>
          <t>Requirement source: OPC 40450-1 Section 8.14 - Uses MachineryComponentIdentificationType.</t>
        </is>
      </c>
    </row>
  </sheetData>
  <mergeCells count="2">
    <mergeCell ref="A1:K1"/>
    <mergeCell ref="C2:J2"/>
  </mergeCells>
  <pageMargins left="0.7" right="0.7" top="0.75" bottom="0.75" header="0.3" footer="0.3"/>
</worksheet>
</file>

<file path=xl/worksheets/sheet61.xml><?xml version="1.0" encoding="utf-8"?>
<worksheet xmlns="http://schemas.openxmlformats.org/spreadsheetml/2006/main">
  <sheetPr codeName="Sheet5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CU-55: Asset Management Operation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CU-55 — Asset Management Operation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AMOC-1 Verify OperationCounters component present on at least one asset</t>
        </is>
      </c>
      <c r="E4" s="58" t="n"/>
      <c r="F4" s="58" t="n"/>
      <c r="G4" s="58" t="n"/>
      <c r="H4" s="58" t="n"/>
      <c r="I4" s="58" t="n"/>
      <c r="J4" s="58" t="inlineStr">
        <is>
          <t>OPC 40450-1 Section 7.17 (CU-55) / OPC 40001-1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(e.g., Controller or Tool). Locate the OperationCounters child Object.</t>
        </is>
      </c>
      <c r="E5" s="61" t="inlineStr">
        <is>
          <t>CU-55 declared. At least one primary asset instance accessible.</t>
        </is>
      </c>
      <c r="F5" s="61" t="inlineStr">
        <is>
          <t>OperationCounters Object node present as a child of the asset. BrowseName = "OperationCounters". NodeClass = Object.</t>
        </is>
      </c>
      <c r="G5" s="61" t="inlineStr">
        <is>
          <t>Good</t>
        </is>
      </c>
      <c r="H5" s="61" t="inlineStr">
        <is>
          <t>Good</t>
        </is>
      </c>
      <c r="I5" s="61" t="n"/>
      <c r="J5" s="61" t="inlineStr">
        <is>
          <t>OPC 40450-1 Section 7.17 (CU-55) / OPC 40001-1</t>
        </is>
      </c>
      <c r="K5" s="62" t="n"/>
    </row>
    <row r="6" ht="25.8" customHeight="1" s="132">
      <c r="A6" s="70" t="inlineStr">
        <is>
          <t>y</t>
        </is>
      </c>
      <c r="B6" s="71" t="n">
        <v>2</v>
      </c>
      <c r="C6" s="72" t="n">
        <v>0</v>
      </c>
      <c r="D6" s="72" t="inlineStr">
        <is>
          <t>AMOC-2 Verify TypeDefinition = MachineryOperationCounterType</t>
        </is>
      </c>
      <c r="E6" s="72" t="n"/>
      <c r="F6" s="72" t="n"/>
      <c r="G6" s="72" t="n"/>
      <c r="H6" s="72" t="n"/>
      <c r="I6" s="72" t="n"/>
      <c r="J6" s="72" t="inlineStr">
        <is>
          <t>OPC 40450-1 Section 7.17 (CU-55) / OPC 40001-1</t>
        </is>
      </c>
      <c r="K6" s="73" t="n"/>
    </row>
    <row r="7" ht="25.8" customHeight="1" s="132">
      <c r="A7" s="61" t="n"/>
      <c r="B7" s="61" t="n"/>
      <c r="C7" s="61" t="n">
        <v>1</v>
      </c>
      <c r="D7" s="61" t="inlineStr">
        <is>
          <t>Read HasTypeDefinition reference of the OperationCounters Object.</t>
        </is>
      </c>
      <c r="E7" s="61" t="inlineStr">
        <is>
          <t>OperationCounters node accessible (AMOC-1 passed).</t>
        </is>
      </c>
      <c r="F7" s="61" t="inlineStr">
        <is>
          <t>TypeDefinition resolves to MachineryOperationCounterType (OPC 40001-1). No other TypeDefinition is acceptable for this node.</t>
        </is>
      </c>
      <c r="G7" s="61" t="inlineStr">
        <is>
          <t>Good</t>
        </is>
      </c>
      <c r="H7" s="61" t="inlineStr">
        <is>
          <t>Good</t>
        </is>
      </c>
      <c r="I7" s="61" t="n"/>
      <c r="J7" s="61" t="inlineStr">
        <is>
          <t>OPC 40450-1 Section 7.17 (CU-55) / OPC 40001-1</t>
        </is>
      </c>
      <c r="K7" s="61" t="n"/>
    </row>
    <row r="8" ht="25.8" customHeight="1" s="132">
      <c r="A8" s="67" t="inlineStr">
        <is>
          <t>y</t>
        </is>
      </c>
      <c r="B8" s="67" t="n">
        <v>3</v>
      </c>
      <c r="C8" s="67" t="n">
        <v>0</v>
      </c>
      <c r="D8" s="67" t="inlineStr">
        <is>
          <t>AMOC-3 Read mandatory counter values — non-negative UInt64</t>
        </is>
      </c>
      <c r="E8" s="67" t="n"/>
      <c r="F8" s="67" t="n"/>
      <c r="G8" s="67" t="n"/>
      <c r="H8" s="67" t="n"/>
      <c r="I8" s="67" t="n"/>
      <c r="J8" s="67" t="inlineStr">
        <is>
          <t>OPC 40450-1 Section 7.17 (CU-55) / OPC 40001-1</t>
        </is>
      </c>
      <c r="K8" s="67" t="n"/>
    </row>
    <row r="9" ht="25.8" customHeight="1" s="132">
      <c r="A9" s="61" t="n"/>
      <c r="B9" s="61" t="n"/>
      <c r="C9" s="61" t="n">
        <v>1</v>
      </c>
      <c r="D9" s="61" t="inlineStr">
        <is>
          <t>Read all mandatory counter Variable nodes under OperationCounters (e.g., PowerOnDuration, OperationDuration, NumberOfOperations).</t>
        </is>
      </c>
      <c r="E9" s="61" t="inlineStr">
        <is>
          <t>OperationCounters Object and counter Variables accessible.</t>
        </is>
      </c>
      <c r="F9" s="61" t="inlineStr">
        <is>
          <t>All mandatory counters present. DataType = UInt64. Read returns Good. All values are ≥ 0 (counters are monotonically increasing).</t>
        </is>
      </c>
      <c r="G9" s="61" t="inlineStr">
        <is>
          <t>Good</t>
        </is>
      </c>
      <c r="H9" s="61" t="inlineStr">
        <is>
          <t>Good</t>
        </is>
      </c>
      <c r="I9" s="61" t="n"/>
      <c r="J9" s="61" t="inlineStr">
        <is>
          <t>OPC 40450-1 Section 7.17 (CU-55) / OPC 40001-1</t>
        </is>
      </c>
      <c r="K9" s="61" t="n"/>
    </row>
    <row r="10" ht="25.8" customHeight="1" s="132">
      <c r="A10" s="67" t="inlineStr">
        <is>
          <t>n</t>
        </is>
      </c>
      <c r="B10" s="67" t="n">
        <v>4</v>
      </c>
      <c r="C10" s="67" t="n">
        <v>0</v>
      </c>
      <c r="D10" s="67" t="inlineStr">
        <is>
          <t>AMOC-4 Verify OperationCounters increases after a joining operation</t>
        </is>
      </c>
      <c r="E10" s="67" t="n"/>
      <c r="F10" s="67" t="n"/>
      <c r="G10" s="67" t="n"/>
      <c r="H10" s="67" t="n"/>
      <c r="I10" s="67" t="n"/>
      <c r="J10" s="67" t="inlineStr">
        <is>
          <t>OPC 40450-1 Section 7.17 (CU-55) / OPC 40001-1</t>
        </is>
      </c>
      <c r="K10" s="67" t="inlineStr">
        <is>
          <t>CTT=n: requires live joining operation</t>
        </is>
      </c>
    </row>
    <row r="11" ht="38.7" customHeight="1" s="132">
      <c r="A11" s="61" t="n"/>
      <c r="B11" s="61" t="n"/>
      <c r="C11" s="61" t="n">
        <v>1</v>
      </c>
      <c r="D11" s="61" t="inlineStr">
        <is>
          <t>Record current OperationCounters values (e.g., NumberOfOperations). Trigger a joining operation. Wait for completion. Re-read OperationCounters.</t>
        </is>
      </c>
      <c r="E11" s="61" t="inlineStr">
        <is>
          <t>Asset operational. OperationCounters readable. CU-55 declared.</t>
        </is>
      </c>
      <c r="F11" s="61" t="inlineStr">
        <is>
          <t>At least one counter value (e.g., NumberOfOperations) has increased by ≥ 1 after the joining operation. Counter is monotonically non-decreasing.</t>
        </is>
      </c>
      <c r="G11" s="61" t="inlineStr">
        <is>
          <t>Good</t>
        </is>
      </c>
      <c r="H11" s="61" t="inlineStr">
        <is>
          <t>Good</t>
        </is>
      </c>
      <c r="I11" s="61" t="n"/>
      <c r="J11" s="61" t="inlineStr">
        <is>
          <t>OPC 40450-1 Section 7.17 (CU-55) / OPC 40001-1</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[Optional helper — profile negative check, not CU-55 conformance] AMOC-5 Verify OperationCounters absent when CU-55 not claimed</t>
        </is>
      </c>
      <c r="E13" s="69" t="n"/>
      <c r="F13" s="69" t="n"/>
      <c r="G13" s="69" t="n"/>
      <c r="H13" s="69" t="n"/>
      <c r="I13" s="69" t="n"/>
      <c r="J13" s="69" t="inlineStr">
        <is>
          <t>OPC 40450-1 Section 7.17 (CU-55) / OPC 40001-1</t>
        </is>
      </c>
      <c r="K13" s="69" t="inlineStr">
        <is>
          <t>Static negative test — browse only</t>
        </is>
      </c>
    </row>
    <row r="14" ht="38.7" customHeight="1" s="132">
      <c r="A14" s="61" t="n"/>
      <c r="B14" s="61" t="n"/>
      <c r="C14" s="61" t="n">
        <v>1</v>
      </c>
      <c r="D14" s="61" t="inlineStr">
        <is>
          <t>[Optional helper] If CU-55 not declared: browse primary asset instances and check for OperationCounters.</t>
        </is>
      </c>
      <c r="E14" s="61" t="inlineStr">
        <is>
          <t>Server conformance profile does not include CU-55.</t>
        </is>
      </c>
      <c r="F14" s="61" t="inlineStr">
        <is>
          <t>[Optional helper expected result] OperationCounters Object NOT present on any asset instance. Server must not expose OperationCounters structure for unclaimed CU.</t>
        </is>
      </c>
      <c r="G14" s="61" t="inlineStr">
        <is>
          <t>Good</t>
        </is>
      </c>
      <c r="H14" s="61" t="n"/>
      <c r="I14" s="61" t="n"/>
      <c r="J14" s="61" t="inlineStr">
        <is>
          <t>OPC 40450-1 Section 7.17 (CU-55) / OPC 40001-1</t>
        </is>
      </c>
      <c r="K14" s="61" t="n"/>
    </row>
    <row r="15">
      <c r="A15" s="110" t="inlineStr">
        <is>
          <t>n</t>
        </is>
      </c>
      <c r="B15" s="110" t="n">
        <v>2</v>
      </c>
      <c r="C15" s="110" t="n">
        <v>0</v>
      </c>
      <c r="D15" s="110" t="inlineStr">
        <is>
          <t>Verify OperationCounters is of MachineryOperationCounterType</t>
        </is>
      </c>
      <c r="E15" s="110" t="n"/>
      <c r="F15" s="110" t="n"/>
      <c r="G15" s="110" t="n"/>
      <c r="H15" s="110" t="n"/>
      <c r="I15" s="110" t="inlineStr">
        <is>
          <t>n</t>
        </is>
      </c>
      <c r="J15" s="110" t="inlineStr">
        <is>
          <t>OPC 40450-1 Section 11.1 CU-55</t>
        </is>
      </c>
      <c r="K15" s="110" t="n"/>
    </row>
    <row r="16">
      <c r="A16" s="111" t="n"/>
      <c r="B16" s="111" t="n"/>
      <c r="C16" s="111" t="n">
        <v>1</v>
      </c>
      <c r="D16" s="111" t="inlineStr">
        <is>
          <t>Read TypeDefinitionId of OperationCounters node.</t>
        </is>
      </c>
      <c r="E16" s="111" t="inlineStr">
        <is>
          <t>Server claims this Conformance Unit; no additional runtime setup is needed for this step.</t>
        </is>
      </c>
      <c r="F16" s="111" t="inlineStr">
        <is>
          <t>TypeDefinitionId matches MachineryOperationCounterType.</t>
        </is>
      </c>
      <c r="G16" s="111" t="inlineStr">
        <is>
          <t>Good</t>
        </is>
      </c>
      <c r="H16" s="111" t="n"/>
      <c r="I16" s="111" t="n"/>
      <c r="J16" s="111" t="inlineStr">
        <is>
          <t>OPC 40450-1 Section 11.1 CU-55</t>
        </is>
      </c>
      <c r="K16" s="111" t="inlineStr">
        <is>
          <t>Requirement source: OPC 40450-1 Section 8.15 - MachineryOperationCounterType.</t>
        </is>
      </c>
    </row>
    <row r="17">
      <c r="A17" s="110" t="inlineStr">
        <is>
          <t>n</t>
        </is>
      </c>
      <c r="B17" s="110" t="n">
        <v>3</v>
      </c>
      <c r="C17" s="110" t="n">
        <v>0</v>
      </c>
      <c r="D17" s="110" t="inlineStr">
        <is>
          <t>Verify at least one counter property present in OperationCounters</t>
        </is>
      </c>
      <c r="E17" s="110" t="n"/>
      <c r="F17" s="110" t="n"/>
      <c r="G17" s="110" t="n"/>
      <c r="H17" s="110" t="n"/>
      <c r="I17" s="110" t="inlineStr">
        <is>
          <t>n</t>
        </is>
      </c>
      <c r="J17" s="110" t="inlineStr">
        <is>
          <t>OPC 40450-1 Section 11.1 CU-55</t>
        </is>
      </c>
      <c r="K17" s="110" t="n"/>
    </row>
    <row r="18">
      <c r="A18" s="111" t="n"/>
      <c r="B18" s="111" t="n"/>
      <c r="C18" s="111" t="n">
        <v>1</v>
      </c>
      <c r="D18" s="111" t="inlineStr">
        <is>
          <t>Browse children of OperationCounters. Read values.</t>
        </is>
      </c>
      <c r="E18" s="111" t="inlineStr">
        <is>
          <t>Server claims this Conformance Unit; no additional runtime setup is needed for this step.</t>
        </is>
      </c>
      <c r="F18" s="111" t="inlineStr">
        <is>
          <t>At least one child variable has non-null value.</t>
        </is>
      </c>
      <c r="G18" s="111" t="inlineStr">
        <is>
          <t>Good</t>
        </is>
      </c>
      <c r="H18" s="111" t="n"/>
      <c r="I18" s="111" t="n"/>
      <c r="J18" s="111" t="inlineStr">
        <is>
          <t>OPC 40450-1 Section 11.1 CU-55</t>
        </is>
      </c>
      <c r="K18" s="111" t="inlineStr">
        <is>
          <t>Requirement source: OPC 40450-1 Section 8.15 - At least one counter expected.</t>
        </is>
      </c>
    </row>
    <row r="19">
      <c r="A19" s="110" t="inlineStr">
        <is>
          <t>n</t>
        </is>
      </c>
      <c r="B19" s="110" t="n">
        <v>4</v>
      </c>
      <c r="C19" s="110" t="n">
        <v>0</v>
      </c>
      <c r="D19" s="110" t="inlineStr">
        <is>
          <t>Verify counter values are non-negative (UInteger)</t>
        </is>
      </c>
      <c r="E19" s="110" t="n"/>
      <c r="F19" s="110" t="n"/>
      <c r="G19" s="110" t="n"/>
      <c r="H19" s="110" t="n"/>
      <c r="I19" s="110" t="inlineStr">
        <is>
          <t>n</t>
        </is>
      </c>
      <c r="J19" s="110" t="inlineStr">
        <is>
          <t>OPC 40450-1 Section 11.1 CU-55</t>
        </is>
      </c>
      <c r="K19" s="110" t="n"/>
    </row>
    <row r="20">
      <c r="A20" s="111" t="n"/>
      <c r="B20" s="111" t="n"/>
      <c r="C20" s="111" t="n">
        <v>1</v>
      </c>
      <c r="D20" s="111" t="inlineStr">
        <is>
          <t>Read all counter values under OperationCounters.</t>
        </is>
      </c>
      <c r="E20" s="111" t="inlineStr">
        <is>
          <t>Server claims this Conformance Unit; no additional runtime setup is needed for this step.</t>
        </is>
      </c>
      <c r="F20" s="111" t="inlineStr">
        <is>
          <t>All counter values &gt;= 0.</t>
        </is>
      </c>
      <c r="G20" s="111" t="inlineStr">
        <is>
          <t>Good</t>
        </is>
      </c>
      <c r="H20" s="111" t="n"/>
      <c r="I20" s="111" t="n"/>
      <c r="J20" s="111" t="inlineStr">
        <is>
          <t>OPC 40450-1 Section 11.1 CU-55</t>
        </is>
      </c>
      <c r="K20" s="111" t="inlineStr">
        <is>
          <t>Requirement source: OPC 40450-1 Section 8.15 - Counters are UInteger type.</t>
        </is>
      </c>
    </row>
  </sheetData>
  <mergeCells count="2">
    <mergeCell ref="A1:K1"/>
    <mergeCell ref="C2:J2"/>
  </mergeCells>
  <pageMargins left="0.7" right="0.7" top="0.75" bottom="0.75" header="0.3" footer="0.3"/>
</worksheet>
</file>

<file path=xl/worksheets/sheet62.xml><?xml version="1.0" encoding="utf-8"?>
<worksheet xmlns="http://schemas.openxmlformats.org/spreadsheetml/2006/main">
  <sheetPr codeName="Sheet5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CU-56: AM Tool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CU-56 — AM Tool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AMTCC-1 Browse Tool instance OperationCounters for OperationCycleCounter</t>
        </is>
      </c>
      <c r="E4" s="58" t="n"/>
      <c r="F4" s="58" t="n"/>
      <c r="G4" s="58" t="n"/>
      <c r="H4" s="58" t="n"/>
      <c r="I4" s="58" t="n"/>
      <c r="J4" s="58" t="inlineStr">
        <is>
          <t>OPC 40450-1 Section 7.18 (CU-56)</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OperationCounters Object under a Tool instance. Locate OperationCycleCounter Variable node.</t>
        </is>
      </c>
      <c r="E5" s="61" t="inlineStr">
        <is>
          <t>CU-56 declared. Tool instance with OperationCounters accessible.</t>
        </is>
      </c>
      <c r="F5" s="61" t="inlineStr">
        <is>
          <t>OperationCycleCounter Variable node present under OperationCounters. BrowseName = "OperationCycleCounter".</t>
        </is>
      </c>
      <c r="G5" s="61" t="inlineStr">
        <is>
          <t>Good</t>
        </is>
      </c>
      <c r="H5" s="61" t="inlineStr">
        <is>
          <t>Good</t>
        </is>
      </c>
      <c r="I5" s="61" t="n"/>
      <c r="J5" s="61" t="inlineStr">
        <is>
          <t>OPC 40450-1 Section 7.18 (CU-56)</t>
        </is>
      </c>
      <c r="K5" s="62" t="n"/>
    </row>
    <row r="6">
      <c r="A6" s="70" t="inlineStr">
        <is>
          <t>y</t>
        </is>
      </c>
      <c r="B6" s="71" t="n">
        <v>2</v>
      </c>
      <c r="C6" s="72" t="n">
        <v>0</v>
      </c>
      <c r="D6" s="72" t="inlineStr">
        <is>
          <t>AMTCC-2 Verify OperationCycleCounter node is present on Tool assets</t>
        </is>
      </c>
      <c r="E6" s="72" t="n"/>
      <c r="F6" s="72" t="n"/>
      <c r="G6" s="72" t="n"/>
      <c r="H6" s="72" t="n"/>
      <c r="I6" s="72" t="n"/>
      <c r="J6" s="72" t="inlineStr">
        <is>
          <t>OPC 40450-1 Section 7.18 (CU-56)</t>
        </is>
      </c>
      <c r="K6" s="73" t="n"/>
    </row>
    <row r="7" ht="38.7" customHeight="1" s="132">
      <c r="A7" s="61" t="n"/>
      <c r="B7" s="61" t="n"/>
      <c r="C7" s="61" t="n">
        <v>1</v>
      </c>
      <c r="D7" s="61" t="inlineStr">
        <is>
          <t>Enumerate all Tool instances. Verify each has OperationCycleCounter under OperationCounters.</t>
        </is>
      </c>
      <c r="E7" s="61" t="inlineStr">
        <is>
          <t>All Tool instances accessible. CU-56 declared.</t>
        </is>
      </c>
      <c r="F7" s="61" t="inlineStr">
        <is>
          <t>OperationCycleCounter present on every Tool instance that exposes OperationCounters. Non-Tool assets (Servo, Cable, etc.) do not require this specific counter.</t>
        </is>
      </c>
      <c r="G7" s="61" t="inlineStr">
        <is>
          <t>Good</t>
        </is>
      </c>
      <c r="H7" s="61" t="inlineStr">
        <is>
          <t>Good</t>
        </is>
      </c>
      <c r="I7" s="61" t="n"/>
      <c r="J7" s="61" t="inlineStr">
        <is>
          <t>OPC 40450-1 Section 7.18 (CU-56)</t>
        </is>
      </c>
      <c r="K7" s="61" t="n"/>
    </row>
    <row r="8">
      <c r="A8" s="67" t="inlineStr">
        <is>
          <t>y</t>
        </is>
      </c>
      <c r="B8" s="67" t="n">
        <v>3</v>
      </c>
      <c r="C8" s="67" t="n">
        <v>0</v>
      </c>
      <c r="D8" s="67" t="inlineStr">
        <is>
          <t>AMTCC-3 Read OperationCycleCounter value — UInt64, non-negative</t>
        </is>
      </c>
      <c r="E8" s="67" t="n"/>
      <c r="F8" s="67" t="n"/>
      <c r="G8" s="67" t="n"/>
      <c r="H8" s="67" t="n"/>
      <c r="I8" s="67" t="n"/>
      <c r="J8" s="67" t="inlineStr">
        <is>
          <t>OPC 40450-1 Section 7.18 (CU-56)</t>
        </is>
      </c>
      <c r="K8" s="67" t="n"/>
    </row>
    <row r="9" ht="25.8" customHeight="1" s="132">
      <c r="A9" s="61" t="n"/>
      <c r="B9" s="61" t="n"/>
      <c r="C9" s="61" t="n">
        <v>1</v>
      </c>
      <c r="D9" s="61" t="inlineStr">
        <is>
          <t>Read the Value attribute of OperationCycleCounter on a Tool instance.</t>
        </is>
      </c>
      <c r="E9" s="61" t="inlineStr">
        <is>
          <t>OperationCycleCounter node accessible (AMTCC-1 passed).</t>
        </is>
      </c>
      <c r="F9" s="61" t="inlineStr">
        <is>
          <t>DataType = UInt64. Read returns StatusCode = Good. Value ≥ 0.</t>
        </is>
      </c>
      <c r="G9" s="61" t="inlineStr">
        <is>
          <t>Good</t>
        </is>
      </c>
      <c r="H9" s="61" t="inlineStr">
        <is>
          <t>Good</t>
        </is>
      </c>
      <c r="I9" s="61" t="n"/>
      <c r="J9" s="61" t="inlineStr">
        <is>
          <t>OPC 40450-1 Section 7.18 (CU-56)</t>
        </is>
      </c>
      <c r="K9" s="61" t="n"/>
    </row>
    <row r="10" ht="25.8" customHeight="1" s="132">
      <c r="A10" s="67" t="inlineStr">
        <is>
          <t>n</t>
        </is>
      </c>
      <c r="B10" s="67" t="n">
        <v>4</v>
      </c>
      <c r="C10" s="67" t="n">
        <v>0</v>
      </c>
      <c r="D10" s="67" t="inlineStr">
        <is>
          <t>AMTCC-4 Verify OperationCycleCounter increments after a tool operation cycle</t>
        </is>
      </c>
      <c r="E10" s="67" t="n"/>
      <c r="F10" s="67" t="n"/>
      <c r="G10" s="67" t="n"/>
      <c r="H10" s="67" t="n"/>
      <c r="I10" s="67" t="n"/>
      <c r="J10" s="67" t="inlineStr">
        <is>
          <t>OPC 40450-1 Section 7.18 (CU-56)</t>
        </is>
      </c>
      <c r="K10" s="67" t="inlineStr">
        <is>
          <t>CTT=n: requires live tool cycle</t>
        </is>
      </c>
    </row>
    <row r="11" ht="25.8" customHeight="1" s="132">
      <c r="A11" s="61" t="n"/>
      <c r="B11" s="61" t="n"/>
      <c r="C11" s="61" t="n">
        <v>1</v>
      </c>
      <c r="D11" s="61" t="inlineStr">
        <is>
          <t>Record current OperationCycleCounter value. Trigger a tool operation cycle. Re-read after cycle completion.</t>
        </is>
      </c>
      <c r="E11" s="61" t="inlineStr">
        <is>
          <t>Tool operational and cycle-triggerable.</t>
        </is>
      </c>
      <c r="F11" s="61" t="inlineStr">
        <is>
          <t>OperationCycleCounter value has increased by ≥ 1 after the operation cycle.</t>
        </is>
      </c>
      <c r="G11" s="61" t="inlineStr">
        <is>
          <t>Good</t>
        </is>
      </c>
      <c r="H11" s="61" t="inlineStr">
        <is>
          <t>Good</t>
        </is>
      </c>
      <c r="I11" s="61" t="n"/>
      <c r="J11" s="61" t="inlineStr">
        <is>
          <t>OPC 40450-1 Section 7.18 (CU-56)</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AMTCC-5 Verify OperationCycleCounter absent on non-Tool assets</t>
        </is>
      </c>
      <c r="E13" s="69" t="n"/>
      <c r="F13" s="69" t="n"/>
      <c r="G13" s="69" t="n"/>
      <c r="H13" s="69" t="n"/>
      <c r="I13" s="69" t="n"/>
      <c r="J13" s="69" t="inlineStr">
        <is>
          <t>OPC 40450-1 Section 7.18 (CU-56)</t>
        </is>
      </c>
      <c r="K13" s="69" t="inlineStr">
        <is>
          <t>Static negative test — browse only</t>
        </is>
      </c>
    </row>
    <row r="14" ht="25.8" customHeight="1" s="132">
      <c r="A14" s="61" t="n"/>
      <c r="B14" s="61" t="n"/>
      <c r="C14" s="61" t="n">
        <v>1</v>
      </c>
      <c r="D14" s="61" t="inlineStr">
        <is>
          <t>Browse OperationCounters Object under a non-Tool asset (e.g., Cable, Servo, PowerSupply). Check for OperationCycleCounter.</t>
        </is>
      </c>
      <c r="E14" s="61" t="inlineStr">
        <is>
          <t>Non-Tool asset with OperationCounters accessible.</t>
        </is>
      </c>
      <c r="F14" s="61" t="inlineStr">
        <is>
          <t>OperationCycleCounter NOT present under OperationCounters of non-Tool assets. This counter is Tool-specific per CU-56.</t>
        </is>
      </c>
      <c r="G14" s="61" t="inlineStr">
        <is>
          <t>Good</t>
        </is>
      </c>
      <c r="H14" s="61" t="n"/>
      <c r="I14" s="61" t="n"/>
      <c r="J14" s="61" t="inlineStr">
        <is>
          <t>OPC 40450-1 Section 7.18 (CU-56)</t>
        </is>
      </c>
      <c r="K14" s="61" t="n"/>
    </row>
    <row r="15">
      <c r="A15" s="110" t="inlineStr">
        <is>
          <t>n</t>
        </is>
      </c>
      <c r="B15" s="110" t="n">
        <v>2</v>
      </c>
      <c r="C15" s="110" t="n">
        <v>0</v>
      </c>
      <c r="D15" s="110" t="inlineStr">
        <is>
          <t>Verify OperationCycleCounter is UInteger (non-negative)</t>
        </is>
      </c>
      <c r="E15" s="110" t="n"/>
      <c r="F15" s="110" t="n"/>
      <c r="G15" s="110" t="n"/>
      <c r="H15" s="110" t="n"/>
      <c r="I15" s="110" t="inlineStr">
        <is>
          <t>n</t>
        </is>
      </c>
      <c r="J15" s="110" t="inlineStr">
        <is>
          <t>OPC 40450-1 Section 11.1 CU-56</t>
        </is>
      </c>
      <c r="K15" s="110" t="n"/>
    </row>
    <row r="16">
      <c r="A16" s="111" t="n"/>
      <c r="B16" s="111" t="n"/>
      <c r="C16" s="111" t="n">
        <v>1</v>
      </c>
      <c r="D16" s="111" t="inlineStr">
        <is>
          <t>Read OperationCycleCounter value and DataType from Tool.</t>
        </is>
      </c>
      <c r="E16" s="111" t="inlineStr">
        <is>
          <t>Server claims this Conformance Unit; no additional runtime setup is needed for this step.</t>
        </is>
      </c>
      <c r="F16" s="111" t="inlineStr">
        <is>
          <t>Value &gt;= 0. DataType is UInteger or subtype.</t>
        </is>
      </c>
      <c r="G16" s="111" t="inlineStr">
        <is>
          <t>Good</t>
        </is>
      </c>
      <c r="H16" s="111" t="n"/>
      <c r="I16" s="111" t="n"/>
      <c r="J16" s="111" t="inlineStr">
        <is>
          <t>OPC 40450-1 Section 11.1 CU-56</t>
        </is>
      </c>
      <c r="K16" s="111" t="inlineStr">
        <is>
          <t>Requirement source: OPC 40450-1 Section 8.15 - UInteger, non-negative.</t>
        </is>
      </c>
    </row>
    <row r="17">
      <c r="A17" s="110" t="inlineStr">
        <is>
          <t>n</t>
        </is>
      </c>
      <c r="B17" s="110" t="n">
        <v>3</v>
      </c>
      <c r="C17" s="110" t="n">
        <v>0</v>
      </c>
      <c r="D17" s="110" t="inlineStr">
        <is>
          <t>Verify OperationCycleCounter increments after joining cycle</t>
        </is>
      </c>
      <c r="E17" s="110" t="n"/>
      <c r="F17" s="110" t="n"/>
      <c r="G17" s="110" t="n"/>
      <c r="H17" s="110" t="n"/>
      <c r="I17" s="110" t="inlineStr">
        <is>
          <t>n</t>
        </is>
      </c>
      <c r="J17" s="110" t="inlineStr">
        <is>
          <t>OPC 40450-1 Section 11.1 CU-56</t>
        </is>
      </c>
      <c r="K17" s="110" t="n"/>
    </row>
    <row r="18">
      <c r="A18" s="111" t="n"/>
      <c r="B18" s="111" t="n"/>
      <c r="C18" s="111" t="n">
        <v>1</v>
      </c>
      <c r="D18" s="111" t="inlineStr">
        <is>
          <t>Record counter. Trigger joining. Read counter again.</t>
        </is>
      </c>
      <c r="E18" s="111" t="inlineStr">
        <is>
          <t>Server claims this Conformance Unit; no additional runtime setup is needed for this step.</t>
        </is>
      </c>
      <c r="F18" s="111" t="inlineStr">
        <is>
          <t>New value = old value + 1.</t>
        </is>
      </c>
      <c r="G18" s="111" t="inlineStr">
        <is>
          <t>Good</t>
        </is>
      </c>
      <c r="H18" s="111" t="n"/>
      <c r="I18" s="111" t="n"/>
      <c r="J18" s="111" t="inlineStr">
        <is>
          <t>OPC 40450-1 Section 11.1 CU-56</t>
        </is>
      </c>
      <c r="K18" s="111" t="inlineStr">
        <is>
          <t>Requirement source: OPC 40450-1 Section 8.15 - Counter increments per cycle.</t>
        </is>
      </c>
    </row>
    <row r="19">
      <c r="A19" s="110" t="inlineStr">
        <is>
          <t>n</t>
        </is>
      </c>
      <c r="B19" s="110" t="n">
        <v>4</v>
      </c>
      <c r="C19" s="110" t="n">
        <v>0</v>
      </c>
      <c r="D19" s="110" t="inlineStr">
        <is>
          <t>Verify OperationCycleCounter persists after disconnect</t>
        </is>
      </c>
      <c r="E19" s="110" t="n"/>
      <c r="F19" s="110" t="n"/>
      <c r="G19" s="110" t="n"/>
      <c r="H19" s="110" t="n"/>
      <c r="I19" s="110" t="inlineStr">
        <is>
          <t>n</t>
        </is>
      </c>
      <c r="J19" s="110" t="inlineStr">
        <is>
          <t>OPC 40450-1 Section 11.1 CU-56</t>
        </is>
      </c>
      <c r="K19" s="110" t="n"/>
    </row>
    <row r="20">
      <c r="A20" s="111" t="n"/>
      <c r="B20" s="111" t="n"/>
      <c r="C20" s="111" t="n">
        <v>1</v>
      </c>
      <c r="D20" s="111" t="inlineStr">
        <is>
          <t>Record counter. Disconnect tool. Reconnect. Read again.</t>
        </is>
      </c>
      <c r="E20" s="111" t="inlineStr">
        <is>
          <t>Server claims this Conformance Unit; no additional runtime setup is needed for this step.</t>
        </is>
      </c>
      <c r="F20" s="111" t="inlineStr">
        <is>
          <t>Counter value preserved after reconnection.</t>
        </is>
      </c>
      <c r="G20" s="111" t="inlineStr">
        <is>
          <t>Good</t>
        </is>
      </c>
      <c r="H20" s="111" t="n"/>
      <c r="I20" s="111" t="n"/>
      <c r="J20" s="111" t="inlineStr">
        <is>
          <t>OPC 40450-1 Section 11.1 CU-56</t>
        </is>
      </c>
      <c r="K20" s="111" t="inlineStr">
        <is>
          <t>Requirement source: OPC 40450-1 Section 8.15 - Counter is persistent.</t>
        </is>
      </c>
    </row>
  </sheetData>
  <mergeCells count="2">
    <mergeCell ref="A1:K1"/>
    <mergeCell ref="C2:J2"/>
  </mergeCells>
  <pageMargins left="0.7" right="0.7" top="0.75" bottom="0.75" header="0.3" footer="0.3"/>
</worksheet>
</file>

<file path=xl/worksheets/sheet63.xml><?xml version="1.0" encoding="utf-8"?>
<worksheet xmlns="http://schemas.openxmlformats.org/spreadsheetml/2006/main">
  <sheetPr codeName="Sheet6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CU-57: AM Battery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CU-57 — AM Battery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AMBCC-1 Browse Battery instance OperationCounters for OperationCycleCounter</t>
        </is>
      </c>
      <c r="E4" s="58" t="n"/>
      <c r="F4" s="58" t="n"/>
      <c r="G4" s="58" t="n"/>
      <c r="H4" s="58" t="n"/>
      <c r="I4" s="58" t="n"/>
      <c r="J4" s="58" t="inlineStr">
        <is>
          <t>OPC 40450-1 Section 7.19 (CU-57)</t>
        </is>
      </c>
      <c r="K4" s="59" t="inlineStr">
        <is>
          <t>NOTE: Namespace indices (0:,2:,4:,5:) are server-assigned. Resolve from NamespaceArray (ns=0;i=2255). 2:=DI, 4:=Machinery, 5:=IJT (OPC 40450-1).</t>
        </is>
      </c>
    </row>
    <row r="5" ht="38.7" customFormat="1" customHeight="1" s="138">
      <c r="A5" s="60" t="n"/>
      <c r="B5" s="61" t="n"/>
      <c r="C5" s="61" t="n">
        <v>1</v>
      </c>
      <c r="D5" s="61" t="inlineStr">
        <is>
          <t>Browse OperationCounters Object under a Battery instance. Locate OperationCycleCounter Variable node.</t>
        </is>
      </c>
      <c r="E5" s="61" t="inlineStr">
        <is>
          <t>CU-57 declared. Battery instance with OperationCounters accessible.</t>
        </is>
      </c>
      <c r="F5" s="61" t="inlineStr">
        <is>
          <t>OperationCycleCounter Variable node present under OperationCounters of Battery. BrowseName = "OperationCycleCounter".</t>
        </is>
      </c>
      <c r="G5" s="61" t="inlineStr">
        <is>
          <t>Good</t>
        </is>
      </c>
      <c r="H5" s="61" t="inlineStr">
        <is>
          <t>Good</t>
        </is>
      </c>
      <c r="I5" s="61" t="n"/>
      <c r="J5" s="61" t="inlineStr">
        <is>
          <t>OPC 40450-1 Section 7.19 (CU-57)</t>
        </is>
      </c>
      <c r="K5" s="62" t="n"/>
    </row>
    <row r="6">
      <c r="A6" s="70" t="inlineStr">
        <is>
          <t>y</t>
        </is>
      </c>
      <c r="B6" s="71" t="n">
        <v>2</v>
      </c>
      <c r="C6" s="72" t="n">
        <v>0</v>
      </c>
      <c r="D6" s="72" t="inlineStr">
        <is>
          <t>AMBCC-2 Verify OperationCycleCounter present on Battery assets</t>
        </is>
      </c>
      <c r="E6" s="72" t="n"/>
      <c r="F6" s="72" t="n"/>
      <c r="G6" s="72" t="n"/>
      <c r="H6" s="72" t="n"/>
      <c r="I6" s="72" t="n"/>
      <c r="J6" s="72" t="inlineStr">
        <is>
          <t>OPC 40450-1 Section 7.19 (CU-57)</t>
        </is>
      </c>
      <c r="K6" s="73" t="n"/>
    </row>
    <row r="7" ht="25.8" customHeight="1" s="132">
      <c r="A7" s="61" t="n"/>
      <c r="B7" s="61" t="n"/>
      <c r="C7" s="61" t="n">
        <v>1</v>
      </c>
      <c r="D7" s="61" t="inlineStr">
        <is>
          <t>Enumerate all Battery instances. Verify each has OperationCycleCounter under OperationCounters.</t>
        </is>
      </c>
      <c r="E7" s="61" t="inlineStr">
        <is>
          <t>All Battery instances accessible. CU-57 declared.</t>
        </is>
      </c>
      <c r="F7" s="61" t="inlineStr">
        <is>
          <t>OperationCycleCounter present on every Battery instance that exposes OperationCounters.</t>
        </is>
      </c>
      <c r="G7" s="61" t="inlineStr">
        <is>
          <t>Good</t>
        </is>
      </c>
      <c r="H7" s="61" t="inlineStr">
        <is>
          <t>Good</t>
        </is>
      </c>
      <c r="I7" s="61" t="n"/>
      <c r="J7" s="61" t="inlineStr">
        <is>
          <t>OPC 40450-1 Section 7.19 (CU-57)</t>
        </is>
      </c>
      <c r="K7" s="61" t="n"/>
    </row>
    <row r="8">
      <c r="A8" s="67" t="inlineStr">
        <is>
          <t>y</t>
        </is>
      </c>
      <c r="B8" s="67" t="n">
        <v>3</v>
      </c>
      <c r="C8" s="67" t="n">
        <v>0</v>
      </c>
      <c r="D8" s="67" t="inlineStr">
        <is>
          <t>AMBCC-3 Read OperationCycleCounter value — UInt64, non-negative</t>
        </is>
      </c>
      <c r="E8" s="67" t="n"/>
      <c r="F8" s="67" t="n"/>
      <c r="G8" s="67" t="n"/>
      <c r="H8" s="67" t="n"/>
      <c r="I8" s="67" t="n"/>
      <c r="J8" s="67" t="inlineStr">
        <is>
          <t>OPC 40450-1 Section 7.19 (CU-57)</t>
        </is>
      </c>
      <c r="K8" s="67" t="n"/>
    </row>
    <row r="9" ht="25.8" customHeight="1" s="132">
      <c r="A9" s="61" t="n"/>
      <c r="B9" s="61" t="n"/>
      <c r="C9" s="61" t="n">
        <v>1</v>
      </c>
      <c r="D9" s="61" t="inlineStr">
        <is>
          <t>Read the Value attribute of OperationCycleCounter on a Battery instance.</t>
        </is>
      </c>
      <c r="E9" s="61" t="inlineStr">
        <is>
          <t>OperationCycleCounter node accessible (AMBCC-1 passed).</t>
        </is>
      </c>
      <c r="F9" s="61" t="inlineStr">
        <is>
          <t>DataType = UInt64. Read returns StatusCode = Good. Value ≥ 0.</t>
        </is>
      </c>
      <c r="G9" s="61" t="inlineStr">
        <is>
          <t>Good</t>
        </is>
      </c>
      <c r="H9" s="61" t="inlineStr">
        <is>
          <t>Good</t>
        </is>
      </c>
      <c r="I9" s="61" t="n"/>
      <c r="J9" s="61" t="inlineStr">
        <is>
          <t>OPC 40450-1 Section 7.19 (CU-57)</t>
        </is>
      </c>
      <c r="K9" s="61" t="n"/>
    </row>
    <row r="10">
      <c r="A10" s="67" t="inlineStr">
        <is>
          <t>n</t>
        </is>
      </c>
      <c r="B10" s="67" t="n">
        <v>4</v>
      </c>
      <c r="C10" s="67" t="n">
        <v>0</v>
      </c>
      <c r="D10" s="67" t="inlineStr">
        <is>
          <t>AMBCC-4 Verify OperationCycleCounter increments after a charge cycle</t>
        </is>
      </c>
      <c r="E10" s="67" t="n"/>
      <c r="F10" s="67" t="n"/>
      <c r="G10" s="67" t="n"/>
      <c r="H10" s="67" t="n"/>
      <c r="I10" s="67" t="n"/>
      <c r="J10" s="67" t="inlineStr">
        <is>
          <t>OPC 40450-1 Section 7.19 (CU-57)</t>
        </is>
      </c>
      <c r="K10" s="67" t="inlineStr">
        <is>
          <t>CTT=n: requires live battery charge cycle</t>
        </is>
      </c>
    </row>
    <row r="11" ht="25.8" customHeight="1" s="132">
      <c r="A11" s="61" t="n"/>
      <c r="B11" s="61" t="n"/>
      <c r="C11" s="61" t="n">
        <v>1</v>
      </c>
      <c r="D11" s="61" t="inlineStr">
        <is>
          <t>Record current OperationCycleCounter value on a Battery. Execute a full charge cycle. Re-read after cycle completion.</t>
        </is>
      </c>
      <c r="E11" s="61" t="inlineStr">
        <is>
          <t>Battery operational. Charge cycle triggerable.</t>
        </is>
      </c>
      <c r="F11" s="61" t="inlineStr">
        <is>
          <t>OperationCycleCounter value has increased by ≥ 1 after the charge cycle.</t>
        </is>
      </c>
      <c r="G11" s="61" t="inlineStr">
        <is>
          <t>Good</t>
        </is>
      </c>
      <c r="H11" s="61" t="inlineStr">
        <is>
          <t>Good</t>
        </is>
      </c>
      <c r="I11" s="61" t="n"/>
      <c r="J11" s="61" t="inlineStr">
        <is>
          <t>OPC 40450-1 Section 7.19 (CU-57)</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AMBCC-5 Verify OperationCycleCounter absent on non-Battery assets</t>
        </is>
      </c>
      <c r="E13" s="69" t="n"/>
      <c r="F13" s="69" t="n"/>
      <c r="G13" s="69" t="n"/>
      <c r="H13" s="69" t="n"/>
      <c r="I13" s="69" t="n"/>
      <c r="J13" s="69" t="inlineStr">
        <is>
          <t>OPC 40450-1 Section 7.19 (CU-57)</t>
        </is>
      </c>
      <c r="K13" s="69" t="inlineStr">
        <is>
          <t>Static negative test — browse only</t>
        </is>
      </c>
    </row>
    <row r="14" ht="38.7" customHeight="1" s="132">
      <c r="A14" s="61" t="n"/>
      <c r="B14" s="61" t="n"/>
      <c r="C14" s="61" t="n">
        <v>1</v>
      </c>
      <c r="D14" s="61" t="inlineStr">
        <is>
          <t>Browse OperationCounters Object under a non-Battery asset (e.g., Tool, Cable, Servo). Check for OperationCycleCounter.</t>
        </is>
      </c>
      <c r="E14" s="61" t="inlineStr">
        <is>
          <t>Non-Battery asset with OperationCounters accessible.</t>
        </is>
      </c>
      <c r="F14" s="61" t="inlineStr">
        <is>
          <t>Battery-specific OperationCycleCounter NOT present on non-Battery assets (unless the asset also implements a battery-type interface per CU-57).</t>
        </is>
      </c>
      <c r="G14" s="61" t="inlineStr">
        <is>
          <t>Good</t>
        </is>
      </c>
      <c r="H14" s="61" t="n"/>
      <c r="I14" s="61" t="n"/>
      <c r="J14" s="61" t="inlineStr">
        <is>
          <t>OPC 40450-1 Section 7.19 (CU-57)</t>
        </is>
      </c>
      <c r="K14" s="61" t="n"/>
    </row>
    <row r="15">
      <c r="A15" s="110" t="inlineStr">
        <is>
          <t>n</t>
        </is>
      </c>
      <c r="B15" s="110" t="n">
        <v>2</v>
      </c>
      <c r="C15" s="110" t="n">
        <v>0</v>
      </c>
      <c r="D15" s="110" t="inlineStr">
        <is>
          <t>Verify Battery OperationCycleCounter is UInteger</t>
        </is>
      </c>
      <c r="E15" s="110" t="n"/>
      <c r="F15" s="110" t="n"/>
      <c r="G15" s="110" t="n"/>
      <c r="H15" s="110" t="n"/>
      <c r="I15" s="110" t="inlineStr">
        <is>
          <t>n</t>
        </is>
      </c>
      <c r="J15" s="110" t="inlineStr">
        <is>
          <t>OPC 40450-1 Section 11.1 CU-57</t>
        </is>
      </c>
      <c r="K15" s="110" t="n"/>
    </row>
    <row r="16">
      <c r="A16" s="111" t="n"/>
      <c r="B16" s="111" t="n"/>
      <c r="C16" s="111" t="n">
        <v>1</v>
      </c>
      <c r="D16" s="111" t="inlineStr">
        <is>
          <t>Read OperationCycleCounter from Battery.</t>
        </is>
      </c>
      <c r="E16" s="111" t="inlineStr">
        <is>
          <t>Server claims this Conformance Unit; no additional runtime setup is needed for this step.</t>
        </is>
      </c>
      <c r="F16" s="111" t="inlineStr">
        <is>
          <t>Value &gt;= 0. DataType is UInteger.</t>
        </is>
      </c>
      <c r="G16" s="111" t="inlineStr">
        <is>
          <t>Good</t>
        </is>
      </c>
      <c r="H16" s="111" t="n"/>
      <c r="I16" s="111" t="n"/>
      <c r="J16" s="111" t="inlineStr">
        <is>
          <t>OPC 40450-1 Section 11.1 CU-57</t>
        </is>
      </c>
      <c r="K16" s="111" t="inlineStr">
        <is>
          <t>Requirement source: OPC 40450-1 Section 8.15 - UInteger, non-negative.</t>
        </is>
      </c>
    </row>
    <row r="17">
      <c r="A17" s="110" t="inlineStr">
        <is>
          <t>n</t>
        </is>
      </c>
      <c r="B17" s="110" t="n">
        <v>3</v>
      </c>
      <c r="C17" s="110" t="n">
        <v>0</v>
      </c>
      <c r="D17" s="110" t="inlineStr">
        <is>
          <t>Verify Battery OperationCycleCounter increments on use</t>
        </is>
      </c>
      <c r="E17" s="110" t="n"/>
      <c r="F17" s="110" t="n"/>
      <c r="G17" s="110" t="n"/>
      <c r="H17" s="110" t="n"/>
      <c r="I17" s="110" t="inlineStr">
        <is>
          <t>n</t>
        </is>
      </c>
      <c r="J17" s="110" t="inlineStr">
        <is>
          <t>OPC 40450-1 Section 11.1 CU-57</t>
        </is>
      </c>
      <c r="K17" s="110" t="n"/>
    </row>
    <row r="18">
      <c r="A18" s="111" t="n"/>
      <c r="B18" s="111" t="n"/>
      <c r="C18" s="111" t="n">
        <v>1</v>
      </c>
      <c r="D18" s="111" t="inlineStr">
        <is>
          <t>Record counter. Use battery. Read counter again.</t>
        </is>
      </c>
      <c r="E18" s="111" t="inlineStr">
        <is>
          <t>Server claims this Conformance Unit; no additional runtime setup is needed for this step.</t>
        </is>
      </c>
      <c r="F18" s="111" t="inlineStr">
        <is>
          <t>Counter value increased.</t>
        </is>
      </c>
      <c r="G18" s="111" t="inlineStr">
        <is>
          <t>Good</t>
        </is>
      </c>
      <c r="H18" s="111" t="n"/>
      <c r="I18" s="111" t="n"/>
      <c r="J18" s="111" t="inlineStr">
        <is>
          <t>OPC 40450-1 Section 11.1 CU-57</t>
        </is>
      </c>
      <c r="K18" s="111" t="inlineStr">
        <is>
          <t>Requirement source: OPC 40450-1 Section 8.15 - Increments per charge cycle.</t>
        </is>
      </c>
    </row>
    <row r="19">
      <c r="A19" s="110" t="inlineStr">
        <is>
          <t>n</t>
        </is>
      </c>
      <c r="B19" s="110" t="n">
        <v>4</v>
      </c>
      <c r="C19" s="110" t="n">
        <v>0</v>
      </c>
      <c r="D19" s="110" t="inlineStr">
        <is>
          <t>Verify Battery counter relates to charge cycles</t>
        </is>
      </c>
      <c r="E19" s="110" t="n"/>
      <c r="F19" s="110" t="n"/>
      <c r="G19" s="110" t="n"/>
      <c r="H19" s="110" t="n"/>
      <c r="I19" s="110" t="inlineStr">
        <is>
          <t>n</t>
        </is>
      </c>
      <c r="J19" s="110" t="inlineStr">
        <is>
          <t>OPC 40450-1 Section 11.1 CU-57</t>
        </is>
      </c>
      <c r="K19" s="110" t="n"/>
    </row>
    <row r="20" ht="25.8" customHeight="1" s="132">
      <c r="A20" s="111" t="n"/>
      <c r="B20" s="111" t="n"/>
      <c r="C20" s="111" t="n">
        <v>1</v>
      </c>
      <c r="D20" s="111" t="inlineStr">
        <is>
          <t>Document expected counter semantics per application.</t>
        </is>
      </c>
      <c r="E20" s="111" t="inlineStr">
        <is>
          <t>Server claims this Conformance Unit; no additional runtime setup is needed for this step.</t>
        </is>
      </c>
      <c r="F20" s="111" t="inlineStr">
        <is>
          <t>Counter behavior matches charge cycle semantics.</t>
        </is>
      </c>
      <c r="G20" s="111" t="inlineStr">
        <is>
          <t>Good</t>
        </is>
      </c>
      <c r="H20" s="111" t="n"/>
      <c r="I20" s="111" t="n"/>
      <c r="J20" s="111" t="inlineStr">
        <is>
          <t>OPC 40450-1 Section 11.1 CU-57</t>
        </is>
      </c>
      <c r="K20" s="111" t="inlineStr">
        <is>
          <t>Requirement source: OPC 40450-1 Section 8.15 - Battery counter counts charge cycles.</t>
        </is>
      </c>
    </row>
  </sheetData>
  <mergeCells count="2">
    <mergeCell ref="A1:K1"/>
    <mergeCell ref="C2:J2"/>
  </mergeCells>
  <pageMargins left="0.7" right="0.7" top="0.75" bottom="0.75" header="0.3" footer="0.3"/>
</worksheet>
</file>

<file path=xl/worksheets/sheet64.xml><?xml version="1.0" encoding="utf-8"?>
<worksheet xmlns="http://schemas.openxmlformats.org/spreadsheetml/2006/main">
  <sheetPr codeName="Sheet6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CU-58: Asset Management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CU-58 — Asset Management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AMH-1 Verify Health Object present on at least one asset instance</t>
        </is>
      </c>
      <c r="E4" s="58" t="n"/>
      <c r="F4" s="58" t="n"/>
      <c r="G4" s="58" t="n"/>
      <c r="H4" s="58" t="n"/>
      <c r="I4" s="58" t="n"/>
      <c r="J4" s="58" t="inlineStr">
        <is>
          <t>OPC 40450-1 Section 7.20 (CU-58) / OPC 40083</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(Controller or Tool). Locate Health child Object node.</t>
        </is>
      </c>
      <c r="E5" s="61" t="inlineStr">
        <is>
          <t>CU-58 declared. At least one primary asset instance accessible.</t>
        </is>
      </c>
      <c r="F5" s="61" t="inlineStr">
        <is>
          <t>Health Object node present as a child of the asset. BrowseName = "Health". NodeClass = Object.</t>
        </is>
      </c>
      <c r="G5" s="61" t="inlineStr">
        <is>
          <t>Good</t>
        </is>
      </c>
      <c r="H5" s="61" t="inlineStr">
        <is>
          <t>Good</t>
        </is>
      </c>
      <c r="I5" s="61" t="n"/>
      <c r="J5" s="61" t="inlineStr">
        <is>
          <t>OPC 40450-1 Section 7.20 (CU-58) / OPC 40083</t>
        </is>
      </c>
      <c r="K5" s="62" t="n"/>
    </row>
    <row r="6" ht="25.8" customHeight="1" s="132">
      <c r="A6" s="70" t="inlineStr">
        <is>
          <t>y</t>
        </is>
      </c>
      <c r="B6" s="71" t="n">
        <v>2</v>
      </c>
      <c r="C6" s="72" t="n">
        <v>0</v>
      </c>
      <c r="D6" s="72" t="inlineStr">
        <is>
          <t>AMH-2 Verify Health TypeDefinition per OPC 40083 / DeviceHealth</t>
        </is>
      </c>
      <c r="E6" s="72" t="n"/>
      <c r="F6" s="72" t="n"/>
      <c r="G6" s="72" t="n"/>
      <c r="H6" s="72" t="n"/>
      <c r="I6" s="72" t="n"/>
      <c r="J6" s="72" t="inlineStr">
        <is>
          <t>OPC 40450-1 Section 7.20 (CU-58) / OPC 40083</t>
        </is>
      </c>
      <c r="K6" s="73" t="n"/>
    </row>
    <row r="7" ht="38.7" customHeight="1" s="132">
      <c r="A7" s="61" t="n"/>
      <c r="B7" s="61" t="n"/>
      <c r="C7" s="61" t="n">
        <v>1</v>
      </c>
      <c r="D7" s="61" t="inlineStr">
        <is>
          <t>Read HasTypeDefinition reference of the Health Object.</t>
        </is>
      </c>
      <c r="E7" s="61" t="inlineStr">
        <is>
          <t>Health node accessible (AMH-1 passed).</t>
        </is>
      </c>
      <c r="F7" s="61" t="inlineStr">
        <is>
          <t>TypeDefinition resolves to the health type defined in OPC 40083 (e.g., DeviceHealthType or equivalent). Not an untyped BaseObjectType.</t>
        </is>
      </c>
      <c r="G7" s="61" t="inlineStr">
        <is>
          <t>Good</t>
        </is>
      </c>
      <c r="H7" s="61" t="inlineStr">
        <is>
          <t>Good</t>
        </is>
      </c>
      <c r="I7" s="61" t="n"/>
      <c r="J7" s="61" t="inlineStr">
        <is>
          <t>OPC 40450-1 Section 7.20 (CU-58) / OPC 40083</t>
        </is>
      </c>
      <c r="K7" s="61" t="n"/>
    </row>
    <row r="8" ht="25.8" customHeight="1" s="132">
      <c r="A8" s="67" t="inlineStr">
        <is>
          <t>y</t>
        </is>
      </c>
      <c r="B8" s="67" t="n">
        <v>3</v>
      </c>
      <c r="C8" s="67" t="n">
        <v>0</v>
      </c>
      <c r="D8" s="67" t="inlineStr">
        <is>
          <t>AMH-3 Read DeviceHealth property — must be a DeviceHealthEnumeration value</t>
        </is>
      </c>
      <c r="E8" s="67" t="n"/>
      <c r="F8" s="67" t="n"/>
      <c r="G8" s="67" t="n"/>
      <c r="H8" s="67" t="n"/>
      <c r="I8" s="67" t="n"/>
      <c r="J8" s="67" t="inlineStr">
        <is>
          <t>OPC 40450-1 Section 7.20 (CU-58) / OPC 40083</t>
        </is>
      </c>
      <c r="K8" s="67" t="n"/>
    </row>
    <row r="9" ht="51.6" customHeight="1" s="132">
      <c r="A9" s="61" t="n"/>
      <c r="B9" s="61" t="n"/>
      <c r="C9" s="61" t="n">
        <v>1</v>
      </c>
      <c r="D9" s="61" t="inlineStr">
        <is>
          <t>Browse the Health Object. Locate DeviceHealth Variable node. Read its Value.</t>
        </is>
      </c>
      <c r="E9" s="61" t="inlineStr">
        <is>
          <t>Health Object accessible.</t>
        </is>
      </c>
      <c r="F9" s="61" t="inlineStr">
        <is>
          <t>DeviceHealth Variable present. DataType = DeviceHealthEnumeration (Int32). Read returns Good. Value is a valid enumeration member (0=NORMAL, 1=FAILURE, 2=CHECK_FUNCTION, 3=OFF_SPEC, 4=MAINTENANCE_REQUIRED).</t>
        </is>
      </c>
      <c r="G9" s="61" t="inlineStr">
        <is>
          <t>Good</t>
        </is>
      </c>
      <c r="H9" s="61" t="inlineStr">
        <is>
          <t>Good</t>
        </is>
      </c>
      <c r="I9" s="61" t="n"/>
      <c r="J9" s="61" t="inlineStr">
        <is>
          <t>OPC 40450-1 Section 7.20 (CU-58) / OPC 40083</t>
        </is>
      </c>
      <c r="K9" s="61" t="n"/>
    </row>
    <row r="10" ht="25.8" customHeight="1" s="132">
      <c r="A10" s="67" t="inlineStr">
        <is>
          <t>y</t>
        </is>
      </c>
      <c r="B10" s="67" t="n">
        <v>4</v>
      </c>
      <c r="C10" s="67" t="n">
        <v>0</v>
      </c>
      <c r="D10" s="67" t="inlineStr">
        <is>
          <t>AMH-4 Verify DeviceHealth = NORMAL(0) when asset is functioning normally</t>
        </is>
      </c>
      <c r="E10" s="67" t="n"/>
      <c r="F10" s="67" t="n"/>
      <c r="G10" s="67" t="n"/>
      <c r="H10" s="67" t="n"/>
      <c r="I10" s="67" t="n"/>
      <c r="J10" s="67" t="inlineStr">
        <is>
          <t>OPC 40450-1 Section 7.20 (CU-58) / OPC 40083</t>
        </is>
      </c>
      <c r="K10" s="67" t="n"/>
    </row>
    <row r="11" ht="25.8" customHeight="1" s="132">
      <c r="A11" s="61" t="n"/>
      <c r="B11" s="61" t="n"/>
      <c r="C11" s="61" t="n">
        <v>1</v>
      </c>
      <c r="D11" s="61" t="inlineStr">
        <is>
          <t>With the asset in normal operational state, read DeviceHealth value.</t>
        </is>
      </c>
      <c r="E11" s="61" t="inlineStr">
        <is>
          <t>Asset operational. No active faults or alarms.</t>
        </is>
      </c>
      <c r="F11" s="61" t="inlineStr">
        <is>
          <t>DeviceHealth = 0 (NORMAL). A functioning asset in good condition must report NORMAL health state.</t>
        </is>
      </c>
      <c r="G11" s="61" t="inlineStr">
        <is>
          <t>Good</t>
        </is>
      </c>
      <c r="H11" s="61" t="inlineStr">
        <is>
          <t>Good</t>
        </is>
      </c>
      <c r="I11" s="61" t="n"/>
      <c r="J11" s="61" t="inlineStr">
        <is>
          <t>OPC 40450-1 Section 7.20 (CU-58) / OPC 40083</t>
        </is>
      </c>
      <c r="K11" s="61" t="n"/>
    </row>
    <row r="12" ht="25.8" customHeight="1" s="132">
      <c r="A12" s="67" t="inlineStr">
        <is>
          <t>n</t>
        </is>
      </c>
      <c r="B12" s="67" t="n">
        <v>5</v>
      </c>
      <c r="C12" s="67" t="n">
        <v>0</v>
      </c>
      <c r="D12" s="67" t="inlineStr">
        <is>
          <t>AMH-6 Simulate fault — verify DeviceHealth changes to FAILURE or CHECK_FUNCTION</t>
        </is>
      </c>
      <c r="E12" s="67" t="n"/>
      <c r="F12" s="67" t="n"/>
      <c r="G12" s="67" t="n"/>
      <c r="H12" s="67" t="n"/>
      <c r="I12" s="67" t="n"/>
      <c r="J12" s="67" t="inlineStr">
        <is>
          <t>OPC 40450-1 Section 7.20 (CU-58) / OPC 40083</t>
        </is>
      </c>
      <c r="K12" s="67" t="inlineStr">
        <is>
          <t>CTT=n: requires fault injection or hardware simulation</t>
        </is>
      </c>
    </row>
    <row r="13" ht="38.7" customHeight="1" s="132">
      <c r="A13" s="61" t="n"/>
      <c r="B13" s="61" t="n"/>
      <c r="C13" s="61" t="n">
        <v>1</v>
      </c>
      <c r="D13" s="61" t="inlineStr">
        <is>
          <t>Simulate a fault condition on the asset (e.g., disconnect a component, inject an error via manufacturer tooling). Re-read DeviceHealth.</t>
        </is>
      </c>
      <c r="E13" s="61" t="inlineStr">
        <is>
          <t>Fault condition achievable. Health Object accessible.</t>
        </is>
      </c>
      <c r="F13" s="61" t="inlineStr">
        <is>
          <t>DeviceHealth changes from NORMAL to FAILURE(1) or CHECK_FUNCTION(2) within a reasonable response time. Value is no longer 0 (NORMAL) while fault is active.</t>
        </is>
      </c>
      <c r="G13" s="61" t="inlineStr">
        <is>
          <t>Good</t>
        </is>
      </c>
      <c r="H13" s="61" t="inlineStr">
        <is>
          <t>Good</t>
        </is>
      </c>
      <c r="I13" s="61" t="n"/>
      <c r="J13" s="61" t="inlineStr">
        <is>
          <t>OPC 40450-1 Section 7.20 (CU-58) / OPC 40083</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[Optional helper — profile negative check, not CU-58 conformance] AMH-5 Verify Health Object absent when CU-58 not claimed</t>
        </is>
      </c>
      <c r="E15" s="69" t="n"/>
      <c r="F15" s="69" t="n"/>
      <c r="G15" s="69" t="n"/>
      <c r="H15" s="69" t="n"/>
      <c r="I15" s="69" t="n"/>
      <c r="J15" s="69" t="inlineStr">
        <is>
          <t>OPC 40450-1 Section 7.20 (CU-58) / OPC 40083</t>
        </is>
      </c>
      <c r="K15" s="69" t="inlineStr">
        <is>
          <t>Static negative test — browse only</t>
        </is>
      </c>
    </row>
    <row r="16" ht="25.8" customHeight="1" s="132">
      <c r="A16" s="61" t="n"/>
      <c r="B16" s="61" t="n"/>
      <c r="C16" s="61" t="n">
        <v>1</v>
      </c>
      <c r="D16" s="61" t="inlineStr">
        <is>
          <t>[Optional helper] If CU-58 not declared: browse primary asset instances and check for Health Object.</t>
        </is>
      </c>
      <c r="E16" s="61" t="inlineStr">
        <is>
          <t>Server conformance profile does not include CU-58.</t>
        </is>
      </c>
      <c r="F16" s="61" t="inlineStr">
        <is>
          <t>[Optional helper expected result] Health Object NOT present on any asset instance.</t>
        </is>
      </c>
      <c r="G16" s="61" t="inlineStr">
        <is>
          <t>Good</t>
        </is>
      </c>
      <c r="H16" s="61" t="n"/>
      <c r="I16" s="61" t="n"/>
      <c r="J16" s="61" t="inlineStr">
        <is>
          <t>OPC 40450-1 Section 7.20 (CU-58) / OPC 40083</t>
        </is>
      </c>
      <c r="K16" s="61" t="n"/>
    </row>
    <row r="17">
      <c r="A17" s="110" t="inlineStr">
        <is>
          <t>n</t>
        </is>
      </c>
      <c r="B17" s="110" t="n">
        <v>2</v>
      </c>
      <c r="C17" s="110" t="n">
        <v>0</v>
      </c>
      <c r="D17" s="110" t="inlineStr">
        <is>
          <t>Verify Health.DeviceHealth is DeviceHealthEnum type</t>
        </is>
      </c>
      <c r="E17" s="110" t="n"/>
      <c r="F17" s="110" t="n"/>
      <c r="G17" s="110" t="n"/>
      <c r="H17" s="110" t="n"/>
      <c r="I17" s="110" t="inlineStr">
        <is>
          <t>n</t>
        </is>
      </c>
      <c r="J17" s="110" t="inlineStr">
        <is>
          <t>OPC 40450-1 Section 11.1 CU-58</t>
        </is>
      </c>
      <c r="K17" s="110" t="n"/>
    </row>
    <row r="18" ht="25.8" customHeight="1" s="132">
      <c r="A18" s="111" t="n"/>
      <c r="B18" s="111" t="n"/>
      <c r="C18" s="111" t="n">
        <v>1</v>
      </c>
      <c r="D18" s="111" t="inlineStr">
        <is>
          <t>Read DataType of DeviceHealth node under Health.</t>
        </is>
      </c>
      <c r="E18" s="111" t="inlineStr">
        <is>
          <t>Server claims this Conformance Unit; no additional runtime setup is needed for this step.</t>
        </is>
      </c>
      <c r="F18" s="111" t="inlineStr">
        <is>
          <t>DataType is DeviceHealthEnumeration.</t>
        </is>
      </c>
      <c r="G18" s="111" t="inlineStr">
        <is>
          <t>Good</t>
        </is>
      </c>
      <c r="H18" s="111" t="n"/>
      <c r="I18" s="111" t="n"/>
      <c r="J18" s="111" t="inlineStr">
        <is>
          <t>OPC 40450-1 Section 11.1 CU-58</t>
        </is>
      </c>
      <c r="K18" s="111" t="inlineStr">
        <is>
          <t>Requirement source: OPC 40450-1 Section 8.16 - DeviceHealthEnumeration from DI spec.</t>
        </is>
      </c>
    </row>
    <row r="19">
      <c r="A19" s="110" t="inlineStr">
        <is>
          <t>n</t>
        </is>
      </c>
      <c r="B19" s="110" t="n">
        <v>3</v>
      </c>
      <c r="C19" s="110" t="n">
        <v>0</v>
      </c>
      <c r="D19" s="110" t="inlineStr">
        <is>
          <t>Verify Health.DeviceHealthAlarms is FolderType</t>
        </is>
      </c>
      <c r="E19" s="110" t="n"/>
      <c r="F19" s="110" t="n"/>
      <c r="G19" s="110" t="n"/>
      <c r="H19" s="110" t="n"/>
      <c r="I19" s="110" t="inlineStr">
        <is>
          <t>n</t>
        </is>
      </c>
      <c r="J19" s="110" t="inlineStr">
        <is>
          <t>OPC 40450-1 Section 11.1 CU-58</t>
        </is>
      </c>
      <c r="K19" s="110" t="n"/>
    </row>
    <row r="20" ht="25.8" customHeight="1" s="132">
      <c r="A20" s="111" t="n"/>
      <c r="B20" s="111" t="n"/>
      <c r="C20" s="111" t="n">
        <v>1</v>
      </c>
      <c r="D20" s="111" t="inlineStr">
        <is>
          <t>Read TypeDefinitionId of DeviceHealthAlarms.</t>
        </is>
      </c>
      <c r="E20" s="111" t="inlineStr">
        <is>
          <t>Server claims this Conformance Unit; no additional runtime setup is needed for this step.</t>
        </is>
      </c>
      <c r="F20" s="111" t="inlineStr">
        <is>
          <t>TypeDefinitionId is FolderType (i=61).</t>
        </is>
      </c>
      <c r="G20" s="111" t="inlineStr">
        <is>
          <t>Good</t>
        </is>
      </c>
      <c r="H20" s="111" t="n"/>
      <c r="I20" s="111" t="n"/>
      <c r="J20" s="111" t="inlineStr">
        <is>
          <t>OPC 40450-1 Section 11.1 CU-58</t>
        </is>
      </c>
      <c r="K20" s="111" t="inlineStr">
        <is>
          <t>Requirement source: OPC 40450-1 Section 8.16 - DeviceHealthAlarms is FolderType.</t>
        </is>
      </c>
    </row>
    <row r="21">
      <c r="A21" s="110" t="inlineStr">
        <is>
          <t>n</t>
        </is>
      </c>
      <c r="B21" s="110" t="n">
        <v>4</v>
      </c>
      <c r="C21" s="110" t="n">
        <v>0</v>
      </c>
      <c r="D21" s="110" t="inlineStr">
        <is>
          <t>Verify DeviceHealth=FAILURE when ErrorCode is non-zero</t>
        </is>
      </c>
      <c r="E21" s="110" t="n"/>
      <c r="F21" s="110" t="n"/>
      <c r="G21" s="110" t="n"/>
      <c r="H21" s="110" t="n"/>
      <c r="I21" s="110" t="inlineStr">
        <is>
          <t>n</t>
        </is>
      </c>
      <c r="J21" s="110" t="inlineStr">
        <is>
          <t>OPC 40450-1 Section 11.1 CU-58</t>
        </is>
      </c>
      <c r="K21" s="110" t="n"/>
    </row>
    <row r="22" ht="25.8" customHeight="1" s="132">
      <c r="A22" s="111" t="n"/>
      <c r="B22" s="111" t="n"/>
      <c r="C22" s="111" t="n">
        <v>1</v>
      </c>
      <c r="D22" s="111" t="inlineStr">
        <is>
          <t>If ErrorCode present and non-zero, read DeviceHealth.</t>
        </is>
      </c>
      <c r="E22" s="111" t="inlineStr">
        <is>
          <t>Server claims this Conformance Unit; no additional runtime setup is needed for this step.</t>
        </is>
      </c>
      <c r="F22" s="111" t="inlineStr">
        <is>
          <t>DeviceHealth is FAILURE(0) or CHECK_FUNCTION(2).</t>
        </is>
      </c>
      <c r="G22" s="111" t="inlineStr">
        <is>
          <t>Good</t>
        </is>
      </c>
      <c r="H22" s="111" t="n"/>
      <c r="I22" s="111" t="n"/>
      <c r="J22" s="111" t="inlineStr">
        <is>
          <t>OPC 40450-1 Section 11.1 CU-58</t>
        </is>
      </c>
      <c r="K22" s="111" t="inlineStr">
        <is>
          <t>Requirement source: OPC 40450-1 Section 8.16 - DeviceHealth should reflect failure.</t>
        </is>
      </c>
    </row>
  </sheetData>
  <mergeCells count="2">
    <mergeCell ref="A1:K1"/>
    <mergeCell ref="C2:J2"/>
  </mergeCells>
  <pageMargins left="0.7" right="0.7" top="0.75" bottom="0.75" header="0.3" footer="0.3"/>
</worksheet>
</file>

<file path=xl/worksheets/sheet65.xml><?xml version="1.0" encoding="utf-8"?>
<worksheet xmlns="http://schemas.openxmlformats.org/spreadsheetml/2006/main">
  <sheetPr codeName="Sheet6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CU-59: Asset Management Monitoring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CU-59 — Asset Management Monitoring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AMMH-1 Verify Monitoring.Health component browsable on at least one asset</t>
        </is>
      </c>
      <c r="E4" s="58" t="n"/>
      <c r="F4" s="58" t="n"/>
      <c r="G4" s="58" t="n"/>
      <c r="H4" s="58" t="n"/>
      <c r="I4" s="58" t="n"/>
      <c r="J4" s="58" t="inlineStr">
        <is>
          <t>OPC 40450-1 Section 7.21 (CU-59)</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Monitoring Object, then browse its Health sub-Object.</t>
        </is>
      </c>
      <c r="E5" s="61" t="inlineStr">
        <is>
          <t>CU-59 declared. Asset instance accessible.</t>
        </is>
      </c>
      <c r="F5" s="61" t="inlineStr">
        <is>
          <t>Monitoring Object present on the asset. Health sub-Object present under Monitoring. NodeClass = Object.</t>
        </is>
      </c>
      <c r="G5" s="61" t="inlineStr">
        <is>
          <t>Good</t>
        </is>
      </c>
      <c r="H5" s="61" t="inlineStr">
        <is>
          <t>Good</t>
        </is>
      </c>
      <c r="I5" s="61" t="n"/>
      <c r="J5" s="61" t="inlineStr">
        <is>
          <t>OPC 40450-1 Section 7.21 (CU-59)</t>
        </is>
      </c>
      <c r="K5" s="62" t="n"/>
    </row>
    <row r="6">
      <c r="A6" s="70" t="inlineStr">
        <is>
          <t>y</t>
        </is>
      </c>
      <c r="B6" s="71" t="n">
        <v>2</v>
      </c>
      <c r="C6" s="72" t="n">
        <v>0</v>
      </c>
      <c r="D6" s="72" t="inlineStr">
        <is>
          <t>AMMH-2 Verify Monitoring Object present with Health sub-Object</t>
        </is>
      </c>
      <c r="E6" s="72" t="n"/>
      <c r="F6" s="72" t="n"/>
      <c r="G6" s="72" t="n"/>
      <c r="H6" s="72" t="n"/>
      <c r="I6" s="72" t="n"/>
      <c r="J6" s="72" t="inlineStr">
        <is>
          <t>OPC 40450-1 Section 7.21 (CU-59)</t>
        </is>
      </c>
      <c r="K6" s="73" t="n"/>
    </row>
    <row r="7" ht="25.8" customHeight="1" s="132">
      <c r="A7" s="61" t="n"/>
      <c r="B7" s="61" t="n"/>
      <c r="C7" s="61" t="n">
        <v>1</v>
      </c>
      <c r="D7" s="61" t="inlineStr">
        <is>
          <t>Enumerate all asset instances with CU-59 applicable. Verify Monitoring → Health path on each.</t>
        </is>
      </c>
      <c r="E7" s="61" t="inlineStr">
        <is>
          <t>All applicable asset instances accessible.</t>
        </is>
      </c>
      <c r="F7" s="61" t="inlineStr">
        <is>
          <t>Every applicable asset has Monitoring Object with Health child. The two-level path Monitoring/Health must be navigable.</t>
        </is>
      </c>
      <c r="G7" s="61" t="inlineStr">
        <is>
          <t>Good</t>
        </is>
      </c>
      <c r="H7" s="61" t="inlineStr">
        <is>
          <t>Good</t>
        </is>
      </c>
      <c r="I7" s="61" t="n"/>
      <c r="J7" s="61" t="inlineStr">
        <is>
          <t>OPC 40450-1 Section 7.21 (CU-59)</t>
        </is>
      </c>
      <c r="K7" s="61" t="n"/>
    </row>
    <row r="8">
      <c r="A8" s="67" t="inlineStr">
        <is>
          <t>y</t>
        </is>
      </c>
      <c r="B8" s="67" t="n">
        <v>3</v>
      </c>
      <c r="C8" s="67" t="n">
        <v>0</v>
      </c>
      <c r="D8" s="67" t="inlineStr">
        <is>
          <t>AMMH-3 Read DeviceHealth from Monitoring.Health</t>
        </is>
      </c>
      <c r="E8" s="67" t="n"/>
      <c r="F8" s="67" t="n"/>
      <c r="G8" s="67" t="n"/>
      <c r="H8" s="67" t="n"/>
      <c r="I8" s="67" t="n"/>
      <c r="J8" s="67" t="inlineStr">
        <is>
          <t>OPC 40450-1 Section 7.21 (CU-59)</t>
        </is>
      </c>
      <c r="K8" s="67" t="n"/>
    </row>
    <row r="9" ht="38.7" customHeight="1" s="132">
      <c r="A9" s="61" t="n"/>
      <c r="B9" s="61" t="n"/>
      <c r="C9" s="61" t="n">
        <v>1</v>
      </c>
      <c r="D9" s="61" t="inlineStr">
        <is>
          <t>Read DeviceHealth Variable from the Monitoring.Health sub-Object.</t>
        </is>
      </c>
      <c r="E9" s="61" t="inlineStr">
        <is>
          <t>Monitoring.Health accessible (AMMH-1 passed).</t>
        </is>
      </c>
      <c r="F9" s="61" t="inlineStr">
        <is>
          <t>DeviceHealth Variable present under Monitoring.Health. DataType = DeviceHealthEnumeration. Read returns Good. Value is a valid enumeration member.</t>
        </is>
      </c>
      <c r="G9" s="61" t="inlineStr">
        <is>
          <t>Good</t>
        </is>
      </c>
      <c r="H9" s="61" t="inlineStr">
        <is>
          <t>Good</t>
        </is>
      </c>
      <c r="I9" s="61" t="n"/>
      <c r="J9" s="61" t="inlineStr">
        <is>
          <t>OPC 40450-1 Section 7.21 (CU-59)</t>
        </is>
      </c>
      <c r="K9" s="61" t="n"/>
    </row>
    <row r="10">
      <c r="A10" s="67" t="inlineStr">
        <is>
          <t>n</t>
        </is>
      </c>
      <c r="B10" s="67" t="n">
        <v>4</v>
      </c>
      <c r="C10" s="67" t="n">
        <v>0</v>
      </c>
      <c r="D10" s="67" t="inlineStr">
        <is>
          <t>AMMH-4 Verify Monitoring.Health updates when asset health changes</t>
        </is>
      </c>
      <c r="E10" s="67" t="n"/>
      <c r="F10" s="67" t="n"/>
      <c r="G10" s="67" t="n"/>
      <c r="H10" s="67" t="n"/>
      <c r="I10" s="67" t="n"/>
      <c r="J10" s="67" t="inlineStr">
        <is>
          <t>OPC 40450-1 Section 7.21 (CU-59)</t>
        </is>
      </c>
      <c r="K10" s="67" t="inlineStr">
        <is>
          <t>CTT=n: requires health state change on device</t>
        </is>
      </c>
    </row>
    <row r="11" ht="38.7" customHeight="1" s="132">
      <c r="A11" s="61" t="n"/>
      <c r="B11" s="61" t="n"/>
      <c r="C11" s="61" t="n">
        <v>1</v>
      </c>
      <c r="D11" s="61" t="inlineStr">
        <is>
          <t>Monitor Monitoring.Health DeviceHealth via subscription or polling. Trigger a health state change on the asset. Observe DeviceHealth update.</t>
        </is>
      </c>
      <c r="E11" s="61" t="inlineStr">
        <is>
          <t>Asset operational. Health state change achievable.</t>
        </is>
      </c>
      <c r="F11" s="61" t="inlineStr">
        <is>
          <t>Monitoring.Health DeviceHealth value changes to reflect the new asset health state. Update is propagated within a reasonable time (≤ server PublishingInterval + 1 cycle).</t>
        </is>
      </c>
      <c r="G11" s="61" t="inlineStr">
        <is>
          <t>Good</t>
        </is>
      </c>
      <c r="H11" s="61" t="inlineStr">
        <is>
          <t>Good</t>
        </is>
      </c>
      <c r="I11" s="61" t="n"/>
      <c r="J11" s="61" t="inlineStr">
        <is>
          <t>OPC 40450-1 Section 7.21 (CU-59)</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[Optional helper — profile negative check, not CU-59 conformance] AMMH-5 Verify Monitoring.Health absent when CU-59 not claimed</t>
        </is>
      </c>
      <c r="E13" s="69" t="n"/>
      <c r="F13" s="69" t="n"/>
      <c r="G13" s="69" t="n"/>
      <c r="H13" s="69" t="n"/>
      <c r="I13" s="69" t="n"/>
      <c r="J13" s="69" t="inlineStr">
        <is>
          <t>OPC 40450-1 Section 7.21 (CU-59)</t>
        </is>
      </c>
      <c r="K13" s="69" t="inlineStr">
        <is>
          <t>Static negative test — browse only</t>
        </is>
      </c>
    </row>
    <row r="14" ht="25.8" customHeight="1" s="132">
      <c r="A14" s="61" t="n"/>
      <c r="B14" s="61" t="n"/>
      <c r="C14" s="61" t="n">
        <v>1</v>
      </c>
      <c r="D14" s="61" t="inlineStr">
        <is>
          <t>[Optional helper] If CU-59 not declared: browse asset instances and check for Monitoring/Health path.</t>
        </is>
      </c>
      <c r="E14" s="61" t="inlineStr">
        <is>
          <t>Server conformance profile does not include CU-59.</t>
        </is>
      </c>
      <c r="F14" s="61" t="inlineStr">
        <is>
          <t>[Optional helper expected result] Monitoring.Health path NOT present on any asset instance.</t>
        </is>
      </c>
      <c r="G14" s="61" t="inlineStr">
        <is>
          <t>Good</t>
        </is>
      </c>
      <c r="H14" s="61" t="n"/>
      <c r="I14" s="61" t="n"/>
      <c r="J14" s="61" t="inlineStr">
        <is>
          <t>OPC 40450-1 Section 7.21 (CU-59)</t>
        </is>
      </c>
      <c r="K14" s="61" t="n"/>
    </row>
    <row r="15">
      <c r="A15" s="110" t="inlineStr">
        <is>
          <t>n</t>
        </is>
      </c>
      <c r="B15" s="110" t="n">
        <v>2</v>
      </c>
      <c r="C15" s="110" t="n">
        <v>0</v>
      </c>
      <c r="D15" s="110" t="inlineStr">
        <is>
          <t>Verify Monitoring/Health/DeviceHealth is DeviceHealthEnum</t>
        </is>
      </c>
      <c r="E15" s="110" t="n"/>
      <c r="F15" s="110" t="n"/>
      <c r="G15" s="110" t="n"/>
      <c r="H15" s="110" t="n"/>
      <c r="I15" s="110" t="inlineStr">
        <is>
          <t>n</t>
        </is>
      </c>
      <c r="J15" s="110" t="inlineStr">
        <is>
          <t>OPC 40450-1 Section 11.1 CU-59</t>
        </is>
      </c>
      <c r="K15" s="110" t="n"/>
    </row>
    <row r="16">
      <c r="A16" s="111" t="n"/>
      <c r="B16" s="111" t="n"/>
      <c r="C16" s="111" t="n">
        <v>1</v>
      </c>
      <c r="D16" s="111" t="inlineStr">
        <is>
          <t>Read DataType of DeviceHealth under Monitoring/Health.</t>
        </is>
      </c>
      <c r="E16" s="111" t="inlineStr">
        <is>
          <t>Server claims this Conformance Unit; no additional runtime setup is needed for this step.</t>
        </is>
      </c>
      <c r="F16" s="111" t="inlineStr">
        <is>
          <t>DataType is DeviceHealthEnumeration.</t>
        </is>
      </c>
      <c r="G16" s="111" t="inlineStr">
        <is>
          <t>Good</t>
        </is>
      </c>
      <c r="H16" s="111" t="n"/>
      <c r="I16" s="111" t="n"/>
      <c r="J16" s="111" t="inlineStr">
        <is>
          <t>OPC 40450-1 Section 11.1 CU-59</t>
        </is>
      </c>
      <c r="K16" s="111" t="inlineStr">
        <is>
          <t>Requirement source: OPC 40450-1 Section 8.16 - DeviceHealthEnumeration.</t>
        </is>
      </c>
    </row>
    <row r="17">
      <c r="A17" s="110" t="inlineStr">
        <is>
          <t>n</t>
        </is>
      </c>
      <c r="B17" s="110" t="n">
        <v>3</v>
      </c>
      <c r="C17" s="110" t="n">
        <v>0</v>
      </c>
      <c r="D17" s="110" t="inlineStr">
        <is>
          <t>Verify Monitoring implements 4:MonitoringType</t>
        </is>
      </c>
      <c r="E17" s="110" t="n"/>
      <c r="F17" s="110" t="n"/>
      <c r="G17" s="110" t="n"/>
      <c r="H17" s="110" t="n"/>
      <c r="I17" s="110" t="inlineStr">
        <is>
          <t>n</t>
        </is>
      </c>
      <c r="J17" s="110" t="inlineStr">
        <is>
          <t>OPC 40450-1 Section 11.1 CU-59</t>
        </is>
      </c>
      <c r="K17" s="110" t="n"/>
    </row>
    <row r="18" ht="25.8" customHeight="1" s="132">
      <c r="A18" s="111" t="n"/>
      <c r="B18" s="111" t="n"/>
      <c r="C18" s="111" t="n">
        <v>1</v>
      </c>
      <c r="D18" s="111" t="inlineStr">
        <is>
          <t>Read TypeDefinitionId of Monitoring node.</t>
        </is>
      </c>
      <c r="E18" s="111" t="inlineStr">
        <is>
          <t>Server claims this Conformance Unit; no additional runtime setup is needed for this step.</t>
        </is>
      </c>
      <c r="F18" s="111" t="inlineStr">
        <is>
          <t>TypeDefinitionId matches 4:MonitoringType.</t>
        </is>
      </c>
      <c r="G18" s="111" t="inlineStr">
        <is>
          <t>Good</t>
        </is>
      </c>
      <c r="H18" s="111" t="n"/>
      <c r="I18" s="111" t="n"/>
      <c r="J18" s="111" t="inlineStr">
        <is>
          <t>OPC 40450-1 Section 11.1 CU-59</t>
        </is>
      </c>
      <c r="K18" s="111" t="inlineStr">
        <is>
          <t>Requirement source: OPC 40450-1 Section 8.16 - 4:MonitoringType from Machinery spec.</t>
        </is>
      </c>
    </row>
    <row r="19">
      <c r="A19" s="110" t="inlineStr">
        <is>
          <t>n</t>
        </is>
      </c>
      <c r="B19" s="110" t="n">
        <v>4</v>
      </c>
      <c r="C19" s="110" t="n">
        <v>0</v>
      </c>
      <c r="D19" s="110" t="inlineStr">
        <is>
          <t>Verify Monitoring.Health.DeviceHealthAlarms is FolderType</t>
        </is>
      </c>
      <c r="E19" s="110" t="n"/>
      <c r="F19" s="110" t="n"/>
      <c r="G19" s="110" t="n"/>
      <c r="H19" s="110" t="n"/>
      <c r="I19" s="110" t="inlineStr">
        <is>
          <t>n</t>
        </is>
      </c>
      <c r="J19" s="110" t="inlineStr">
        <is>
          <t>OPC 40450-1 Section 11.1 CU-59</t>
        </is>
      </c>
      <c r="K19" s="110" t="n"/>
    </row>
    <row r="20">
      <c r="A20" s="111" t="n"/>
      <c r="B20" s="111" t="n"/>
      <c r="C20" s="111" t="n">
        <v>1</v>
      </c>
      <c r="D20" s="111" t="inlineStr">
        <is>
          <t>Read TypeDefinitionId of DeviceHealthAlarms under Monitoring/Health.</t>
        </is>
      </c>
      <c r="E20" s="111" t="inlineStr">
        <is>
          <t>Server claims this Conformance Unit; no additional runtime setup is needed for this step.</t>
        </is>
      </c>
      <c r="F20" s="111" t="inlineStr">
        <is>
          <t>TypeDefinitionId is FolderType (i=61).</t>
        </is>
      </c>
      <c r="G20" s="111" t="inlineStr">
        <is>
          <t>Good</t>
        </is>
      </c>
      <c r="H20" s="111" t="n"/>
      <c r="I20" s="111" t="n"/>
      <c r="J20" s="111" t="inlineStr">
        <is>
          <t>OPC 40450-1 Section 11.1 CU-59</t>
        </is>
      </c>
      <c r="K20" s="111" t="inlineStr">
        <is>
          <t>Requirement source: OPC 40450-1 Section 8.16 - FolderType.</t>
        </is>
      </c>
    </row>
  </sheetData>
  <mergeCells count="2">
    <mergeCell ref="A1:K1"/>
    <mergeCell ref="C2:J2"/>
  </mergeCells>
  <pageMargins left="0.7" right="0.7" top="0.75" bottom="0.75" header="0.3" footer="0.3"/>
</worksheet>
</file>

<file path=xl/worksheets/sheet66.xml><?xml version="1.0" encoding="utf-8"?>
<worksheet xmlns="http://schemas.openxmlformats.org/spreadsheetml/2006/main">
  <sheetPr codeName="Sheet6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CU-60: Asset Management Service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CU-60 — Asset Management Service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AMSVC-1 Verify Maintenance.Service component browsable on at least one asset</t>
        </is>
      </c>
      <c r="E4" s="58" t="n"/>
      <c r="F4" s="58" t="n"/>
      <c r="G4" s="58" t="n"/>
      <c r="H4" s="58" t="n"/>
      <c r="I4" s="58" t="n"/>
      <c r="J4" s="58" t="inlineStr">
        <is>
          <t>OPC 40450-1 Section 7.22 (CU-60)</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Service sub-Object.</t>
        </is>
      </c>
      <c r="E5" s="61" t="inlineStr">
        <is>
          <t>CU-60 declared. Asset instance accessible.</t>
        </is>
      </c>
      <c r="F5" s="61" t="inlineStr">
        <is>
          <t>Maintenance Object present on the asset. Service sub-Object present under Maintenance. NodeClass = Object.</t>
        </is>
      </c>
      <c r="G5" s="61" t="inlineStr">
        <is>
          <t>Good</t>
        </is>
      </c>
      <c r="H5" s="61" t="inlineStr">
        <is>
          <t>Good</t>
        </is>
      </c>
      <c r="I5" s="61" t="n"/>
      <c r="J5" s="61" t="inlineStr">
        <is>
          <t>OPC 40450-1 Section 7.22 (CU-60)</t>
        </is>
      </c>
      <c r="K5" s="62" t="n"/>
    </row>
    <row r="6">
      <c r="A6" s="70" t="inlineStr">
        <is>
          <t>y</t>
        </is>
      </c>
      <c r="B6" s="71" t="n">
        <v>2</v>
      </c>
      <c r="C6" s="72" t="n">
        <v>0</v>
      </c>
      <c r="D6" s="72" t="inlineStr">
        <is>
          <t>AMSVC-2 Verify LastService DateTime property present and non-null</t>
        </is>
      </c>
      <c r="E6" s="72" t="n"/>
      <c r="F6" s="72" t="n"/>
      <c r="G6" s="72" t="n"/>
      <c r="H6" s="72" t="n"/>
      <c r="I6" s="72" t="n"/>
      <c r="J6" s="72" t="inlineStr">
        <is>
          <t>OPC 40450-1 Section 7.22 (CU-60)</t>
        </is>
      </c>
      <c r="K6" s="73" t="n"/>
    </row>
    <row r="7" ht="38.7" customHeight="1" s="132">
      <c r="A7" s="61" t="n"/>
      <c r="B7" s="61" t="n"/>
      <c r="C7" s="61" t="n">
        <v>1</v>
      </c>
      <c r="D7" s="61" t="inlineStr">
        <is>
          <t>Browse Service Object. Read LastService Variable node.</t>
        </is>
      </c>
      <c r="E7" s="61" t="inlineStr">
        <is>
          <t>Service Object accessible (AMSVC-1 passed).</t>
        </is>
      </c>
      <c r="F7" s="61" t="inlineStr">
        <is>
          <t>LastService Variable present. DataType = DateTime. Read returns Good. Value is a non-null DateTime (i.e., not DateTime.MinValue). Timestamp represents the most recent service date.</t>
        </is>
      </c>
      <c r="G7" s="61" t="inlineStr">
        <is>
          <t>Good</t>
        </is>
      </c>
      <c r="H7" s="61" t="inlineStr">
        <is>
          <t>Good</t>
        </is>
      </c>
      <c r="I7" s="61" t="n"/>
      <c r="J7" s="61" t="inlineStr">
        <is>
          <t>OPC 40450-1 Section 7.22 (CU-60)</t>
        </is>
      </c>
      <c r="K7" s="61" t="n"/>
    </row>
    <row r="8">
      <c r="A8" s="67" t="inlineStr">
        <is>
          <t>y</t>
        </is>
      </c>
      <c r="B8" s="67" t="n">
        <v>3</v>
      </c>
      <c r="C8" s="67" t="n">
        <v>0</v>
      </c>
      <c r="D8" s="67" t="inlineStr">
        <is>
          <t>AMSVC-3 Verify ServicePlace String property present</t>
        </is>
      </c>
      <c r="E8" s="67" t="n"/>
      <c r="F8" s="67" t="n"/>
      <c r="G8" s="67" t="n"/>
      <c r="H8" s="67" t="n"/>
      <c r="I8" s="67" t="n"/>
      <c r="J8" s="67" t="inlineStr">
        <is>
          <t>OPC 40450-1 Section 7.22 (CU-60)</t>
        </is>
      </c>
      <c r="K8" s="67" t="n"/>
    </row>
    <row r="9" ht="25.8" customHeight="1" s="132">
      <c r="A9" s="61" t="n"/>
      <c r="B9" s="61" t="n"/>
      <c r="C9" s="61" t="n">
        <v>1</v>
      </c>
      <c r="D9" s="61" t="inlineStr">
        <is>
          <t>Browse Service Object. Read ServicePlace Variable node.</t>
        </is>
      </c>
      <c r="E9" s="61" t="inlineStr">
        <is>
          <t>Service Object accessible.</t>
        </is>
      </c>
      <c r="F9" s="61" t="inlineStr">
        <is>
          <t>ServicePlace Variable present. DataType = String. Read returns Good. Value is a non-empty String identifying the service location.</t>
        </is>
      </c>
      <c r="G9" s="61" t="inlineStr">
        <is>
          <t>Good</t>
        </is>
      </c>
      <c r="H9" s="61" t="inlineStr">
        <is>
          <t>Good</t>
        </is>
      </c>
      <c r="I9" s="61" t="n"/>
      <c r="J9" s="61" t="inlineStr">
        <is>
          <t>OPC 40450-1 Section 7.22 (CU-60)</t>
        </is>
      </c>
      <c r="K9" s="61" t="n"/>
    </row>
    <row r="10">
      <c r="A10" s="67" t="inlineStr">
        <is>
          <t>y</t>
        </is>
      </c>
      <c r="B10" s="67" t="n">
        <v>4</v>
      </c>
      <c r="C10" s="67" t="n">
        <v>0</v>
      </c>
      <c r="D10" s="67" t="inlineStr">
        <is>
          <t>AMSVC-4 Verify NextServiceDate (if present) is in the future</t>
        </is>
      </c>
      <c r="E10" s="67" t="n"/>
      <c r="F10" s="67" t="n"/>
      <c r="G10" s="67" t="n"/>
      <c r="H10" s="67" t="n"/>
      <c r="I10" s="67" t="n"/>
      <c r="J10" s="67" t="inlineStr">
        <is>
          <t>OPC 40450-1 Section 7.22 (CU-60)</t>
        </is>
      </c>
      <c r="K10" s="67" t="n"/>
    </row>
    <row r="11" ht="38.7" customHeight="1" s="132">
      <c r="A11" s="61" t="n"/>
      <c r="B11" s="61" t="n"/>
      <c r="C11" s="61" t="n">
        <v>1</v>
      </c>
      <c r="D11" s="61" t="inlineStr">
        <is>
          <t>Browse Service Object. If NextServiceDate Variable is present, read its value. Compare against current UTC time.</t>
        </is>
      </c>
      <c r="E11" s="61" t="inlineStr">
        <is>
          <t>Service Object accessible. NextServiceDate presence is optional per spec.</t>
        </is>
      </c>
      <c r="F11" s="61" t="inlineStr">
        <is>
          <t>If NextServiceDate is present: DataType = DateTime, value is in the future (&gt; current UTC timestamp). If NextServiceDate is absent, no failure is recorded for this field because it is optional.</t>
        </is>
      </c>
      <c r="G11" s="61" t="inlineStr">
        <is>
          <t>Good</t>
        </is>
      </c>
      <c r="H11" s="61" t="inlineStr">
        <is>
          <t>Good</t>
        </is>
      </c>
      <c r="I11" s="61" t="n"/>
      <c r="J11" s="61" t="inlineStr">
        <is>
          <t>OPC 40450-1 Section 7.22 (CU-60)</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[Optional helper — profile negative check, not CU-60 conformance] AMSVC-5 Verify Service Object absent when CU-60 not claimed</t>
        </is>
      </c>
      <c r="E13" s="69" t="n"/>
      <c r="F13" s="69" t="n"/>
      <c r="G13" s="69" t="n"/>
      <c r="H13" s="69" t="n"/>
      <c r="I13" s="69" t="n"/>
      <c r="J13" s="69" t="inlineStr">
        <is>
          <t>OPC 40450-1 Section 7.22 (CU-60)</t>
        </is>
      </c>
      <c r="K13" s="69" t="inlineStr">
        <is>
          <t>Static negative test — browse only</t>
        </is>
      </c>
    </row>
    <row r="14" ht="25.8" customHeight="1" s="132">
      <c r="A14" s="61" t="n"/>
      <c r="B14" s="61" t="n"/>
      <c r="C14" s="61" t="n">
        <v>1</v>
      </c>
      <c r="D14" s="61" t="inlineStr">
        <is>
          <t>[Optional helper] If CU-60 not declared: browse asset instances and check for Maintenance/Service path.</t>
        </is>
      </c>
      <c r="E14" s="61" t="inlineStr">
        <is>
          <t>Server conformance profile does not include CU-60.</t>
        </is>
      </c>
      <c r="F14" s="61" t="inlineStr">
        <is>
          <t>[Optional helper expected result] Maintenance.Service NOT present on any asset instance.</t>
        </is>
      </c>
      <c r="G14" s="61" t="inlineStr">
        <is>
          <t>Good</t>
        </is>
      </c>
      <c r="H14" s="61" t="n"/>
      <c r="I14" s="61" t="n"/>
      <c r="J14" s="61" t="inlineStr">
        <is>
          <t>OPC 40450-1 Section 7.22 (CU-60)</t>
        </is>
      </c>
      <c r="K14" s="61" t="n"/>
    </row>
    <row r="15">
      <c r="A15" s="110" t="inlineStr">
        <is>
          <t>n</t>
        </is>
      </c>
      <c r="B15" s="110" t="n">
        <v>2</v>
      </c>
      <c r="C15" s="110" t="n">
        <v>0</v>
      </c>
      <c r="D15" s="110" t="inlineStr">
        <is>
          <t>Verify Maintenance.Service.LastService is UtcTime and non-null</t>
        </is>
      </c>
      <c r="E15" s="110" t="n"/>
      <c r="F15" s="110" t="n"/>
      <c r="G15" s="110" t="n"/>
      <c r="H15" s="110" t="n"/>
      <c r="I15" s="110" t="inlineStr">
        <is>
          <t>n</t>
        </is>
      </c>
      <c r="J15" s="110" t="inlineStr">
        <is>
          <t>OPC 40450-1 Section 11.1 CU-60</t>
        </is>
      </c>
      <c r="K15" s="110" t="n"/>
    </row>
    <row r="16" ht="25.8" customHeight="1" s="132">
      <c r="A16" s="111" t="n"/>
      <c r="B16" s="111" t="n"/>
      <c r="C16" s="111" t="n">
        <v>1</v>
      </c>
      <c r="D16" s="111" t="inlineStr">
        <is>
          <t>Read LastService from Maintenance/Service.</t>
        </is>
      </c>
      <c r="E16" s="111" t="inlineStr">
        <is>
          <t>Server claims this Conformance Unit; no additional runtime setup is needed for this step.</t>
        </is>
      </c>
      <c r="F16" s="111" t="inlineStr">
        <is>
          <t>LastService is non-null DateTime.</t>
        </is>
      </c>
      <c r="G16" s="111" t="inlineStr">
        <is>
          <t>Good</t>
        </is>
      </c>
      <c r="H16" s="111" t="n"/>
      <c r="I16" s="111" t="n"/>
      <c r="J16" s="111" t="inlineStr">
        <is>
          <t>OPC 40450-1 Section 11.1 CU-60</t>
        </is>
      </c>
      <c r="K16" s="111" t="inlineStr">
        <is>
          <t>Requirement source: OPC 40450-1 Section 8.17 - LastService is Mandatory UtcTime.</t>
        </is>
      </c>
    </row>
    <row r="17">
      <c r="A17" s="110" t="inlineStr">
        <is>
          <t>n</t>
        </is>
      </c>
      <c r="B17" s="110" t="n">
        <v>3</v>
      </c>
      <c r="C17" s="110" t="n">
        <v>0</v>
      </c>
      <c r="D17" s="110" t="inlineStr">
        <is>
          <t>Verify Maintenance.Service.ServicePlace is String and non-null</t>
        </is>
      </c>
      <c r="E17" s="110" t="n"/>
      <c r="F17" s="110" t="n"/>
      <c r="G17" s="110" t="n"/>
      <c r="H17" s="110" t="n"/>
      <c r="I17" s="110" t="inlineStr">
        <is>
          <t>n</t>
        </is>
      </c>
      <c r="J17" s="110" t="inlineStr">
        <is>
          <t>OPC 40450-1 Section 11.1 CU-60</t>
        </is>
      </c>
      <c r="K17" s="110" t="n"/>
    </row>
    <row r="18">
      <c r="A18" s="111" t="n"/>
      <c r="B18" s="111" t="n"/>
      <c r="C18" s="111" t="n">
        <v>1</v>
      </c>
      <c r="D18" s="111" t="inlineStr">
        <is>
          <t>Read ServicePlace from Maintenance/Service.</t>
        </is>
      </c>
      <c r="E18" s="111" t="inlineStr">
        <is>
          <t>Server claims this Conformance Unit; no additional runtime setup is needed for this step.</t>
        </is>
      </c>
      <c r="F18" s="111" t="inlineStr">
        <is>
          <t>ServicePlace is non-null, non-empty String.</t>
        </is>
      </c>
      <c r="G18" s="111" t="inlineStr">
        <is>
          <t>Good</t>
        </is>
      </c>
      <c r="H18" s="111" t="n"/>
      <c r="I18" s="111" t="n"/>
      <c r="J18" s="111" t="inlineStr">
        <is>
          <t>OPC 40450-1 Section 11.1 CU-60</t>
        </is>
      </c>
      <c r="K18" s="111" t="inlineStr">
        <is>
          <t>Requirement source: OPC 40450-1 Section 8.17 - ServicePlace is Mandatory.</t>
        </is>
      </c>
    </row>
    <row r="19">
      <c r="A19" s="110" t="inlineStr">
        <is>
          <t>n</t>
        </is>
      </c>
      <c r="B19" s="110" t="n">
        <v>4</v>
      </c>
      <c r="C19" s="110" t="n">
        <v>0</v>
      </c>
      <c r="D19" s="110" t="inlineStr">
        <is>
          <t>Verify NextService &gt; LastService when both present</t>
        </is>
      </c>
      <c r="E19" s="110" t="n"/>
      <c r="F19" s="110" t="n"/>
      <c r="G19" s="110" t="n"/>
      <c r="H19" s="110" t="n"/>
      <c r="I19" s="110" t="inlineStr">
        <is>
          <t>n</t>
        </is>
      </c>
      <c r="J19" s="110" t="inlineStr">
        <is>
          <t>OPC 40450-1 Section 11.1 CU-60</t>
        </is>
      </c>
      <c r="K19" s="110" t="n"/>
    </row>
    <row r="20" ht="25.8" customHeight="1" s="132">
      <c r="A20" s="111" t="n"/>
      <c r="B20" s="111" t="n"/>
      <c r="C20" s="111" t="n">
        <v>1</v>
      </c>
      <c r="D20" s="111" t="inlineStr">
        <is>
          <t>Read LastService and NextService. Compare dates.</t>
        </is>
      </c>
      <c r="E20" s="111" t="inlineStr">
        <is>
          <t>Server claims this Conformance Unit; no additional runtime setup is needed for this step.</t>
        </is>
      </c>
      <c r="F20" s="111" t="inlineStr">
        <is>
          <t>If NextService present: NextService &gt;= LastService.</t>
        </is>
      </c>
      <c r="G20" s="111" t="inlineStr">
        <is>
          <t>Good</t>
        </is>
      </c>
      <c r="H20" s="111" t="n"/>
      <c r="I20" s="111" t="n"/>
      <c r="J20" s="111" t="inlineStr">
        <is>
          <t>OPC 40450-1 Section 11.1 CU-60</t>
        </is>
      </c>
      <c r="K20" s="111" t="inlineStr">
        <is>
          <t>Requirement source: OPC 40450-1 Section 8.17 - NextService must be after LastService.</t>
        </is>
      </c>
    </row>
  </sheetData>
  <mergeCells count="2">
    <mergeCell ref="A1:K1"/>
    <mergeCell ref="C2:J2"/>
  </mergeCells>
  <pageMargins left="0.7" right="0.7" top="0.75" bottom="0.75" header="0.3" footer="0.3"/>
</worksheet>
</file>

<file path=xl/worksheets/sheet67.xml><?xml version="1.0" encoding="utf-8"?>
<worksheet xmlns="http://schemas.openxmlformats.org/spreadsheetml/2006/main">
  <sheetPr codeName="Sheet6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CU-61: Asset Management Calibration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CU-61 — Asset Management Calibration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AMCAL-1 Verify Maintenance.Calibration component present on at least one asset</t>
        </is>
      </c>
      <c r="E4" s="58" t="n"/>
      <c r="F4" s="58" t="n"/>
      <c r="G4" s="58" t="n"/>
      <c r="H4" s="58" t="n"/>
      <c r="I4" s="58" t="n"/>
      <c r="J4" s="58" t="inlineStr">
        <is>
          <t>OPC 40450-1 Section 7.23 (CU-61)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Calibration sub-Object.</t>
        </is>
      </c>
      <c r="E5" s="61" t="inlineStr">
        <is>
          <t>CU-61 declared. Asset instance accessible.</t>
        </is>
      </c>
      <c r="F5" s="61" t="inlineStr">
        <is>
          <t>Calibration Object present under Maintenance. NodeClass = Object.</t>
        </is>
      </c>
      <c r="G5" s="61" t="inlineStr">
        <is>
          <t>Good</t>
        </is>
      </c>
      <c r="H5" s="61" t="inlineStr">
        <is>
          <t>Good</t>
        </is>
      </c>
      <c r="I5" s="61" t="n"/>
      <c r="J5" s="61" t="inlineStr">
        <is>
          <t>OPC 40450-1 Section 7.23 (CU-61)</t>
        </is>
      </c>
      <c r="K5" s="62" t="n"/>
    </row>
    <row r="6">
      <c r="A6" s="70" t="inlineStr">
        <is>
          <t>y</t>
        </is>
      </c>
      <c r="B6" s="71" t="n">
        <v>2</v>
      </c>
      <c r="C6" s="72" t="n">
        <v>0</v>
      </c>
      <c r="D6" s="72" t="inlineStr">
        <is>
          <t>AMCAL-2 Verify LastCalibration DateTime present and non-null</t>
        </is>
      </c>
      <c r="E6" s="72" t="n"/>
      <c r="F6" s="72" t="n"/>
      <c r="G6" s="72" t="n"/>
      <c r="H6" s="72" t="n"/>
      <c r="I6" s="72" t="n"/>
      <c r="J6" s="72" t="inlineStr">
        <is>
          <t>OPC 40450-1 Section 7.23 (CU-61)</t>
        </is>
      </c>
      <c r="K6" s="73" t="n"/>
    </row>
    <row r="7" ht="38.7" customHeight="1" s="132">
      <c r="A7" s="61" t="n"/>
      <c r="B7" s="61" t="n"/>
      <c r="C7" s="61" t="n">
        <v>1</v>
      </c>
      <c r="D7" s="61" t="inlineStr">
        <is>
          <t>Read LastCalibration Variable from Calibration Object.</t>
        </is>
      </c>
      <c r="E7" s="61" t="inlineStr">
        <is>
          <t>Calibration Object accessible (AMCAL-1 passed).</t>
        </is>
      </c>
      <c r="F7" s="61" t="inlineStr">
        <is>
          <t>LastCalibration Variable present. DataType = DateTime. Read returns Good. Value is non-null (not DateTime.MinValue). Timestamp represents the most recent calibration date.</t>
        </is>
      </c>
      <c r="G7" s="61" t="inlineStr">
        <is>
          <t>Good</t>
        </is>
      </c>
      <c r="H7" s="61" t="inlineStr">
        <is>
          <t>Good</t>
        </is>
      </c>
      <c r="I7" s="61" t="n"/>
      <c r="J7" s="61" t="inlineStr">
        <is>
          <t>OPC 40450-1 Section 7.23 (CU-61)</t>
        </is>
      </c>
      <c r="K7" s="61" t="n"/>
    </row>
    <row r="8">
      <c r="A8" s="67" t="inlineStr">
        <is>
          <t>y</t>
        </is>
      </c>
      <c r="B8" s="67" t="n">
        <v>3</v>
      </c>
      <c r="C8" s="67" t="n">
        <v>0</v>
      </c>
      <c r="D8" s="67" t="inlineStr">
        <is>
          <t>AMCAL-3 Verify CalibrationValue Double/Float present</t>
        </is>
      </c>
      <c r="E8" s="67" t="n"/>
      <c r="F8" s="67" t="n"/>
      <c r="G8" s="67" t="n"/>
      <c r="H8" s="67" t="n"/>
      <c r="I8" s="67" t="n"/>
      <c r="J8" s="67" t="inlineStr">
        <is>
          <t>OPC 40450-1 Section 7.23 (CU-61)</t>
        </is>
      </c>
      <c r="K8" s="67" t="n"/>
    </row>
    <row r="9" ht="25.8" customHeight="1" s="132">
      <c r="A9" s="61" t="n"/>
      <c r="B9" s="61" t="n"/>
      <c r="C9" s="61" t="n">
        <v>1</v>
      </c>
      <c r="D9" s="61" t="inlineStr">
        <is>
          <t>Browse Calibration Object. Read CalibrationValue Variable node.</t>
        </is>
      </c>
      <c r="E9" s="61" t="inlineStr">
        <is>
          <t>Calibration Object accessible.</t>
        </is>
      </c>
      <c r="F9" s="61" t="inlineStr">
        <is>
          <t>CalibrationValue Variable present. DataType = Double or Float. Read returns Good. Value is a valid numeric calibration factor.</t>
        </is>
      </c>
      <c r="G9" s="61" t="inlineStr">
        <is>
          <t>Good</t>
        </is>
      </c>
      <c r="H9" s="61" t="inlineStr">
        <is>
          <t>Good</t>
        </is>
      </c>
      <c r="I9" s="61" t="n"/>
      <c r="J9" s="61" t="inlineStr">
        <is>
          <t>OPC 40450-1 Section 7.23 (CU-61)</t>
        </is>
      </c>
      <c r="K9" s="61" t="n"/>
    </row>
    <row r="10">
      <c r="A10" s="67" t="inlineStr">
        <is>
          <t>y</t>
        </is>
      </c>
      <c r="B10" s="67" t="n">
        <v>4</v>
      </c>
      <c r="C10" s="67" t="n">
        <v>0</v>
      </c>
      <c r="D10" s="67" t="inlineStr">
        <is>
          <t>AMCAL-4 Verify NextCalibrationDate (if present) is in the future</t>
        </is>
      </c>
      <c r="E10" s="67" t="n"/>
      <c r="F10" s="67" t="n"/>
      <c r="G10" s="67" t="n"/>
      <c r="H10" s="67" t="n"/>
      <c r="I10" s="67" t="n"/>
      <c r="J10" s="67" t="inlineStr">
        <is>
          <t>OPC 40450-1 Section 7.23 (CU-61)</t>
        </is>
      </c>
      <c r="K10" s="67" t="n"/>
    </row>
    <row r="11" ht="25.8" customHeight="1" s="132">
      <c r="A11" s="61" t="n"/>
      <c r="B11" s="61" t="n"/>
      <c r="C11" s="61" t="n">
        <v>1</v>
      </c>
      <c r="D11" s="61" t="inlineStr">
        <is>
          <t>Browse Calibration Object. If NextCalibrationDate Variable is present, read its value and compare against current UTC time.</t>
        </is>
      </c>
      <c r="E11" s="61" t="inlineStr">
        <is>
          <t>Calibration Object accessible.</t>
        </is>
      </c>
      <c r="F11" s="61" t="inlineStr">
        <is>
          <t>If NextCalibrationDate is present: DataType = DateTime, value &gt; current UTC timestamp. If absent, no failure is recorded for this field because it is optional.</t>
        </is>
      </c>
      <c r="G11" s="61" t="inlineStr">
        <is>
          <t>Good</t>
        </is>
      </c>
      <c r="H11" s="61" t="inlineStr">
        <is>
          <t>Good</t>
        </is>
      </c>
      <c r="I11" s="61" t="n"/>
      <c r="J11" s="61" t="inlineStr">
        <is>
          <t>OPC 40450-1 Section 7.23 (CU-61)</t>
        </is>
      </c>
      <c r="K11" s="61" t="n"/>
    </row>
    <row r="12" ht="25.8" customHeight="1" s="132">
      <c r="A12" s="67" t="inlineStr">
        <is>
          <t>y</t>
        </is>
      </c>
      <c r="B12" s="67" t="n">
        <v>5</v>
      </c>
      <c r="C12" s="67" t="n">
        <v>0</v>
      </c>
      <c r="D12" s="67" t="inlineStr">
        <is>
          <t>AMCAL-5 Verify CalibrationUnit/EngineeringUnits present when CalibrationValue is populated</t>
        </is>
      </c>
      <c r="E12" s="67" t="n"/>
      <c r="F12" s="67" t="n"/>
      <c r="G12" s="67" t="n"/>
      <c r="H12" s="67" t="n"/>
      <c r="I12" s="67" t="n"/>
      <c r="J12" s="67" t="inlineStr">
        <is>
          <t>OPC 40450-1 Section 7.23 (CU-61)</t>
        </is>
      </c>
      <c r="K12" s="67" t="n"/>
    </row>
    <row r="13" ht="38.7" customHeight="1" s="132">
      <c r="A13" s="61" t="n"/>
      <c r="B13" s="61" t="n"/>
      <c r="C13" s="61" t="n">
        <v>1</v>
      </c>
      <c r="D13" s="61" t="inlineStr">
        <is>
          <t>If CalibrationValue has a non-null numeric value: browse Calibration Object for CalibrationUnit or EngineeringUnits property.</t>
        </is>
      </c>
      <c r="E13" s="61" t="inlineStr">
        <is>
          <t>CalibrationValue populated with a non-null value.</t>
        </is>
      </c>
      <c r="F13" s="61" t="inlineStr">
        <is>
          <t>CalibrationUnit (String) or EngineeringUnits (EUInformation) property is present. The unit describes the physical dimension of the calibration value (e.g., N·m, Nm/°).</t>
        </is>
      </c>
      <c r="G13" s="61" t="inlineStr">
        <is>
          <t>Good</t>
        </is>
      </c>
      <c r="H13" s="61" t="inlineStr">
        <is>
          <t>Good</t>
        </is>
      </c>
      <c r="I13" s="61" t="n"/>
      <c r="J13" s="61" t="inlineStr">
        <is>
          <t>OPC 40450-1 Section 7.23 (CU-61)</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n</t>
        </is>
      </c>
      <c r="B15" s="69" t="n">
        <v>1</v>
      </c>
      <c r="C15" s="69" t="n">
        <v>0</v>
      </c>
      <c r="D15" s="69" t="inlineStr">
        <is>
          <t>[Optional helper — profile negative check, not CU-61 conformance] AMCAL-6 Verify Calibration Object absent when CU-61 not claimed</t>
        </is>
      </c>
      <c r="E15" s="69" t="n"/>
      <c r="F15" s="69" t="n"/>
      <c r="G15" s="69" t="n"/>
      <c r="H15" s="69" t="n"/>
      <c r="I15" s="69" t="n"/>
      <c r="J15" s="69" t="inlineStr">
        <is>
          <t>OPC 40450-1 Section 7.23 (CU-61)</t>
        </is>
      </c>
      <c r="K15" s="69" t="inlineStr">
        <is>
          <t>Static negative test — browse only</t>
        </is>
      </c>
    </row>
    <row r="16" ht="25.8" customHeight="1" s="132">
      <c r="A16" s="61" t="n"/>
      <c r="B16" s="61" t="n"/>
      <c r="C16" s="61" t="n">
        <v>1</v>
      </c>
      <c r="D16" s="61" t="inlineStr">
        <is>
          <t>[Optional helper] If CU-61 not declared: browse asset instances and check for Maintenance/Calibration.</t>
        </is>
      </c>
      <c r="E16" s="61" t="inlineStr">
        <is>
          <t>Server conformance profile does not include CU-61.</t>
        </is>
      </c>
      <c r="F16" s="61" t="inlineStr">
        <is>
          <t>[Optional helper expected result] Calibration Object NOT present on any asset instance.</t>
        </is>
      </c>
      <c r="G16" s="61" t="inlineStr">
        <is>
          <t>Good</t>
        </is>
      </c>
      <c r="H16" s="61" t="n"/>
      <c r="I16" s="61" t="n"/>
      <c r="J16" s="61" t="inlineStr">
        <is>
          <t>OPC 40450-1 Section 7.23 (CU-61)</t>
        </is>
      </c>
      <c r="K16" s="61" t="n"/>
    </row>
    <row r="17">
      <c r="A17" s="110" t="inlineStr">
        <is>
          <t>n</t>
        </is>
      </c>
      <c r="B17" s="110" t="n">
        <v>2</v>
      </c>
      <c r="C17" s="110" t="n">
        <v>0</v>
      </c>
      <c r="D17" s="110" t="inlineStr">
        <is>
          <t>Verify Maintenance.Calibration.LastCalibration is UtcTime</t>
        </is>
      </c>
      <c r="E17" s="110" t="n"/>
      <c r="F17" s="110" t="n"/>
      <c r="G17" s="110" t="n"/>
      <c r="H17" s="110" t="n"/>
      <c r="I17" s="110" t="inlineStr">
        <is>
          <t>n</t>
        </is>
      </c>
      <c r="J17" s="110" t="inlineStr">
        <is>
          <t>OPC 40450-1 Section 11.1 CU-61</t>
        </is>
      </c>
      <c r="K17" s="110" t="n"/>
    </row>
    <row r="18" ht="25.8" customHeight="1" s="132">
      <c r="A18" s="111" t="n"/>
      <c r="B18" s="111" t="n"/>
      <c r="C18" s="111" t="n">
        <v>1</v>
      </c>
      <c r="D18" s="111" t="inlineStr">
        <is>
          <t>Read LastCalibration from Maintenance/Calibration.</t>
        </is>
      </c>
      <c r="E18" s="111" t="inlineStr">
        <is>
          <t>Server claims this Conformance Unit; no additional runtime setup is needed for this step.</t>
        </is>
      </c>
      <c r="F18" s="111" t="inlineStr">
        <is>
          <t>LastCalibration is non-null DateTime.</t>
        </is>
      </c>
      <c r="G18" s="111" t="inlineStr">
        <is>
          <t>Good</t>
        </is>
      </c>
      <c r="H18" s="111" t="n"/>
      <c r="I18" s="111" t="n"/>
      <c r="J18" s="111" t="inlineStr">
        <is>
          <t>OPC 40450-1 Section 11.1 CU-61</t>
        </is>
      </c>
      <c r="K18" s="111" t="inlineStr">
        <is>
          <t>Requirement source: OPC 40450-1 Section 8.18 - LastCalibration is Mandatory UtcTime.</t>
        </is>
      </c>
    </row>
    <row r="19">
      <c r="A19" s="110" t="inlineStr">
        <is>
          <t>n</t>
        </is>
      </c>
      <c r="B19" s="110" t="n">
        <v>3</v>
      </c>
      <c r="C19" s="110" t="n">
        <v>0</v>
      </c>
      <c r="D19" s="110" t="inlineStr">
        <is>
          <t>Verify SetCalibration updates LastCalibration timestamp</t>
        </is>
      </c>
      <c r="E19" s="110" t="n"/>
      <c r="F19" s="110" t="n"/>
      <c r="G19" s="110" t="n"/>
      <c r="H19" s="110" t="n"/>
      <c r="I19" s="110" t="inlineStr">
        <is>
          <t>n</t>
        </is>
      </c>
      <c r="J19" s="110" t="inlineStr">
        <is>
          <t>OPC 40450-1 Section 11.1 CU-61</t>
        </is>
      </c>
      <c r="K19" s="110" t="n"/>
    </row>
    <row r="20" ht="25.8" customHeight="1" s="132">
      <c r="A20" s="111" t="n"/>
      <c r="B20" s="111" t="n"/>
      <c r="C20" s="111" t="n">
        <v>1</v>
      </c>
      <c r="D20" s="111" t="inlineStr">
        <is>
          <t>Read LastCalibration. Call SetCalibration. Read again.</t>
        </is>
      </c>
      <c r="E20" s="111" t="inlineStr">
        <is>
          <t>Server claims this Conformance Unit; no additional runtime setup is needed for this step.</t>
        </is>
      </c>
      <c r="F20" s="111" t="inlineStr">
        <is>
          <t>LastCalibration changed after call.</t>
        </is>
      </c>
      <c r="G20" s="111" t="inlineStr">
        <is>
          <t>Good</t>
        </is>
      </c>
      <c r="H20" s="111" t="n"/>
      <c r="I20" s="111" t="n"/>
      <c r="J20" s="111" t="inlineStr">
        <is>
          <t>OPC 40450-1 Section 11.1 CU-61</t>
        </is>
      </c>
      <c r="K20" s="111" t="inlineStr">
        <is>
          <t>Requirement source: OPC 40450-1 Section 9.1 - SetCalibration must update LastCalibration.</t>
        </is>
      </c>
    </row>
    <row r="21">
      <c r="A21" s="110" t="inlineStr">
        <is>
          <t>n</t>
        </is>
      </c>
      <c r="B21" s="110" t="n">
        <v>4</v>
      </c>
      <c r="C21" s="110" t="n">
        <v>0</v>
      </c>
      <c r="D21" s="110" t="inlineStr">
        <is>
          <t>Verify CalibrationValue is finite Double when present</t>
        </is>
      </c>
      <c r="E21" s="110" t="n"/>
      <c r="F21" s="110" t="n"/>
      <c r="G21" s="110" t="n"/>
      <c r="H21" s="110" t="n"/>
      <c r="I21" s="110" t="inlineStr">
        <is>
          <t>n</t>
        </is>
      </c>
      <c r="J21" s="110" t="inlineStr">
        <is>
          <t>OPC 40450-1 Section 11.1 CU-61</t>
        </is>
      </c>
      <c r="K21" s="110" t="n"/>
    </row>
    <row r="22">
      <c r="A22" s="111" t="n"/>
      <c r="B22" s="111" t="n"/>
      <c r="C22" s="111" t="n">
        <v>1</v>
      </c>
      <c r="D22" s="111" t="inlineStr">
        <is>
          <t>Read CalibrationValue from Calibration.</t>
        </is>
      </c>
      <c r="E22" s="111" t="inlineStr">
        <is>
          <t>Server claims this Conformance Unit; no additional runtime setup is needed for this step.</t>
        </is>
      </c>
      <c r="F22" s="111" t="inlineStr">
        <is>
          <t>CalibrationValue is finite (not NaN, not Infinity).</t>
        </is>
      </c>
      <c r="G22" s="111" t="inlineStr">
        <is>
          <t>Good</t>
        </is>
      </c>
      <c r="H22" s="111" t="n"/>
      <c r="I22" s="111" t="n"/>
      <c r="J22" s="111" t="inlineStr">
        <is>
          <t>OPC 40450-1 Section 11.1 CU-61</t>
        </is>
      </c>
      <c r="K22" s="111" t="inlineStr">
        <is>
          <t>Requirement source: OPC 40450-1 Section 8.18 - CalibrationValue is Double.</t>
        </is>
      </c>
    </row>
  </sheetData>
  <mergeCells count="2">
    <mergeCell ref="A1:K1"/>
    <mergeCell ref="C2:J2"/>
  </mergeCells>
  <pageMargins left="0.7" right="0.7" top="0.75" bottom="0.75" header="0.3" footer="0.3"/>
</worksheet>
</file>

<file path=xl/worksheets/sheet68.xml><?xml version="1.0" encoding="utf-8"?>
<worksheet xmlns="http://schemas.openxmlformats.org/spreadsheetml/2006/main">
  <sheetPr codeName="Sheet65">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CU-62: AM IJoiningAdditionalInformation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CU-62 — AM IJoiningAdditionalInformation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AMAI-1 Verify all asset instances implement IJoiningAdditionalInformationType</t>
        </is>
      </c>
      <c r="E4" s="58" t="n"/>
      <c r="F4" s="58" t="n"/>
      <c r="G4" s="58" t="n"/>
      <c r="H4" s="58" t="n"/>
      <c r="I4" s="58" t="n"/>
      <c r="J4" s="58" t="inlineStr">
        <is>
          <t>OPC 40450-1 Section 7.3 (CU-62)</t>
        </is>
      </c>
      <c r="K4" s="59" t="inlineStr">
        <is>
          <t>NOTE: Namespace indices (0:,2:,4:,5:) are server-assigned. Resolve from NamespaceArray (ns=0;i=2255). 2:=DI, 4:=Machinery, 5:=IJT (OPC 40450-1).</t>
        </is>
      </c>
      <c r="L4" s="27" t="n"/>
      <c r="M4" s="28" t="n"/>
      <c r="N4" s="28" t="n"/>
    </row>
    <row r="5" ht="39" customHeight="1" s="132">
      <c r="A5" s="87" t="n"/>
      <c r="B5" s="88" t="n"/>
      <c r="C5" s="89" t="n">
        <v>1</v>
      </c>
      <c r="D5" s="89" t="inlineStr">
        <is>
          <t>Enumerate ALL asset instances across all asset-type folders (Controllers, Tools, Servos, …). For each instance verify its TypeDefinition implements IJoiningAdditionalInformationType.</t>
        </is>
      </c>
      <c r="E5" s="89" t="inlineStr">
        <is>
          <t>CU-62 declared. All asset type folders browsable.</t>
        </is>
      </c>
      <c r="F5" s="89" t="inlineStr">
        <is>
          <t>Every exposed asset instance implements IJoiningAdditionalInformationType directly or via supertype. TypeDefinition hierarchy includes IJoiningAdditionalInformationType for each instance.</t>
        </is>
      </c>
      <c r="G5" s="89" t="inlineStr">
        <is>
          <t>Good</t>
        </is>
      </c>
      <c r="H5" s="89" t="inlineStr">
        <is>
          <t>Good</t>
        </is>
      </c>
      <c r="I5" s="89" t="n"/>
      <c r="J5" s="89" t="inlineStr">
        <is>
          <t>OPC 40450-1 Section 7.3 (CU-62)</t>
        </is>
      </c>
      <c r="K5" s="90" t="n"/>
      <c r="L5" s="27" t="n"/>
      <c r="M5" s="28" t="n"/>
      <c r="N5" s="28" t="n"/>
    </row>
    <row r="6" ht="39" customHeight="1" s="132">
      <c r="A6" s="56" t="inlineStr">
        <is>
          <t>y</t>
        </is>
      </c>
      <c r="B6" s="57" t="n">
        <v>2</v>
      </c>
      <c r="C6" s="58" t="n">
        <v>0</v>
      </c>
      <c r="D6" s="58" t="inlineStr">
        <is>
          <t>AMAI-2 Verify JoiningTechnology property present on each asset</t>
        </is>
      </c>
      <c r="E6" s="58" t="n"/>
      <c r="F6" s="58" t="n"/>
      <c r="G6" s="58" t="n"/>
      <c r="H6" s="58" t="n"/>
      <c r="I6" s="58" t="n"/>
      <c r="J6" s="58" t="inlineStr">
        <is>
          <t>OPC 40450-1 Section 7.3 (CU-62)</t>
        </is>
      </c>
      <c r="K6" s="74" t="n"/>
      <c r="L6" s="27" t="n"/>
      <c r="M6" s="28" t="n"/>
      <c r="N6" s="28" t="n"/>
    </row>
    <row r="7" ht="51.9" customHeight="1" s="132">
      <c r="A7" s="87" t="n"/>
      <c r="B7" s="88" t="n"/>
      <c r="C7" s="89" t="n">
        <v>1</v>
      </c>
      <c r="D7" s="89" t="inlineStr">
        <is>
          <t>Browse each asset instance. Read JoiningTechnology Variable node value.</t>
        </is>
      </c>
      <c r="E7" s="89" t="inlineStr">
        <is>
          <t>All asset instances accessible.</t>
        </is>
      </c>
      <c r="F7" s="89" t="inlineStr">
        <is>
          <t>JoiningTechnology property present on every asset where CU-62 is claimed. DataType = LocalizedText. Read returns Good. Do not apply non-zero, numeric, or enum semantics.</t>
        </is>
      </c>
      <c r="G7" s="89" t="inlineStr">
        <is>
          <t>Good</t>
        </is>
      </c>
      <c r="H7" s="89" t="inlineStr">
        <is>
          <t>Good</t>
        </is>
      </c>
      <c r="I7" s="89" t="n"/>
      <c r="J7" s="89" t="inlineStr">
        <is>
          <t>OPC 40450-1 Section 7.3 (CU-62)</t>
        </is>
      </c>
      <c r="K7" s="90" t="n"/>
      <c r="L7" s="27" t="n"/>
      <c r="M7" s="28" t="n"/>
      <c r="N7" s="28" t="n"/>
    </row>
    <row r="8" ht="39" customHeight="1" s="132">
      <c r="A8" s="56" t="inlineStr">
        <is>
          <t>y</t>
        </is>
      </c>
      <c r="B8" s="57" t="n">
        <v>3</v>
      </c>
      <c r="C8" s="58" t="n">
        <v>0</v>
      </c>
      <c r="D8" s="58" t="inlineStr">
        <is>
          <t>AMAI-3 Verify IsConnected Boolean property present on each asset</t>
        </is>
      </c>
      <c r="E8" s="58" t="n"/>
      <c r="F8" s="58" t="n"/>
      <c r="G8" s="58" t="n"/>
      <c r="H8" s="58" t="n"/>
      <c r="I8" s="58" t="n"/>
      <c r="J8" s="58" t="inlineStr">
        <is>
          <t>OPC 40450-1 Section 7.3 (CU-62)</t>
        </is>
      </c>
      <c r="K8" s="74" t="n"/>
      <c r="L8" s="27" t="n"/>
      <c r="M8" s="28" t="n"/>
      <c r="N8" s="28" t="n"/>
    </row>
    <row r="9" ht="25.8" customHeight="1" s="132">
      <c r="A9" s="87" t="n"/>
      <c r="B9" s="88" t="n"/>
      <c r="C9" s="89" t="n">
        <v>1</v>
      </c>
      <c r="D9" s="89" t="inlineStr">
        <is>
          <t>Browse each asset instance. Read IsConnected Variable node.</t>
        </is>
      </c>
      <c r="E9" s="89" t="inlineStr">
        <is>
          <t>All asset instances accessible.</t>
        </is>
      </c>
      <c r="F9" s="89" t="inlineStr">
        <is>
          <t>IsConnected Variable present on every asset. DataType = Boolean. Read returns Good. Value is True or False (not null).</t>
        </is>
      </c>
      <c r="G9" s="89" t="inlineStr">
        <is>
          <t>Good</t>
        </is>
      </c>
      <c r="H9" s="89" t="inlineStr">
        <is>
          <t>Good</t>
        </is>
      </c>
      <c r="I9" s="89" t="n"/>
      <c r="J9" s="89" t="inlineStr">
        <is>
          <t>OPC 40450-1 Section 7.3 (CU-62)</t>
        </is>
      </c>
      <c r="K9" s="90" t="n"/>
      <c r="L9" s="27" t="n"/>
      <c r="M9" s="28" t="n"/>
      <c r="N9" s="28" t="n"/>
    </row>
    <row r="10">
      <c r="A10" s="56" t="inlineStr">
        <is>
          <t>y</t>
        </is>
      </c>
      <c r="B10" s="57" t="n">
        <v>4</v>
      </c>
      <c r="C10" s="58" t="n">
        <v>0</v>
      </c>
      <c r="D10" s="58" t="inlineStr">
        <is>
          <t>AMAI-4 Verify IsEnabled Boolean property present on each asset</t>
        </is>
      </c>
      <c r="E10" s="58" t="n"/>
      <c r="F10" s="58" t="n"/>
      <c r="G10" s="58" t="n"/>
      <c r="H10" s="58" t="n"/>
      <c r="I10" s="58" t="n"/>
      <c r="J10" s="58" t="inlineStr">
        <is>
          <t>OPC 40450-1 Section 7.3 (CU-62)</t>
        </is>
      </c>
      <c r="K10" s="74" t="n"/>
      <c r="L10" s="27" t="n"/>
      <c r="M10" s="28" t="n"/>
      <c r="N10" s="28" t="n"/>
    </row>
    <row r="11" ht="25.8" customHeight="1" s="132">
      <c r="A11" s="87" t="n"/>
      <c r="B11" s="88" t="n"/>
      <c r="C11" s="89" t="n">
        <v>1</v>
      </c>
      <c r="D11" s="89" t="inlineStr">
        <is>
          <t>Browse each asset instance. Read IsEnabled Variable node.</t>
        </is>
      </c>
      <c r="E11" s="89" t="inlineStr">
        <is>
          <t>All asset instances accessible.</t>
        </is>
      </c>
      <c r="F11" s="89" t="inlineStr">
        <is>
          <t>IsEnabled Variable present on every asset. DataType = Boolean. Read returns Good. Value is True or False.</t>
        </is>
      </c>
      <c r="G11" s="89" t="inlineStr">
        <is>
          <t>Good</t>
        </is>
      </c>
      <c r="H11" s="89" t="inlineStr">
        <is>
          <t>Good</t>
        </is>
      </c>
      <c r="I11" s="89" t="n"/>
      <c r="J11" s="89" t="inlineStr">
        <is>
          <t>OPC 40450-1 Section 7.3 (CU-62)</t>
        </is>
      </c>
      <c r="K11" s="90" t="n"/>
    </row>
    <row r="12" ht="25.8" customFormat="1" customHeight="1" s="138">
      <c r="A12" s="56" t="inlineStr">
        <is>
          <t>n</t>
        </is>
      </c>
      <c r="B12" s="67" t="n">
        <v>5</v>
      </c>
      <c r="C12" s="67" t="n">
        <v>0</v>
      </c>
      <c r="D12" s="67" t="inlineStr">
        <is>
          <t>[Optional helper — non-zero semantics removed: JoiningTechnology is LocalizedText, not enum] JoiningTechnology value observation on Tool/Controller</t>
        </is>
      </c>
      <c r="E12" s="67" t="n"/>
      <c r="F12" s="67" t="n"/>
      <c r="G12" s="67" t="n"/>
      <c r="H12" s="67" t="n"/>
      <c r="I12" s="67" t="n"/>
      <c r="J12" s="67" t="inlineStr">
        <is>
          <t>OPC 40450-1 Section 7.3 (CU-62)</t>
        </is>
      </c>
      <c r="K12" s="74" t="n"/>
    </row>
    <row r="13" ht="51.6" customHeight="1" s="132">
      <c r="A13" s="63" t="n"/>
      <c r="B13" s="64" t="n"/>
      <c r="C13" s="65" t="n">
        <v>1</v>
      </c>
      <c r="D13" s="65" t="inlineStr">
        <is>
          <t>[Optional helper] Read JoiningTechnology from Tool and Controller instances.</t>
        </is>
      </c>
      <c r="E13" s="65" t="inlineStr">
        <is>
          <t>Tool and Controller instances accessible.</t>
        </is>
      </c>
      <c r="F13" s="65" t="inlineStr">
        <is>
          <t>[Optional helper expected result] JoiningTechnology present (per CU-62); DataType = LocalizedText. If Text is non-empty, it is a human-readable label. Do not require non-zero numeric semantics.</t>
        </is>
      </c>
      <c r="G13" s="65" t="inlineStr">
        <is>
          <t>Good</t>
        </is>
      </c>
      <c r="H13" s="65" t="inlineStr">
        <is>
          <t>Good</t>
        </is>
      </c>
      <c r="I13" s="65" t="n"/>
      <c r="J13" s="65" t="inlineStr">
        <is>
          <t>OPC 40450-1 Section 7.3 (CU-62)</t>
        </is>
      </c>
      <c r="K13" s="66"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[Optional helper — enum semantics inapplicable: JoiningTechnology is LocalizedText, not enum] Wrong-DataType write test</t>
        </is>
      </c>
      <c r="E15" s="69" t="n"/>
      <c r="F15" s="69" t="n"/>
      <c r="G15" s="69" t="n"/>
      <c r="H15" s="69" t="n"/>
      <c r="I15" s="69" t="n"/>
      <c r="J15" s="69" t="inlineStr">
        <is>
          <t>OPC 40450-1 Section 7.3 (CU-62)</t>
        </is>
      </c>
      <c r="K15" s="69" t="inlineStr">
        <is>
          <t>Static negative test — inspect server response to out-of-range enum</t>
        </is>
      </c>
    </row>
    <row r="16" ht="51.6" customHeight="1" s="132">
      <c r="A16" s="61" t="n"/>
      <c r="B16" s="61" t="n"/>
      <c r="C16" s="61" t="n">
        <v>1</v>
      </c>
      <c r="D16" s="61" t="inlineStr">
        <is>
          <t>[Optional helper] Attempt to Write a value with incorrect DataType (e.g., Int32 integer) to the JoiningTechnology property.</t>
        </is>
      </c>
      <c r="E16" s="61" t="inlineStr">
        <is>
          <t>Asset instance with JoiningTechnology writable (or use a test node). If Write is rejected, test server behaviour on out-of-range Read via other means.</t>
        </is>
      </c>
      <c r="F16" s="61" t="inlineStr">
        <is>
          <t>[Optional helper expected result] Write returns Bad_TypeMismatch or server rejects with Bad_NotWritable / Bad_UserAccessDenied. JoiningTechnology is LocalizedText; integer out-of-range semantics do not apply.</t>
        </is>
      </c>
      <c r="G16" s="61" t="inlineStr">
        <is>
          <t>Good</t>
        </is>
      </c>
      <c r="H16" s="61" t="inlineStr">
        <is>
          <t>Bad_TypeMismatch / Bad_NotWritable / Bad_UserAccessDenied</t>
        </is>
      </c>
      <c r="I16" s="61" t="n"/>
      <c r="J16" s="61" t="inlineStr">
        <is>
          <t>OPC 40450-1 Section 7.3 (CU-62)</t>
        </is>
      </c>
      <c r="K16" s="61" t="n"/>
    </row>
    <row r="17">
      <c r="A17" s="110" t="inlineStr">
        <is>
          <t>n</t>
        </is>
      </c>
      <c r="B17" s="110" t="n">
        <v>2</v>
      </c>
      <c r="C17" s="110" t="n">
        <v>0</v>
      </c>
      <c r="D17" s="110" t="inlineStr">
        <is>
          <t>Verify Identification implements IJoiningAdditionalInformationType</t>
        </is>
      </c>
      <c r="E17" s="110" t="n"/>
      <c r="F17" s="110" t="n"/>
      <c r="G17" s="110" t="n"/>
      <c r="H17" s="110" t="n"/>
      <c r="I17" s="110" t="inlineStr">
        <is>
          <t>n</t>
        </is>
      </c>
      <c r="J17" s="110" t="inlineStr">
        <is>
          <t>OPC 40450-1 Section 11.1 CU-62</t>
        </is>
      </c>
      <c r="K17" s="110" t="n"/>
    </row>
    <row r="18" ht="25.8" customHeight="1" s="132">
      <c r="A18" s="111" t="n"/>
      <c r="B18" s="111" t="n"/>
      <c r="C18" s="111" t="n">
        <v>1</v>
      </c>
      <c r="D18" s="111" t="inlineStr">
        <is>
          <t>Browse Identification for HasInterface reference.</t>
        </is>
      </c>
      <c r="E18" s="111" t="inlineStr">
        <is>
          <t>Server claims this Conformance Unit; no additional runtime setup is needed for this step.</t>
        </is>
      </c>
      <c r="F18" s="111" t="inlineStr">
        <is>
          <t>HasInterface reference found.</t>
        </is>
      </c>
      <c r="G18" s="111" t="inlineStr">
        <is>
          <t>Good</t>
        </is>
      </c>
      <c r="H18" s="111" t="n"/>
      <c r="I18" s="111" t="n"/>
      <c r="J18" s="111" t="inlineStr">
        <is>
          <t>OPC 40450-1 Section 11.1 CU-62</t>
        </is>
      </c>
      <c r="K18" s="111" t="inlineStr">
        <is>
          <t>Requirement source: OPC 40450-1 Section 8.19 - Additional information via interface.</t>
        </is>
      </c>
    </row>
    <row r="19">
      <c r="A19" s="110" t="inlineStr">
        <is>
          <t>n</t>
        </is>
      </c>
      <c r="B19" s="110" t="n">
        <v>3</v>
      </c>
      <c r="C19" s="110" t="n">
        <v>0</v>
      </c>
      <c r="D19" s="110" t="inlineStr">
        <is>
          <t>Verify Identification.JoiningTechnology is LocalizedText</t>
        </is>
      </c>
      <c r="E19" s="110" t="n"/>
      <c r="F19" s="110" t="n"/>
      <c r="G19" s="110" t="n"/>
      <c r="H19" s="110" t="n"/>
      <c r="I19" s="110" t="inlineStr">
        <is>
          <t>n</t>
        </is>
      </c>
      <c r="J19" s="110" t="inlineStr">
        <is>
          <t>OPC 40450-1 Section 11.1 CU-62</t>
        </is>
      </c>
      <c r="K19" s="110" t="n"/>
    </row>
    <row r="20" ht="25.8" customHeight="1" s="132">
      <c r="A20" s="111" t="n"/>
      <c r="B20" s="111" t="n"/>
      <c r="C20" s="111" t="n">
        <v>1</v>
      </c>
      <c r="D20" s="111" t="inlineStr">
        <is>
          <t>Read DataType of JoiningTechnology property.</t>
        </is>
      </c>
      <c r="E20" s="111" t="inlineStr">
        <is>
          <t>Server claims this Conformance Unit; no additional runtime setup is needed for this step.</t>
        </is>
      </c>
      <c r="F20" s="111" t="inlineStr">
        <is>
          <t>DataType is LocalizedText (i=21).</t>
        </is>
      </c>
      <c r="G20" s="111" t="inlineStr">
        <is>
          <t>Good</t>
        </is>
      </c>
      <c r="H20" s="111" t="n"/>
      <c r="I20" s="111" t="n"/>
      <c r="J20" s="111" t="inlineStr">
        <is>
          <t>OPC 40450-1 Section 11.1 CU-62</t>
        </is>
      </c>
      <c r="K20" s="111" t="inlineStr">
        <is>
          <t>Requirement source: OPC 40450-1 Section 8.19 - JoiningTechnology is 0:LocalizedText.</t>
        </is>
      </c>
    </row>
    <row r="21">
      <c r="A21" s="110" t="inlineStr">
        <is>
          <t>n</t>
        </is>
      </c>
      <c r="B21" s="110" t="n">
        <v>4</v>
      </c>
      <c r="C21" s="110" t="n">
        <v>0</v>
      </c>
      <c r="D21" s="110" t="inlineStr">
        <is>
          <t>Verify Identification.Description is LocalizedText</t>
        </is>
      </c>
      <c r="E21" s="110" t="n"/>
      <c r="F21" s="110" t="n"/>
      <c r="G21" s="110" t="n"/>
      <c r="H21" s="110" t="n"/>
      <c r="I21" s="110" t="inlineStr">
        <is>
          <t>n</t>
        </is>
      </c>
      <c r="J21" s="110" t="inlineStr">
        <is>
          <t>OPC 40450-1 Section 11.1 CU-62</t>
        </is>
      </c>
      <c r="K21" s="110" t="n"/>
    </row>
    <row r="22">
      <c r="A22" s="111" t="n"/>
      <c r="B22" s="111" t="n"/>
      <c r="C22" s="111" t="n">
        <v>1</v>
      </c>
      <c r="D22" s="111" t="inlineStr">
        <is>
          <t>Read DataType of Description property.</t>
        </is>
      </c>
      <c r="E22" s="111" t="inlineStr">
        <is>
          <t>Server claims this Conformance Unit; no additional runtime setup is needed for this step.</t>
        </is>
      </c>
      <c r="F22" s="111" t="inlineStr">
        <is>
          <t>DataType is LocalizedText (i=21).</t>
        </is>
      </c>
      <c r="G22" s="111" t="inlineStr">
        <is>
          <t>Good</t>
        </is>
      </c>
      <c r="H22" s="111" t="n"/>
      <c r="I22" s="111" t="n"/>
      <c r="J22" s="111" t="inlineStr">
        <is>
          <t>OPC 40450-1 Section 11.1 CU-62</t>
        </is>
      </c>
      <c r="K22" s="111" t="inlineStr">
        <is>
          <t>Requirement source: OPC 40450-1 Section 8.19 - Description is 0:LocalizedText.</t>
        </is>
      </c>
    </row>
  </sheetData>
  <mergeCells count="2">
    <mergeCell ref="A1:K1"/>
    <mergeCell ref="C2:J2"/>
  </mergeCells>
  <pageMargins left="0.7" right="0.7" top="0.75" bottom="0.75" header="0.3" footer="0.3"/>
</worksheet>
</file>

<file path=xl/worksheets/sheet69.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CU-63: IJT Asset Management Machinery Building Blocks</t>
        </is>
      </c>
    </row>
    <row r="2" ht="20.05" customHeight="1" s="132">
      <c r="A2" s="75">
        <f>HYPERLINK("#'Home'!A1","⌂ Home")</f>
        <v/>
      </c>
      <c r="C2" s="150" t="inlineStr">
        <is>
          <t>CU-63 — IJT Asset Management Machinery Building Blocks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at least one asset instance exposes MachineryBuildingBlocks folder</t>
        </is>
      </c>
      <c r="E4" s="67" t="n"/>
      <c r="F4" s="67" t="n"/>
      <c r="G4" s="67" t="n"/>
      <c r="H4" s="67" t="n"/>
      <c r="I4" s="67" t="inlineStr">
        <is>
          <t>n</t>
        </is>
      </c>
      <c r="J4" s="67" t="inlineStr">
        <is>
          <t>OPC 40450-1 Section 11 (CU-63) / OPC 40001-1</t>
        </is>
      </c>
      <c r="K4" s="77" t="inlineStr">
        <is>
          <t>NOTE: Namespace indices are server-assigned. Resolve from NamespaceArray (ns=0;i=2255). 2:=DI, 4:=Machinery, 5:=Machinery Result (OPC 40001-101).</t>
        </is>
      </c>
    </row>
    <row r="5" ht="51.6" customHeight="1" s="132">
      <c r="A5" s="61" t="n"/>
      <c r="B5" s="61" t="n"/>
      <c r="C5" s="61" t="n">
        <v>1</v>
      </c>
      <c r="D5" s="61" t="inlineStr">
        <is>
          <t>Browse the AssetManagement/Assets subtree. For at least one asset (Controller, Tool, Servo, etc.) check for the MachineryBuildingBlocks folder.</t>
        </is>
      </c>
      <c r="E5" s="61" t="inlineStr">
        <is>
          <t>JoiningSystem with AssetManagement and at least one asset instance.</t>
        </is>
      </c>
      <c r="F5" s="61" t="inlineStr">
        <is>
          <t>At least one asset instance contains a node named MachineryBuildingBlocks. NodeClass = Object. TypeDefinition = 4:MachineryBuildingBlocksType (OPC 40001-1). BrowseName = 4:MachineryBuildingBlocks.</t>
        </is>
      </c>
      <c r="G5" s="61" t="inlineStr">
        <is>
          <t>Good</t>
        </is>
      </c>
      <c r="H5" s="61" t="inlineStr">
        <is>
          <t>Good</t>
        </is>
      </c>
      <c r="I5" s="61" t="n"/>
      <c r="J5" s="61" t="inlineStr">
        <is>
          <t>OPC 40450-1 Section 11 (CU-63) / OPC 40001-1 Table 1</t>
        </is>
      </c>
      <c r="K5" s="61" t="n"/>
    </row>
    <row r="6" ht="25.8" customHeight="1" s="132">
      <c r="A6" s="67" t="inlineStr">
        <is>
          <t>y</t>
        </is>
      </c>
      <c r="B6" s="67" t="n">
        <v>2</v>
      </c>
      <c r="C6" s="67" t="n">
        <v>0</v>
      </c>
      <c r="D6" s="67" t="inlineStr">
        <is>
          <t>Verify MachineryBuildingBlocks/Identification type is MachineIdentificationType or MachineryComponentIdentificationType</t>
        </is>
      </c>
      <c r="E6" s="67" t="n"/>
      <c r="F6" s="67" t="n"/>
      <c r="G6" s="67" t="n"/>
      <c r="H6" s="67" t="n"/>
      <c r="I6" s="67" t="inlineStr">
        <is>
          <t>n</t>
        </is>
      </c>
      <c r="J6" s="67" t="inlineStr">
        <is>
          <t>OPC 40450-1 Section 11 (CU-63) / OPC 40001-1</t>
        </is>
      </c>
      <c r="K6" s="67" t="n"/>
    </row>
    <row r="7" ht="77.40000000000001" customHeight="1" s="132">
      <c r="A7" s="61" t="n"/>
      <c r="B7" s="61" t="n"/>
      <c r="C7" s="61" t="n">
        <v>1</v>
      </c>
      <c r="D7" s="61" t="inlineStr">
        <is>
          <t>Browse MachineryBuildingBlocks on a Controller or Tool asset. Navigate to MachineryBuildingBlocks/Identification.</t>
        </is>
      </c>
      <c r="E7" s="61" t="inlineStr">
        <is>
          <t>An asset with MachineryBuildingBlocks found in TC#1.</t>
        </is>
      </c>
      <c r="F7" s="61" t="inlineStr">
        <is>
          <t>Identification AddIn is present. TypeDefinition = 2:MachineIdentificationType for Controller/Tool, or 4:MachineryComponentIdentificationType for Servo/Cable/Sensor. Mandatory properties present: ProductInstanceUri (String), Manufacturer (LocalizedText), ManufacturerUri (String).</t>
        </is>
      </c>
      <c r="G7" s="61" t="inlineStr">
        <is>
          <t>Good</t>
        </is>
      </c>
      <c r="H7" s="61" t="inlineStr">
        <is>
          <t>Good</t>
        </is>
      </c>
      <c r="I7" s="61" t="n"/>
      <c r="J7" s="61" t="inlineStr">
        <is>
          <t>OPC 40001-1 Section 4 / OPC 40450-1 Section 11 (CU-63)</t>
        </is>
      </c>
      <c r="K7" s="61" t="n"/>
    </row>
    <row r="8" ht="25.8" customHeight="1" s="132">
      <c r="A8" s="67" t="inlineStr">
        <is>
          <t>y</t>
        </is>
      </c>
      <c r="B8" s="67" t="n">
        <v>3</v>
      </c>
      <c r="C8" s="67" t="n">
        <v>0</v>
      </c>
      <c r="D8" s="67" t="inlineStr">
        <is>
          <t>Verify MachineryBuildingBlocks optional sub-folders when implemented</t>
        </is>
      </c>
      <c r="E8" s="67" t="n"/>
      <c r="F8" s="67" t="n"/>
      <c r="G8" s="67" t="n"/>
      <c r="H8" s="67" t="n"/>
      <c r="I8" s="67" t="inlineStr">
        <is>
          <t>n</t>
        </is>
      </c>
      <c r="J8" s="67" t="inlineStr">
        <is>
          <t>OPC 40450-1 Section 11 (CU-63) / OPC 40001-1</t>
        </is>
      </c>
      <c r="K8" s="67" t="n"/>
    </row>
    <row r="9" ht="51.6" customHeight="1" s="132">
      <c r="A9" s="61" t="n"/>
      <c r="B9" s="61" t="n"/>
      <c r="C9" s="61" t="n">
        <v>1</v>
      </c>
      <c r="D9" s="61" t="inlineStr">
        <is>
          <t>Browse MachineryBuildingBlocks on each asset. Check for optional sub-nodes: MachineryLifetime, MachineryOperationMode, etc.</t>
        </is>
      </c>
      <c r="E9" s="61" t="inlineStr">
        <is>
          <t>Assets with MachineryBuildingBlocks implemented.</t>
        </is>
      </c>
      <c r="F9" s="61" t="inlineStr">
        <is>
          <t>When present: MachineryLifetime is of type 4:MachineryLifetimeType. NodeClass = Object. All mandatory properties within those types are present. Absence of optional sub-nodes is not a failure.</t>
        </is>
      </c>
      <c r="G9" s="61" t="inlineStr">
        <is>
          <t>Good</t>
        </is>
      </c>
      <c r="H9" s="61" t="inlineStr">
        <is>
          <t>Good</t>
        </is>
      </c>
      <c r="I9" s="61" t="n"/>
      <c r="J9" s="61" t="inlineStr">
        <is>
          <t>OPC 40001-1 / OPC 40450-1 Section 11 (CU-63)</t>
        </is>
      </c>
      <c r="K9" s="61" t="n"/>
    </row>
    <row r="10" ht="25.8" customHeight="1" s="132">
      <c r="A10" s="67" t="inlineStr">
        <is>
          <t>y</t>
        </is>
      </c>
      <c r="B10" s="67" t="n">
        <v>4</v>
      </c>
      <c r="C10" s="67" t="n">
        <v>0</v>
      </c>
      <c r="D10" s="67" t="inlineStr">
        <is>
          <t>Verify all asset instances implement MachineryBuildingBlocks when CU-63 is claimed</t>
        </is>
      </c>
      <c r="E10" s="67" t="n"/>
      <c r="F10" s="67" t="n"/>
      <c r="G10" s="67" t="n"/>
      <c r="H10" s="67" t="n"/>
      <c r="I10" s="67" t="inlineStr">
        <is>
          <t>n</t>
        </is>
      </c>
      <c r="J10" s="67" t="inlineStr">
        <is>
          <t>OPC 40450-1 Section 11 (CU-63) / OPC 40001-1</t>
        </is>
      </c>
      <c r="K10" s="67" t="n"/>
    </row>
    <row r="11" ht="51.6" customHeight="1" s="132">
      <c r="A11" s="61" t="n"/>
      <c r="B11" s="61" t="n"/>
      <c r="C11" s="61" t="n">
        <v>1</v>
      </c>
      <c r="D11" s="61" t="inlineStr">
        <is>
          <t>Enumerate all assets under AssetManagement/Assets. For each asset, check MachineryBuildingBlocks presence.</t>
        </is>
      </c>
      <c r="E11" s="61" t="inlineStr">
        <is>
          <t>Server claiming CU-63 conformance. All asset instances accessible.</t>
        </is>
      </c>
      <c r="F11" s="61" t="inlineStr">
        <is>
          <t>Per CU-63 spec: "supports ALL the asset instances which include optional MachineryBuildingBlocks." All asset instances (Controller, Tool, Servo, Cable, etc.) have MachineryBuildingBlocks. If any asset lacks it, CU-63 conformance is only partial.</t>
        </is>
      </c>
      <c r="G11" s="61" t="inlineStr">
        <is>
          <t>Good</t>
        </is>
      </c>
      <c r="H11" s="61" t="inlineStr">
        <is>
          <t>Good</t>
        </is>
      </c>
      <c r="I11" s="61" t="n"/>
      <c r="J11" s="61" t="inlineStr">
        <is>
          <t>OPC 40450-1 Section 11 (CU-63)</t>
        </is>
      </c>
      <c r="K11" s="61" t="inlineStr">
        <is>
          <t>CU-63 applies to ALL assets, not just one</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asset node without MachineryBuildingBlocks does not crash when browsed</t>
        </is>
      </c>
      <c r="E13" s="69" t="n"/>
      <c r="F13" s="69" t="n"/>
      <c r="G13" s="69" t="n"/>
      <c r="H13" s="69" t="n"/>
      <c r="I13" s="69" t="inlineStr">
        <is>
          <t>n</t>
        </is>
      </c>
      <c r="J13" s="69" t="inlineStr">
        <is>
          <t>OPC 40450-1 Section 11 (CU-63) / OPC 40001-1</t>
        </is>
      </c>
      <c r="K13" s="69" t="n"/>
    </row>
    <row r="14" ht="38.7" customHeight="1" s="132">
      <c r="A14" s="61" t="n"/>
      <c r="B14" s="61" t="n"/>
      <c r="C14" s="61" t="n">
        <v>1</v>
      </c>
      <c r="D14" s="61" t="inlineStr">
        <is>
          <t>Browse an asset instance that does NOT implement MachineryBuildingBlocks. Attempt to read a non-existent MachineryBuildingBlocks child.</t>
        </is>
      </c>
      <c r="E14" s="61" t="inlineStr">
        <is>
          <t>An asset without MachineryBuildingBlocks (or a CU-03/CU-04 server that does not claim CU-63).</t>
        </is>
      </c>
      <c r="F14" s="61" t="inlineStr">
        <is>
          <t>Browse returns no MachineryBuildingBlocks node — Good. No Bad_NodeIdUnknown or service fault. Server handles absent optional node gracefully.</t>
        </is>
      </c>
      <c r="G14" s="61" t="inlineStr">
        <is>
          <t>Good</t>
        </is>
      </c>
      <c r="H14" s="61" t="inlineStr">
        <is>
          <t>Good</t>
        </is>
      </c>
      <c r="I14" s="61" t="n"/>
      <c r="J14" s="61" t="inlineStr">
        <is>
          <t>OPC 10000-4 Section 5.8.2 / OPC 40001-1</t>
        </is>
      </c>
      <c r="K14" s="61" t="n"/>
    </row>
    <row r="15">
      <c r="A15" s="110" t="inlineStr">
        <is>
          <t>n</t>
        </is>
      </c>
      <c r="B15" s="110" t="n">
        <v>2</v>
      </c>
      <c r="C15" s="110" t="n">
        <v>0</v>
      </c>
      <c r="D15" s="110" t="inlineStr">
        <is>
          <t>Verify MachineryBuildingBlocks is FolderType</t>
        </is>
      </c>
      <c r="E15" s="110" t="n"/>
      <c r="F15" s="110" t="n"/>
      <c r="G15" s="110" t="n"/>
      <c r="H15" s="110" t="n"/>
      <c r="I15" s="110" t="inlineStr">
        <is>
          <t>n</t>
        </is>
      </c>
      <c r="J15" s="110" t="inlineStr">
        <is>
          <t>OPC 40450-1 Section 11.1 CU-63</t>
        </is>
      </c>
      <c r="K15" s="110" t="n"/>
    </row>
    <row r="16">
      <c r="A16" s="111" t="n"/>
      <c r="B16" s="111" t="n"/>
      <c r="C16" s="111" t="n">
        <v>1</v>
      </c>
      <c r="D16" s="111" t="inlineStr">
        <is>
          <t>Read TypeDefinitionId of MachineryBuildingBlocks node.</t>
        </is>
      </c>
      <c r="E16" s="111" t="inlineStr">
        <is>
          <t>Server claims this Conformance Unit; no additional runtime setup is needed for this step.</t>
        </is>
      </c>
      <c r="F16" s="111" t="inlineStr">
        <is>
          <t>TypeDefinitionId is FolderType (i=61).</t>
        </is>
      </c>
      <c r="G16" s="111" t="inlineStr">
        <is>
          <t>Good</t>
        </is>
      </c>
      <c r="H16" s="111" t="n"/>
      <c r="I16" s="111" t="n"/>
      <c r="J16" s="111" t="inlineStr">
        <is>
          <t>OPC 40450-1 Section 11.1 CU-63</t>
        </is>
      </c>
      <c r="K16" s="111" t="inlineStr">
        <is>
          <t>Requirement source: OPC 40450-1 Section 8.20 - FolderType.</t>
        </is>
      </c>
    </row>
    <row r="17">
      <c r="A17" s="110" t="inlineStr">
        <is>
          <t>n</t>
        </is>
      </c>
      <c r="B17" s="110" t="n">
        <v>3</v>
      </c>
      <c r="C17" s="110" t="n">
        <v>0</v>
      </c>
      <c r="D17" s="110" t="inlineStr">
        <is>
          <t>Verify MBB children conform to Machinery spec organization</t>
        </is>
      </c>
      <c r="E17" s="110" t="n"/>
      <c r="F17" s="110" t="n"/>
      <c r="G17" s="110" t="n"/>
      <c r="H17" s="110" t="n"/>
      <c r="I17" s="110" t="inlineStr">
        <is>
          <t>n</t>
        </is>
      </c>
      <c r="J17" s="110" t="inlineStr">
        <is>
          <t>OPC 40450-1 Section 11.1 CU-63</t>
        </is>
      </c>
      <c r="K17" s="110" t="n"/>
    </row>
    <row r="18">
      <c r="A18" s="111" t="n"/>
      <c r="B18" s="111" t="n"/>
      <c r="C18" s="111" t="n">
        <v>1</v>
      </c>
      <c r="D18" s="111" t="inlineStr">
        <is>
          <t>Browse children of MachineryBuildingBlocks. Verify standard nodes.</t>
        </is>
      </c>
      <c r="E18" s="111" t="inlineStr">
        <is>
          <t>Server claims this Conformance Unit; no additional runtime setup is needed for this step.</t>
        </is>
      </c>
      <c r="F18" s="111" t="inlineStr">
        <is>
          <t>Children match expected Machinery spec building blocks.</t>
        </is>
      </c>
      <c r="G18" s="111" t="inlineStr">
        <is>
          <t>Good</t>
        </is>
      </c>
      <c r="H18" s="111" t="n"/>
      <c r="I18" s="111" t="n"/>
      <c r="J18" s="111" t="inlineStr">
        <is>
          <t>OPC 40450-1 Section 11.1 CU-63</t>
        </is>
      </c>
      <c r="K18" s="111" t="inlineStr">
        <is>
          <t>Requirement source: OPC 40450-1 Section 8.20 - Standard MBB children.</t>
        </is>
      </c>
    </row>
    <row r="19">
      <c r="A19" s="110" t="inlineStr">
        <is>
          <t>n</t>
        </is>
      </c>
      <c r="B19" s="110" t="n">
        <v>4</v>
      </c>
      <c r="C19" s="110" t="n">
        <v>0</v>
      </c>
      <c r="D19" s="110" t="inlineStr">
        <is>
          <t>Verify no duplicate BrowseNames under MachineryBuildingBlocks</t>
        </is>
      </c>
      <c r="E19" s="110" t="n"/>
      <c r="F19" s="110" t="n"/>
      <c r="G19" s="110" t="n"/>
      <c r="H19" s="110" t="n"/>
      <c r="I19" s="110" t="inlineStr">
        <is>
          <t>n</t>
        </is>
      </c>
      <c r="J19" s="110" t="inlineStr">
        <is>
          <t>OPC 40450-1 Section 11.1 CU-63</t>
        </is>
      </c>
      <c r="K19" s="110" t="n"/>
    </row>
    <row r="20">
      <c r="A20" s="111" t="n"/>
      <c r="B20" s="111" t="n"/>
      <c r="C20" s="111" t="n">
        <v>1</v>
      </c>
      <c r="D20" s="111" t="inlineStr">
        <is>
          <t>Enumerate children. Collect BrowseNames. Check duplicates.</t>
        </is>
      </c>
      <c r="E20" s="111" t="inlineStr">
        <is>
          <t>Server claims this Conformance Unit; no additional runtime setup is needed for this step.</t>
        </is>
      </c>
      <c r="F20" s="111" t="inlineStr">
        <is>
          <t>No duplicate BrowseNames found.</t>
        </is>
      </c>
      <c r="G20" s="111" t="inlineStr">
        <is>
          <t>Good</t>
        </is>
      </c>
      <c r="H20" s="111" t="n"/>
      <c r="I20" s="111" t="n"/>
      <c r="J20" s="111" t="inlineStr">
        <is>
          <t>OPC 40450-1 Section 11.1 CU-63</t>
        </is>
      </c>
      <c r="K20" s="111" t="inlineStr">
        <is>
          <t>Requirement source: OPC 10000-3 Section 4.7 - BrowseNames must be unique.</t>
        </is>
      </c>
    </row>
  </sheetData>
  <mergeCells count="2">
    <mergeCell ref="A1:K1"/>
    <mergeCell ref="C2:J2"/>
  </mergeCells>
  <pageMargins left="0.75" right="0.75" top="1" bottom="1" header="0.5" footer="0.5"/>
</worksheet>
</file>

<file path=xl/worksheets/sheet70.xml><?xml version="1.0" encoding="utf-8"?>
<worksheet xmlns="http://schemas.openxmlformats.org/spreadsheetml/2006/main">
  <sheetPr codeName="Sheet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CU-64: IJT Method Input Argument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CU-64 — IJT Method Input Argument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empty/NULL ProductInstanceUri uses the server's own asset identifier</t>
        </is>
      </c>
      <c r="E4" s="58" t="n"/>
      <c r="F4" s="58" t="n"/>
      <c r="G4" s="58" t="n"/>
      <c r="H4" s="58" t="n"/>
      <c r="I4" s="58" t="inlineStr">
        <is>
          <t>n</t>
        </is>
      </c>
      <c r="J4" s="58" t="inlineStr">
        <is>
          <t>OPC 40450-1 Section 11 (CU-64)</t>
        </is>
      </c>
      <c r="K4" s="59" t="inlineStr">
        <is>
          <t>NOTE: Namespace indices are server-assigned. Resolve from NamespaceArray (ns=0;i=2255). 2:=DI, 4:=Machinery, 5:=Machinery Result (OPC 40001-101).</t>
        </is>
      </c>
    </row>
    <row r="5" ht="64.5" customFormat="1" customHeight="1" s="138">
      <c r="A5" s="60" t="n"/>
      <c r="B5" s="61" t="n"/>
      <c r="C5" s="61" t="n">
        <v>1</v>
      </c>
      <c r="D5" s="61" t="inlineStr">
        <is>
          <t>Call GetIdentifiers (or any CU method accepting ProductInstanceUri) with ProductInstanceUri = empty string ("").</t>
        </is>
      </c>
      <c r="E5" s="61" t="inlineStr">
        <is>
          <t>Server with GetIdentifiers or similar method. Server has a deployed asset (Controller).</t>
        </is>
      </c>
      <c r="F5" s="61" t="inlineStr">
        <is>
          <t>Server returns Good. The method executes using the identifier of the asset where the OPC UA Server is running. GetIdentifiers returns the current identifier list for the default asset.</t>
        </is>
      </c>
      <c r="G5" s="61" t="inlineStr">
        <is>
          <t>Good</t>
        </is>
      </c>
      <c r="H5" s="61" t="inlineStr">
        <is>
          <t>Good</t>
        </is>
      </c>
      <c r="I5" s="61" t="n"/>
      <c r="J5" s="61" t="inlineStr">
        <is>
          <t>OPC 40450-1 Section 11 (CU-64)</t>
        </is>
      </c>
      <c r="K5" s="62" t="n"/>
    </row>
    <row r="6">
      <c r="A6" s="70" t="inlineStr">
        <is>
          <t>y</t>
        </is>
      </c>
      <c r="B6" s="71" t="n">
        <v>2</v>
      </c>
      <c r="C6" s="72" t="n">
        <v>0</v>
      </c>
      <c r="D6" s="72" t="inlineStr">
        <is>
          <t>Verify NULL ProductInstanceUri behaves identically to empty string</t>
        </is>
      </c>
      <c r="E6" s="72" t="n"/>
      <c r="F6" s="72" t="n"/>
      <c r="G6" s="72" t="n"/>
      <c r="H6" s="72" t="n"/>
      <c r="I6" s="72" t="inlineStr">
        <is>
          <t>n</t>
        </is>
      </c>
      <c r="J6" s="72" t="inlineStr">
        <is>
          <t>OPC 40450-1 Section 11 (CU-64)</t>
        </is>
      </c>
      <c r="K6" s="73" t="n"/>
    </row>
    <row r="7" ht="25.8" customHeight="1" s="132">
      <c r="A7" s="61" t="n"/>
      <c r="B7" s="61" t="n"/>
      <c r="C7" s="61" t="n">
        <v>1</v>
      </c>
      <c r="D7" s="61" t="inlineStr">
        <is>
          <t>Call the same method with ProductInstanceUri = NodeId Null (null reference).</t>
        </is>
      </c>
      <c r="E7" s="61" t="inlineStr">
        <is>
          <t>Same preconditions as TC#1.</t>
        </is>
      </c>
      <c r="F7" s="61" t="inlineStr">
        <is>
          <t>Server returns Good. Behaviour is identical to empty string input. Same asset is used as default.</t>
        </is>
      </c>
      <c r="G7" s="61" t="inlineStr">
        <is>
          <t>Good</t>
        </is>
      </c>
      <c r="H7" s="61" t="inlineStr">
        <is>
          <t>Good</t>
        </is>
      </c>
      <c r="I7" s="61" t="n"/>
      <c r="J7" s="61" t="inlineStr">
        <is>
          <t>OPC 40450-1 Section 11 (CU-64)</t>
        </is>
      </c>
      <c r="K7" s="61" t="n"/>
    </row>
    <row r="8">
      <c r="A8" s="67" t="inlineStr">
        <is>
          <t>y</t>
        </is>
      </c>
      <c r="B8" s="67" t="n">
        <v>3</v>
      </c>
      <c r="C8" s="67" t="n">
        <v>0</v>
      </c>
      <c r="D8" s="67" t="inlineStr">
        <is>
          <t>Verify valid ProductInstanceUri of the server's own asset is accepted</t>
        </is>
      </c>
      <c r="E8" s="67" t="n"/>
      <c r="F8" s="67" t="n"/>
      <c r="G8" s="67" t="n"/>
      <c r="H8" s="67" t="n"/>
      <c r="I8" s="67" t="inlineStr">
        <is>
          <t>n</t>
        </is>
      </c>
      <c r="J8" s="67" t="inlineStr">
        <is>
          <t>OPC 40450-1 Section 11 (CU-64)</t>
        </is>
      </c>
      <c r="K8" s="67" t="n"/>
    </row>
    <row r="9" ht="38.7" customHeight="1" s="132">
      <c r="A9" s="61" t="n"/>
      <c r="B9" s="61" t="n"/>
      <c r="C9" s="61" t="n">
        <v>1</v>
      </c>
      <c r="D9" s="61" t="inlineStr">
        <is>
          <t>Read ProductInstanceUri from the Controller Identification. Call a method with that ProductInstanceUri as input.</t>
        </is>
      </c>
      <c r="E9" s="61" t="inlineStr">
        <is>
          <t>Controller Identification/ProductInstanceUri readable. Method available.</t>
        </is>
      </c>
      <c r="F9" s="61" t="inlineStr">
        <is>
          <t>Server returns Good. The method executes for the specified Controller asset. Result is equivalent to calling with empty ProductInstanceUri.</t>
        </is>
      </c>
      <c r="G9" s="61" t="inlineStr">
        <is>
          <t>Good</t>
        </is>
      </c>
      <c r="H9" s="61" t="inlineStr">
        <is>
          <t>Good</t>
        </is>
      </c>
      <c r="I9" s="61" t="n"/>
      <c r="J9" s="61" t="inlineStr">
        <is>
          <t>OPC 40450-1 Section 11 (CU-64)</t>
        </is>
      </c>
      <c r="K9" s="61" t="n"/>
    </row>
    <row r="10">
      <c r="A10" s="67" t="inlineStr">
        <is>
          <t>y</t>
        </is>
      </c>
      <c r="B10" s="67" t="n">
        <v>4</v>
      </c>
      <c r="C10" s="67" t="n">
        <v>0</v>
      </c>
      <c r="D10" s="67" t="inlineStr">
        <is>
          <t>Verify valid ProductInstanceUri of a connected asset (Tool) is accepted</t>
        </is>
      </c>
      <c r="E10" s="67" t="n"/>
      <c r="F10" s="67" t="n"/>
      <c r="G10" s="67" t="n"/>
      <c r="H10" s="67" t="n"/>
      <c r="I10" s="67" t="inlineStr">
        <is>
          <t>n</t>
        </is>
      </c>
      <c r="J10" s="67" t="inlineStr">
        <is>
          <t>OPC 40450-1 Section 11 (CU-64)</t>
        </is>
      </c>
      <c r="K10" s="67" t="n"/>
    </row>
    <row r="11" ht="38.7" customHeight="1" s="132">
      <c r="A11" s="61" t="n"/>
      <c r="B11" s="61" t="n"/>
      <c r="C11" s="61" t="n">
        <v>1</v>
      </c>
      <c r="D11" s="61" t="inlineStr">
        <is>
          <t>Read ProductInstanceUri from a connected Tool asset Identification. Call a method that supports tool-level context with that ProductInstanceUri.</t>
        </is>
      </c>
      <c r="E11" s="61" t="inlineStr">
        <is>
          <t>Tool asset with Identification/ProductInstanceUri available.</t>
        </is>
      </c>
      <c r="F11" s="61" t="inlineStr">
        <is>
          <t>Server returns Good. The method executes in the context of the specified Tool. Per spec: "valid ProductInstanceUri of any asset exposed by the Server."</t>
        </is>
      </c>
      <c r="G11" s="61" t="inlineStr">
        <is>
          <t>Good</t>
        </is>
      </c>
      <c r="H11" s="61" t="inlineStr">
        <is>
          <t>Good</t>
        </is>
      </c>
      <c r="I11" s="61" t="n"/>
      <c r="J11" s="61" t="inlineStr">
        <is>
          <t>OPC 40450-1 Section 11 (CU-64)</t>
        </is>
      </c>
      <c r="K11" s="61" t="n"/>
    </row>
    <row r="12" ht="25.8" customHeight="1" s="132">
      <c r="A12" s="67" t="inlineStr">
        <is>
          <t>y</t>
        </is>
      </c>
      <c r="B12" s="67" t="n">
        <v>5</v>
      </c>
      <c r="C12" s="67" t="n">
        <v>0</v>
      </c>
      <c r="D12" s="67" t="inlineStr">
        <is>
          <t>Verify ProductInstanceUri semantics are consistent across multiple methods</t>
        </is>
      </c>
      <c r="E12" s="67" t="n"/>
      <c r="F12" s="67" t="n"/>
      <c r="G12" s="67" t="n"/>
      <c r="H12" s="67" t="n"/>
      <c r="I12" s="67" t="inlineStr">
        <is>
          <t>n</t>
        </is>
      </c>
      <c r="J12" s="67" t="inlineStr">
        <is>
          <t>OPC 40450-1 Section 11 (CU-64)</t>
        </is>
      </c>
      <c r="K12" s="67" t="n"/>
    </row>
    <row r="13" ht="25.8" customHeight="1" s="132">
      <c r="A13" s="61" t="n"/>
      <c r="B13" s="61" t="n"/>
      <c r="C13" s="61" t="n">
        <v>1</v>
      </c>
      <c r="D13" s="61" t="inlineStr">
        <is>
          <t>Call GetErrorInformation, GetIOSignals, GetIdentifiers with the same ProductInstanceUri. Compare returned data context.</t>
        </is>
      </c>
      <c r="E13" s="61" t="inlineStr">
        <is>
          <t>Multiple methods accepting ProductInstanceUri available.</t>
        </is>
      </c>
      <c r="F13" s="61" t="inlineStr">
        <is>
          <t>All methods interpret the ProductInstanceUri consistently — each returns data specific to the identified asset.</t>
        </is>
      </c>
      <c r="G13" s="61" t="inlineStr">
        <is>
          <t>Good</t>
        </is>
      </c>
      <c r="H13" s="61" t="inlineStr">
        <is>
          <t>Good</t>
        </is>
      </c>
      <c r="I13" s="61" t="n"/>
      <c r="J13" s="61" t="inlineStr">
        <is>
          <t>OPC 40450-1 Section 11 (CU-64)</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n</t>
        </is>
      </c>
      <c r="B15" s="69" t="n">
        <v>1</v>
      </c>
      <c r="C15" s="69" t="n">
        <v>0</v>
      </c>
      <c r="D15" s="69" t="inlineStr">
        <is>
          <t>Verify unknown ProductInstanceUri returns appropriate error</t>
        </is>
      </c>
      <c r="E15" s="69" t="n"/>
      <c r="F15" s="69" t="n"/>
      <c r="G15" s="69" t="n"/>
      <c r="H15" s="69" t="n"/>
      <c r="I15" s="69" t="inlineStr">
        <is>
          <t>n</t>
        </is>
      </c>
      <c r="J15" s="69" t="inlineStr">
        <is>
          <t>OPC 40450-1 Section 11 (CU-64)</t>
        </is>
      </c>
      <c r="K15" s="69" t="n"/>
    </row>
    <row r="16" ht="38.7" customHeight="1" s="132">
      <c r="A16" s="61" t="n"/>
      <c r="B16" s="61" t="n"/>
      <c r="C16" s="61" t="n">
        <v>1</v>
      </c>
      <c r="D16" s="61" t="inlineStr">
        <is>
          <t>Call any method with ProductInstanceUri = "urn:nonexistent:asset:xyz123".</t>
        </is>
      </c>
      <c r="E16" s="61" t="inlineStr">
        <is>
          <t>Method with ProductInstanceUri input available.</t>
        </is>
      </c>
      <c r="F16" s="61" t="inlineStr">
        <is>
          <t>Call Service returns Good; method result code is Uncertain. Status output is 2 (ProductInstanceUri not found). StatusMessage explains the rejected input; no state change is performed.</t>
        </is>
      </c>
      <c r="G16" s="61" t="inlineStr">
        <is>
          <t>Good</t>
        </is>
      </c>
      <c r="H16" s="61" t="inlineStr">
        <is>
          <t>Uncertain; Status=2 output with StatusMessage</t>
        </is>
      </c>
      <c r="I16" s="61" t="n"/>
      <c r="J16" s="61" t="inlineStr">
        <is>
          <t>OPC 40450-1 Section 11 (CU-64)</t>
        </is>
      </c>
      <c r="K16" s="61" t="n"/>
    </row>
    <row r="17">
      <c r="A17" s="69" t="inlineStr">
        <is>
          <t>n</t>
        </is>
      </c>
      <c r="B17" s="69" t="n">
        <v>2</v>
      </c>
      <c r="C17" s="69" t="n">
        <v>0</v>
      </c>
      <c r="D17" s="69" t="inlineStr">
        <is>
          <t>Verify ProductInstanceUri of a non-applicable asset returns error</t>
        </is>
      </c>
      <c r="E17" s="69" t="n"/>
      <c r="F17" s="69" t="n"/>
      <c r="G17" s="69" t="n"/>
      <c r="H17" s="69" t="n"/>
      <c r="I17" s="69" t="inlineStr">
        <is>
          <t>n</t>
        </is>
      </c>
      <c r="J17" s="69" t="inlineStr">
        <is>
          <t>OPC 40450-1 Section 11 (CU-64)</t>
        </is>
      </c>
      <c r="K17" s="69" t="n"/>
    </row>
    <row r="18" ht="38.7" customHeight="1" s="132">
      <c r="A18" s="61" t="n"/>
      <c r="B18" s="61" t="n"/>
      <c r="C18" s="61" t="n">
        <v>1</v>
      </c>
      <c r="D18" s="61" t="inlineStr">
        <is>
          <t>Call a Tool-specific method (e.g. EnableTool) with ProductInstanceUri of a non-Tool asset (e.g. a Sensor).</t>
        </is>
      </c>
      <c r="E18" s="61" t="inlineStr">
        <is>
          <t>EnableTool method available. A Sensor asset with ProductInstanceUri accessible.</t>
        </is>
      </c>
      <c r="F18" s="61" t="inlineStr">
        <is>
          <t>Call Service returns Good; method result code is Uncertain. Status output is 3 (ProductInstanceUri not applicable). StatusMessage explains the rejected input; no state change is performed.</t>
        </is>
      </c>
      <c r="G18" s="61" t="inlineStr">
        <is>
          <t>Good</t>
        </is>
      </c>
      <c r="H18" s="61" t="inlineStr">
        <is>
          <t>Uncertain; Status=3 output with StatusMessage</t>
        </is>
      </c>
      <c r="I18" s="61" t="n"/>
      <c r="J18" s="61" t="inlineStr">
        <is>
          <t>OPC 40450-1 Section 11 (CU-64)</t>
        </is>
      </c>
      <c r="K18" s="61" t="n"/>
    </row>
    <row r="19">
      <c r="A19" s="110" t="inlineStr">
        <is>
          <t>n</t>
        </is>
      </c>
      <c r="B19" s="110" t="n">
        <v>3</v>
      </c>
      <c r="C19" s="110" t="n">
        <v>0</v>
      </c>
      <c r="D19" s="110" t="inlineStr">
        <is>
          <t>Verify InputArguments variable DataType is Argument[]</t>
        </is>
      </c>
      <c r="E19" s="110" t="n"/>
      <c r="F19" s="110" t="n"/>
      <c r="G19" s="110" t="n"/>
      <c r="H19" s="110" t="n"/>
      <c r="I19" s="110" t="inlineStr">
        <is>
          <t>n</t>
        </is>
      </c>
      <c r="J19" s="110" t="inlineStr">
        <is>
          <t>OPC 40450-1 Section 11.1 CU-64</t>
        </is>
      </c>
      <c r="K19" s="110" t="n"/>
    </row>
    <row r="20">
      <c r="A20" s="111" t="n"/>
      <c r="B20" s="111" t="n"/>
      <c r="C20" s="111" t="n">
        <v>1</v>
      </c>
      <c r="D20" s="111" t="inlineStr">
        <is>
          <t>Read DataType of InputArguments property on any IJT method.</t>
        </is>
      </c>
      <c r="E20" s="111" t="inlineStr">
        <is>
          <t>Server claims this Conformance Unit; no additional runtime setup is needed for this step.</t>
        </is>
      </c>
      <c r="F20" s="111" t="inlineStr">
        <is>
          <t>DataType is Argument (i=296). ValueRank=1 (array).</t>
        </is>
      </c>
      <c r="G20" s="111" t="inlineStr">
        <is>
          <t>Good</t>
        </is>
      </c>
      <c r="H20" s="111" t="n"/>
      <c r="I20" s="111" t="n"/>
      <c r="J20" s="111" t="inlineStr">
        <is>
          <t>OPC 40450-1 Section 11.1 CU-64</t>
        </is>
      </c>
      <c r="K20" s="111" t="inlineStr">
        <is>
          <t>Requirement source: OPC 10000-3 Section 8.44 - DataType is Argument (i=296).</t>
        </is>
      </c>
    </row>
    <row r="21">
      <c r="A21" s="110" t="inlineStr">
        <is>
          <t>n</t>
        </is>
      </c>
      <c r="B21" s="110" t="n">
        <v>4</v>
      </c>
      <c r="C21" s="110" t="n">
        <v>0</v>
      </c>
      <c r="D21" s="110" t="inlineStr">
        <is>
          <t>Verify InputArguments metadata cannot be changed by a client</t>
        </is>
      </c>
      <c r="E21" s="110" t="n"/>
      <c r="F21" s="110" t="n"/>
      <c r="G21" s="110" t="n"/>
      <c r="H21" s="110" t="n"/>
      <c r="I21" s="110" t="inlineStr">
        <is>
          <t>n</t>
        </is>
      </c>
      <c r="J21" s="110" t="inlineStr">
        <is>
          <t>OPC 40450-1 Section 11.1 CU-64</t>
        </is>
      </c>
      <c r="K21" s="110" t="n"/>
    </row>
    <row r="22">
      <c r="A22" s="111" t="n"/>
      <c r="B22" s="111" t="n"/>
      <c r="C22" s="111" t="n">
        <v>1</v>
      </c>
      <c r="D22" s="111" t="inlineStr">
        <is>
          <t>Attempt Write on InputArguments variable.</t>
        </is>
      </c>
      <c r="E22" s="111" t="inlineStr">
        <is>
          <t>Server claims this Conformance Unit; no additional runtime setup is needed for this step.</t>
        </is>
      </c>
      <c r="F22" s="111" t="inlineStr">
        <is>
          <t>Write returns Bad_NotWritable.</t>
        </is>
      </c>
      <c r="G22" s="111" t="inlineStr">
        <is>
          <t>Good</t>
        </is>
      </c>
      <c r="H22" s="111" t="inlineStr">
        <is>
          <t>Bad_NotWritable</t>
        </is>
      </c>
      <c r="I22" s="111" t="n"/>
      <c r="J22" s="111" t="inlineStr">
        <is>
          <t>OPC 40450-1 Section 11.1 CU-64</t>
        </is>
      </c>
      <c r="K22" s="111" t="inlineStr">
        <is>
          <t>Requirement source: OPC 10000-3 Section 8.44 - InputArguments metadata is not client-modifiable.</t>
        </is>
      </c>
    </row>
    <row r="23">
      <c r="A23" s="110" t="inlineStr">
        <is>
          <t>n</t>
        </is>
      </c>
      <c r="B23" s="110" t="n">
        <v>5</v>
      </c>
      <c r="C23" s="110" t="n">
        <v>0</v>
      </c>
      <c r="D23" s="110" t="inlineStr">
        <is>
          <t>Verify calling method with wrong argument count returns error</t>
        </is>
      </c>
      <c r="E23" s="110" t="n"/>
      <c r="F23" s="110" t="n"/>
      <c r="G23" s="110" t="n"/>
      <c r="H23" s="110" t="n"/>
      <c r="I23" s="110" t="inlineStr">
        <is>
          <t>n</t>
        </is>
      </c>
      <c r="J23" s="110" t="inlineStr">
        <is>
          <t>OPC 40450-1 Section 11.1 CU-64</t>
        </is>
      </c>
      <c r="K23" s="110" t="n"/>
    </row>
    <row r="24" ht="25.8" customHeight="1" s="132">
      <c r="A24" s="111" t="n"/>
      <c r="B24" s="111" t="n"/>
      <c r="C24" s="111" t="n">
        <v>1</v>
      </c>
      <c r="D24" s="111" t="inlineStr">
        <is>
          <t>Call method with 0 arguments when 1+ required.</t>
        </is>
      </c>
      <c r="E24" s="111" t="inlineStr">
        <is>
          <t>Server claims this Conformance Unit; no additional runtime setup is needed for this step.</t>
        </is>
      </c>
      <c r="F24" s="111" t="inlineStr">
        <is>
          <t>Returns Bad_ArgumentsMissing or Bad_InvalidArgument.</t>
        </is>
      </c>
      <c r="G24" s="111" t="inlineStr">
        <is>
          <t>Bad_ArgumentsMissing / Bad_InvalidArgument</t>
        </is>
      </c>
      <c r="H24" s="111" t="inlineStr">
        <is>
          <t>Call rejected because required method arguments are missing</t>
        </is>
      </c>
      <c r="I24" s="111" t="n"/>
      <c r="J24" s="111" t="inlineStr">
        <is>
          <t>OPC 40450-1 Section 11.1 CU-64</t>
        </is>
      </c>
      <c r="K24" s="111" t="inlineStr">
        <is>
          <t>Requirement source: OPC 10000-4 Section 5.11.2 - Argument count mismatch.</t>
        </is>
      </c>
    </row>
  </sheetData>
  <mergeCells count="2">
    <mergeCell ref="A1:K1"/>
    <mergeCell ref="C2:J2"/>
  </mergeCells>
  <pageMargins left="0.7" right="0.7" top="0.75" bottom="0.75" header="0.3" footer="0.3"/>
</worksheet>
</file>

<file path=xl/worksheets/sheet71.xml><?xml version="1.0" encoding="utf-8"?>
<worksheet xmlns="http://schemas.openxmlformats.org/spreadsheetml/2006/main">
  <sheetPr codeName="Sheet6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CU-65: Disconnect Asset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CU-65 — Disconnect Asset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DA-1: Browse MethodSet for DisconnectAsset; verify NodeClass=Method, Executable=True</t>
        </is>
      </c>
      <c r="E4" s="58" t="n"/>
      <c r="F4" s="58" t="n"/>
      <c r="G4" s="58" t="n"/>
      <c r="H4" s="58" t="n"/>
      <c r="I4" s="58" t="inlineStr">
        <is>
          <t>n</t>
        </is>
      </c>
      <c r="J4" s="58" t="inlineStr">
        <is>
          <t>OPC 40450-1 Section 11.1 CU-65</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DisconnectAsset method node. Read NodeClass and Executable attributes.</t>
        </is>
      </c>
      <c r="E5" s="61" t="inlineStr">
        <is>
          <t>IJT server running with AssetManagement object accessible.</t>
        </is>
      </c>
      <c r="F5" s="61" t="inlineStr">
        <is>
          <t>DisconnectAsset method node found in MethodSet. NodeClass = Method (NodeClass=4). Executable attribute = True.</t>
        </is>
      </c>
      <c r="G5" s="61" t="inlineStr">
        <is>
          <t>Good</t>
        </is>
      </c>
      <c r="H5" s="61" t="inlineStr">
        <is>
          <t>DisconnectAsset found; NodeClass=Method; Executable=True</t>
        </is>
      </c>
      <c r="I5" s="61" t="n"/>
      <c r="J5" s="61" t="inlineStr">
        <is>
          <t>OPC 40450-1 Section 11.1 CU-65</t>
        </is>
      </c>
      <c r="K5" s="62" t="n"/>
    </row>
    <row r="6" ht="25.8" customHeight="1" s="132">
      <c r="A6" s="70" t="inlineStr">
        <is>
          <t>y</t>
        </is>
      </c>
      <c r="B6" s="71" t="n">
        <v>2</v>
      </c>
      <c r="C6" s="72" t="n">
        <v>0</v>
      </c>
      <c r="D6" s="72" t="inlineStr">
        <is>
          <t>DA-2: Call DisconnectAsset with valid ProductInstanceUri; verify Good; verify IsConnected=False</t>
        </is>
      </c>
      <c r="E6" s="72" t="n"/>
      <c r="F6" s="72" t="n"/>
      <c r="G6" s="72" t="n"/>
      <c r="H6" s="72" t="n"/>
      <c r="I6" s="72" t="inlineStr">
        <is>
          <t>n</t>
        </is>
      </c>
      <c r="J6" s="72" t="inlineStr">
        <is>
          <t>OPC 40450-1 Section 11.1 CU-65</t>
        </is>
      </c>
      <c r="K6" s="73" t="n"/>
    </row>
    <row r="7" ht="64.5" customHeight="1" s="132">
      <c r="A7" s="61" t="n"/>
      <c r="B7" s="61" t="n"/>
      <c r="C7" s="61" t="n">
        <v>1</v>
      </c>
      <c r="D7" s="61" t="inlineStr">
        <is>
          <t>Identify a connected asset. Read its IsConnected property (should be True). Call DisconnectAsset with its ProductInstanceUri.</t>
        </is>
      </c>
      <c r="E7" s="61" t="inlineStr">
        <is>
          <t>An asset is connected (IsConnected=True). DisconnectAsset method executable.</t>
        </is>
      </c>
      <c r="F7" s="61" t="inlineStr">
        <is>
          <t>Method returns StatusCode = Good. IsConnected property of the asset transitions to False after the call. Asset is no longer addressable for new joining operations.</t>
        </is>
      </c>
      <c r="G7" s="61" t="inlineStr">
        <is>
          <t>Good</t>
        </is>
      </c>
      <c r="H7" s="61" t="inlineStr">
        <is>
          <t>Good returned; IsConnected=False verified by subsequent Read of IsConnected property</t>
        </is>
      </c>
      <c r="I7" s="61" t="n"/>
      <c r="J7" s="61" t="inlineStr">
        <is>
          <t>OPC 40450-1 Section 11.1 CU-65</t>
        </is>
      </c>
      <c r="K7" s="61" t="n"/>
    </row>
    <row r="8" ht="25.8" customHeight="1" s="132">
      <c r="A8" s="67" t="inlineStr">
        <is>
          <t>y</t>
        </is>
      </c>
      <c r="B8" s="67" t="n">
        <v>5</v>
      </c>
      <c r="C8" s="67" t="n">
        <v>0</v>
      </c>
      <c r="D8" s="67" t="inlineStr">
        <is>
          <t>DA-5: Verify JoiningSystemEventType event generated on disconnect (if Asset Connection Event CU supported)</t>
        </is>
      </c>
      <c r="E8" s="67" t="n"/>
      <c r="F8" s="67" t="n"/>
      <c r="G8" s="67" t="n"/>
      <c r="H8" s="67" t="n"/>
      <c r="I8" s="67" t="inlineStr">
        <is>
          <t>n</t>
        </is>
      </c>
      <c r="J8" s="67" t="inlineStr">
        <is>
          <t>OPC 40450-1 Section 11.1 CU-65</t>
        </is>
      </c>
      <c r="K8" s="67" t="n"/>
    </row>
    <row r="9" ht="77.40000000000001" customHeight="1" s="132">
      <c r="A9" s="61" t="n"/>
      <c r="B9" s="61" t="n"/>
      <c r="C9" s="61" t="n">
        <v>1</v>
      </c>
      <c r="D9" s="61" t="inlineStr">
        <is>
          <t>Subscribe to events. Call DisconnectAsset with a valid ProductInstanceUri. Wait for event notification.</t>
        </is>
      </c>
      <c r="E9" s="61" t="inlineStr">
        <is>
          <t>Event subscription active. DisconnectAsset callable. Asset Connection Event CU is declared as supported.</t>
        </is>
      </c>
      <c r="F9" s="61" t="inlineStr">
        <is>
          <t>A JoiningSystemEventType (or AssetConnectionEventType) event is received after disconnect. EventType references the appropriate disconnect event type.</t>
        </is>
      </c>
      <c r="G9" s="61" t="inlineStr">
        <is>
          <t>Good</t>
        </is>
      </c>
      <c r="H9" s="61" t="inlineStr">
        <is>
          <t>JoiningSystemEventType or AssetConnectionEventType event received; EventType NodeId correct</t>
        </is>
      </c>
      <c r="I9" s="61" t="n"/>
      <c r="J9" s="61" t="inlineStr">
        <is>
          <t>OPC 40450-1 Section 11.1 CU-65</t>
        </is>
      </c>
      <c r="K9" s="61" t="inlineStr">
        <is>
          <t>Only applicable if Asset Connection Event CU is declared supported</t>
        </is>
      </c>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3</v>
      </c>
      <c r="C11" s="69" t="n">
        <v>0</v>
      </c>
      <c r="D11" s="69" t="inlineStr">
        <is>
          <t>DA-3 (error): Call DisconnectAsset with already-disconnected asset; verify appropriate status</t>
        </is>
      </c>
      <c r="E11" s="69" t="n"/>
      <c r="F11" s="69" t="n"/>
      <c r="G11" s="69" t="n"/>
      <c r="H11" s="69" t="n"/>
      <c r="I11" s="69" t="inlineStr">
        <is>
          <t>n</t>
        </is>
      </c>
      <c r="J11" s="69" t="inlineStr">
        <is>
          <t>OPC 40450-1 Section 11.1 CU-65</t>
        </is>
      </c>
      <c r="K11" s="69" t="n"/>
    </row>
    <row r="12" ht="64.5" customHeight="1" s="132">
      <c r="A12" s="61" t="n"/>
      <c r="B12" s="61" t="n"/>
      <c r="C12" s="61" t="n">
        <v>1</v>
      </c>
      <c r="D12" s="61" t="inlineStr">
        <is>
          <t>Ensure the asset is already disconnected (IsConnected=False). Call DisconnectAsset again with the same ProductInstanceUri.</t>
        </is>
      </c>
      <c r="E12" s="61" t="inlineStr">
        <is>
          <t>An asset that is currently disconnected (IsConnected=False).</t>
        </is>
      </c>
      <c r="F12" s="61" t="inlineStr">
        <is>
          <t>Call Service returns Good; method result code is Uncertain when the requested state transition is not accepted. Status output is 1 (generic not OK/application state). StatusMessage explains the state precondition; no unintended state change is performed.</t>
        </is>
      </c>
      <c r="G12" s="61" t="inlineStr">
        <is>
          <t>Good</t>
        </is>
      </c>
      <c r="H12" s="61" t="inlineStr">
        <is>
          <t>Uncertain; Status=1 output with StatusMessage</t>
        </is>
      </c>
      <c r="I12" s="61" t="n"/>
      <c r="J12" s="61" t="inlineStr">
        <is>
          <t>OPC 40450-1 Section 11.1 CU-65</t>
        </is>
      </c>
      <c r="K12" s="61" t="inlineStr">
        <is>
          <t>Good idempotent behavior or Uncertain/Status=1 are acceptable for already-disconnected state; document observed behavior.</t>
        </is>
      </c>
    </row>
    <row r="13" ht="25.8" customHeight="1" s="132">
      <c r="A13" s="69" t="inlineStr">
        <is>
          <t>n</t>
        </is>
      </c>
      <c r="B13" s="69" t="n">
        <v>4</v>
      </c>
      <c r="C13" s="69" t="n">
        <v>0</v>
      </c>
      <c r="D13" s="69" t="inlineStr">
        <is>
          <t>DA-4 (error): Call DisconnectAsset with invalid/empty ProductInstanceUri; verify Uncertain with Status=2/5</t>
        </is>
      </c>
      <c r="E13" s="69" t="n"/>
      <c r="F13" s="69" t="n"/>
      <c r="G13" s="69" t="n"/>
      <c r="H13" s="69" t="n"/>
      <c r="I13" s="69" t="inlineStr">
        <is>
          <t>n</t>
        </is>
      </c>
      <c r="J13" s="69" t="inlineStr">
        <is>
          <t>OPC 40450-1 Section 11.1 CU-65</t>
        </is>
      </c>
      <c r="K13" s="69" t="n"/>
    </row>
    <row r="14" ht="51.6" customHeight="1" s="132">
      <c r="A14" s="61" t="n"/>
      <c r="B14" s="61" t="n"/>
      <c r="C14" s="61" t="n">
        <v>1</v>
      </c>
      <c r="D14" s="61" t="inlineStr">
        <is>
          <t>Call DisconnectAsset with a ProductInstanceUri that does not correspond to any known asset (e.g. "urn:invalid:asset:999") and separately with an empty string.</t>
        </is>
      </c>
      <c r="E14" s="61" t="inlineStr">
        <is>
          <t>DisconnectAsset method available.</t>
        </is>
      </c>
      <c r="F14" s="61" t="inlineStr">
        <is>
          <t>Call Service returns Good; method result code is Uncertain. Status output is 2 (ProductInstanceUri not found). StatusMessage explains the rejected input; no state change is performed.</t>
        </is>
      </c>
      <c r="G14" s="61" t="inlineStr">
        <is>
          <t>Good</t>
        </is>
      </c>
      <c r="H14" s="61" t="inlineStr">
        <is>
          <t>Uncertain; Status=2 output with StatusMessage</t>
        </is>
      </c>
      <c r="I14" s="61" t="n"/>
      <c r="J14" s="61" t="inlineStr">
        <is>
          <t>OPC 40450-1 Section 11.1 CU-65</t>
        </is>
      </c>
      <c r="K14" s="61" t="n"/>
    </row>
    <row r="15">
      <c r="A15" s="110" t="inlineStr">
        <is>
          <t>n</t>
        </is>
      </c>
      <c r="B15" s="110" t="n">
        <v>5</v>
      </c>
      <c r="C15" s="110" t="n">
        <v>0</v>
      </c>
      <c r="D15" s="110" t="inlineStr">
        <is>
          <t>Verify DisconnectAsset raises AssetDisconnectedConditionClass event</t>
        </is>
      </c>
      <c r="E15" s="110" t="n"/>
      <c r="F15" s="110" t="n"/>
      <c r="G15" s="110" t="n"/>
      <c r="H15" s="110" t="n"/>
      <c r="I15" s="110" t="inlineStr">
        <is>
          <t>n</t>
        </is>
      </c>
      <c r="J15" s="110" t="inlineStr">
        <is>
          <t>OPC 40450-1 Section 11.1 CU-65</t>
        </is>
      </c>
      <c r="K15" s="110" t="n"/>
    </row>
    <row r="16" ht="25.8" customHeight="1" s="132">
      <c r="A16" s="111" t="n"/>
      <c r="B16" s="111" t="n"/>
      <c r="C16" s="111" t="n">
        <v>1</v>
      </c>
      <c r="D16" s="111" t="inlineStr">
        <is>
          <t>Subscribe events. Call DisconnectAsset with valid ProductInstanceUri.</t>
        </is>
      </c>
      <c r="E16" s="111" t="inlineStr">
        <is>
          <t>Server claims this Conformance Unit; no additional runtime setup is needed for this step.</t>
        </is>
      </c>
      <c r="F16" s="111" t="inlineStr">
        <is>
          <t>Event with AssetDisconnectedConditionClassType received.</t>
        </is>
      </c>
      <c r="G16" s="111" t="inlineStr">
        <is>
          <t>Good</t>
        </is>
      </c>
      <c r="H16" s="111" t="n"/>
      <c r="I16" s="111" t="n"/>
      <c r="J16" s="111" t="inlineStr">
        <is>
          <t>OPC 40450-1 Section 11.1 CU-65</t>
        </is>
      </c>
      <c r="K16" s="111" t="inlineStr">
        <is>
          <t>Requirement source: OPC 40450-1 Section 9.2 / Section 11 - AssetDisconnectedConditionClassType.</t>
        </is>
      </c>
    </row>
    <row r="17">
      <c r="A17" s="110" t="inlineStr">
        <is>
          <t>n</t>
        </is>
      </c>
      <c r="B17" s="110" t="n">
        <v>6</v>
      </c>
      <c r="C17" s="110" t="n">
        <v>0</v>
      </c>
      <c r="D17" s="110" t="inlineStr">
        <is>
          <t>Call DisconnectAsset with null ProductInstanceUri</t>
        </is>
      </c>
      <c r="E17" s="110" t="n"/>
      <c r="F17" s="110" t="n"/>
      <c r="G17" s="110" t="n"/>
      <c r="H17" s="110" t="n"/>
      <c r="I17" s="110" t="inlineStr">
        <is>
          <t>n</t>
        </is>
      </c>
      <c r="J17" s="110" t="inlineStr">
        <is>
          <t>OPC 40450-1 Section 11.1 CU-65</t>
        </is>
      </c>
      <c r="K17" s="110" t="n"/>
    </row>
    <row r="18" ht="25.8" customHeight="1" s="132">
      <c r="A18" s="111" t="n"/>
      <c r="B18" s="111" t="n"/>
      <c r="C18" s="111" t="n">
        <v>1</v>
      </c>
      <c r="D18" s="111" t="inlineStr">
        <is>
          <t>Call DisconnectAsset passing null.</t>
        </is>
      </c>
      <c r="E18" s="111" t="inlineStr">
        <is>
          <t>Server claims this Conformance Unit; no additional runtime setup is needed for this step.</t>
        </is>
      </c>
      <c r="F18" s="111" t="inlineStr">
        <is>
          <t>Call Service returns Good; method result code is Uncertain. Status output is 5 (invalid input). StatusMessage explains the rejected input; no state change is performed.</t>
        </is>
      </c>
      <c r="G18" s="111" t="inlineStr">
        <is>
          <t>Good</t>
        </is>
      </c>
      <c r="H18" s="111" t="inlineStr">
        <is>
          <t>Uncertain; Status=5 output with StatusMessage</t>
        </is>
      </c>
      <c r="I18" s="111" t="n"/>
      <c r="J18" s="111" t="inlineStr">
        <is>
          <t>OPC 40450-1 Section 11.1 CU-65</t>
        </is>
      </c>
      <c r="K18" s="111" t="inlineStr">
        <is>
          <t>Requirement source: OPC 40450-1 Section 9.2 - ProductInstanceUri is Mandatory.</t>
        </is>
      </c>
    </row>
    <row r="19">
      <c r="A19" s="110" t="inlineStr">
        <is>
          <t>n</t>
        </is>
      </c>
      <c r="B19" s="110" t="n">
        <v>7</v>
      </c>
      <c r="C19" s="110" t="n">
        <v>0</v>
      </c>
      <c r="D19" s="110" t="inlineStr">
        <is>
          <t>Call DisconnectAsset while joining operation in progress</t>
        </is>
      </c>
      <c r="E19" s="110" t="n"/>
      <c r="F19" s="110" t="n"/>
      <c r="G19" s="110" t="n"/>
      <c r="H19" s="110" t="n"/>
      <c r="I19" s="110" t="inlineStr">
        <is>
          <t>n</t>
        </is>
      </c>
      <c r="J19" s="110" t="inlineStr">
        <is>
          <t>OPC 40450-1 Section 11.1 CU-65</t>
        </is>
      </c>
      <c r="K19" s="110" t="n"/>
    </row>
    <row r="20" ht="25.8" customHeight="1" s="132">
      <c r="A20" s="111" t="n"/>
      <c r="B20" s="111" t="n"/>
      <c r="C20" s="111" t="n">
        <v>1</v>
      </c>
      <c r="D20" s="111" t="inlineStr">
        <is>
          <t>Initiate joining. Call DisconnectAsset.</t>
        </is>
      </c>
      <c r="E20" s="111" t="inlineStr">
        <is>
          <t>Server claims this Conformance Unit; no additional runtime setup is needed for this step.</t>
        </is>
      </c>
      <c r="F20" s="111" t="inlineStr">
        <is>
          <t>Call Service returns Good; method result code is Uncertain when the requested state transition is not accepted. Status output is 1 (generic not OK/application state). StatusMessage explains the state precondition; no unintended state change is performed.</t>
        </is>
      </c>
      <c r="G20" s="111" t="inlineStr">
        <is>
          <t>Good</t>
        </is>
      </c>
      <c r="H20" s="111" t="inlineStr">
        <is>
          <t>Uncertain; Status=1 output with StatusMessage</t>
        </is>
      </c>
      <c r="I20" s="111" t="n"/>
      <c r="J20" s="111" t="inlineStr">
        <is>
          <t>OPC 40450-1 Section 11.1 CU-65</t>
        </is>
      </c>
      <c r="K20" s="111" t="inlineStr">
        <is>
          <t>Requirement source: OPC 40450-1 Section 9.2 - Cannot disconnect during active operation.</t>
        </is>
      </c>
    </row>
  </sheetData>
  <mergeCells count="2">
    <mergeCell ref="A1:K1"/>
    <mergeCell ref="C2:J2"/>
  </mergeCells>
  <pageMargins left="0.7" right="0.7" top="0.75" bottom="0.75" header="0.3" footer="0.3"/>
</worksheet>
</file>

<file path=xl/worksheets/sheet72.xml><?xml version="1.0" encoding="utf-8"?>
<worksheet xmlns="http://schemas.openxmlformats.org/spreadsheetml/2006/main">
  <sheetPr codeName="Sheet67">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CU-66: Enable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CU-66 — Enable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ET-1: Browse MethodSet for EnableAsset method; verify NodeClass=Method, Executable=True</t>
        </is>
      </c>
      <c r="E4" s="58" t="n"/>
      <c r="F4" s="58" t="n"/>
      <c r="G4" s="58" t="n"/>
      <c r="H4" s="58" t="n"/>
      <c r="I4" s="58" t="inlineStr">
        <is>
          <t>n</t>
        </is>
      </c>
      <c r="J4" s="58" t="inlineStr">
        <is>
          <t>OPC 40450-1 Section 11.1 CU-66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EnableAsset method node. Read NodeClass and Executable attributes.</t>
        </is>
      </c>
      <c r="E5" s="61" t="inlineStr">
        <is>
          <t>IJT server running with AssetManagement object accessible.</t>
        </is>
      </c>
      <c r="F5" s="61" t="inlineStr">
        <is>
          <t>EnableAsset method node found in MethodSet. NodeClass = Method (NodeClass=4). Executable attribute = True.</t>
        </is>
      </c>
      <c r="G5" s="61" t="inlineStr">
        <is>
          <t>Good</t>
        </is>
      </c>
      <c r="H5" s="61" t="inlineStr">
        <is>
          <t>EnableAsset found; NodeClass=Method; Executable=True</t>
        </is>
      </c>
      <c r="I5" s="61" t="n"/>
      <c r="J5" s="61" t="inlineStr">
        <is>
          <t>OPC 40450-1 Section 11.1 CU-66</t>
        </is>
      </c>
      <c r="K5" s="62" t="n"/>
    </row>
    <row r="6" ht="25.8" customHeight="1" s="132">
      <c r="A6" s="70" t="inlineStr">
        <is>
          <t>y</t>
        </is>
      </c>
      <c r="B6" s="71" t="n">
        <v>2</v>
      </c>
      <c r="C6" s="72" t="n">
        <v>0</v>
      </c>
      <c r="D6" s="72" t="inlineStr">
        <is>
          <t>ET-2: Call EnableAsset with valid Tool ProductInstanceUri; verify Good; verify IsEnabled=True</t>
        </is>
      </c>
      <c r="E6" s="72" t="n"/>
      <c r="F6" s="72" t="n"/>
      <c r="G6" s="72" t="n"/>
      <c r="H6" s="72" t="n"/>
      <c r="I6" s="72" t="inlineStr">
        <is>
          <t>n</t>
        </is>
      </c>
      <c r="J6" s="72" t="inlineStr">
        <is>
          <t>OPC 40450-1 Section 11.1 CU-66</t>
        </is>
      </c>
      <c r="K6" s="73" t="n"/>
    </row>
    <row r="7" ht="51.6" customHeight="1" s="132">
      <c r="A7" s="61" t="n"/>
      <c r="B7" s="61" t="n"/>
      <c r="C7" s="61" t="n">
        <v>1</v>
      </c>
      <c r="D7" s="61" t="inlineStr">
        <is>
          <t>Identify a Tool asset (AssetType = Tool or equivalent). Call EnableAsset with its ProductInstanceUri and IsEnabled=True.</t>
        </is>
      </c>
      <c r="E7" s="61" t="inlineStr">
        <is>
          <t>A Tool asset is accessible. EnableAsset method executable.</t>
        </is>
      </c>
      <c r="F7" s="61" t="inlineStr">
        <is>
          <t>Method returns StatusCode = Good. IsEnabled property of the Tool asset transitions to True. Tool is available for use in joining operations.</t>
        </is>
      </c>
      <c r="G7" s="61" t="inlineStr">
        <is>
          <t>Good</t>
        </is>
      </c>
      <c r="H7" s="61" t="inlineStr">
        <is>
          <t>Good returned; IsEnabled=True verified by subsequent Read of IsEnabled property</t>
        </is>
      </c>
      <c r="I7" s="61" t="n"/>
      <c r="J7" s="61" t="inlineStr">
        <is>
          <t>OPC 40450-1 Section 11.1 CU-66</t>
        </is>
      </c>
      <c r="K7" s="61" t="n"/>
    </row>
    <row r="8" ht="25.8" customHeight="1" s="132">
      <c r="A8" s="67" t="inlineStr">
        <is>
          <t>y</t>
        </is>
      </c>
      <c r="B8" s="67" t="n">
        <v>3</v>
      </c>
      <c r="C8" s="67" t="n">
        <v>0</v>
      </c>
      <c r="D8" s="67" t="inlineStr">
        <is>
          <t>ET-3: Call EnableAsset to disable (IsEnabled=False) valid Tool; verify IsEnabled=False</t>
        </is>
      </c>
      <c r="E8" s="67" t="n"/>
      <c r="F8" s="67" t="n"/>
      <c r="G8" s="67" t="n"/>
      <c r="H8" s="67" t="n"/>
      <c r="I8" s="67" t="inlineStr">
        <is>
          <t>n</t>
        </is>
      </c>
      <c r="J8" s="67" t="inlineStr">
        <is>
          <t>OPC 40450-1 Section 11.1 CU-66</t>
        </is>
      </c>
      <c r="K8" s="67" t="n"/>
    </row>
    <row r="9" ht="51.6" customHeight="1" s="132">
      <c r="A9" s="61" t="n"/>
      <c r="B9" s="61" t="n"/>
      <c r="C9" s="61" t="n">
        <v>1</v>
      </c>
      <c r="D9" s="61" t="inlineStr">
        <is>
          <t>Call EnableAsset with a valid Tool ProductInstanceUri and IsEnabled=False.</t>
        </is>
      </c>
      <c r="E9" s="61" t="inlineStr">
        <is>
          <t>A Tool asset currently enabled (IsEnabled=True). EnableAsset method executable.</t>
        </is>
      </c>
      <c r="F9" s="61" t="inlineStr">
        <is>
          <t>Method returns StatusCode = Good. IsEnabled property transitions to False. Tool is no longer available for new joining operations.</t>
        </is>
      </c>
      <c r="G9" s="61" t="inlineStr">
        <is>
          <t>Good</t>
        </is>
      </c>
      <c r="H9" s="61" t="inlineStr">
        <is>
          <t>Good returned; IsEnabled=False verified by subsequent Read of IsEnabled property</t>
        </is>
      </c>
      <c r="I9" s="61" t="n"/>
      <c r="J9" s="61" t="inlineStr">
        <is>
          <t>OPC 40450-1 Section 11.1 CU-66</t>
        </is>
      </c>
      <c r="K9" s="61" t="n"/>
    </row>
    <row r="10" ht="25.8" customHeight="1" s="132">
      <c r="A10" s="67" t="inlineStr">
        <is>
          <t>y</t>
        </is>
      </c>
      <c r="B10" s="67" t="n">
        <v>6</v>
      </c>
      <c r="C10" s="67" t="n">
        <v>0</v>
      </c>
      <c r="D10" s="67" t="inlineStr">
        <is>
          <t>ET-6: Verify JoiningSystemEventType event generated on enable/disable (if Asset Enable State Event CU supported)</t>
        </is>
      </c>
      <c r="E10" s="67" t="n"/>
      <c r="F10" s="67" t="n"/>
      <c r="G10" s="67" t="n"/>
      <c r="H10" s="67" t="n"/>
      <c r="I10" s="67" t="inlineStr">
        <is>
          <t>n</t>
        </is>
      </c>
      <c r="J10" s="67" t="inlineStr">
        <is>
          <t>OPC 40450-1 Section 11.1 CU-66</t>
        </is>
      </c>
      <c r="K10" s="67" t="n"/>
    </row>
    <row r="11" ht="64.5" customHeight="1" s="132">
      <c r="A11" s="61" t="n"/>
      <c r="B11" s="61" t="n"/>
      <c r="C11" s="61" t="n">
        <v>1</v>
      </c>
      <c r="D11" s="61" t="inlineStr">
        <is>
          <t>Subscribe to events. Call EnableAsset to toggle the enabled state. Wait for event notification.</t>
        </is>
      </c>
      <c r="E11" s="61" t="inlineStr">
        <is>
          <t>Event subscription active. EnableAsset callable. Asset Enable State Event CU is declared as supported.</t>
        </is>
      </c>
      <c r="F11" s="61" t="inlineStr">
        <is>
          <t>A JoiningSystemEventType (or AssetEnableStateEventType) event is received. Event references the enable/disable state change.</t>
        </is>
      </c>
      <c r="G11" s="61" t="inlineStr">
        <is>
          <t>Good</t>
        </is>
      </c>
      <c r="H11" s="61" t="inlineStr">
        <is>
          <t>JoiningSystemEventType or AssetEnableStateEventType event received; state change reflected</t>
        </is>
      </c>
      <c r="I11" s="61" t="n"/>
      <c r="J11" s="61" t="inlineStr">
        <is>
          <t>OPC 40450-1 Section 11.1 CU-66</t>
        </is>
      </c>
      <c r="K11" s="61" t="inlineStr">
        <is>
          <t>Only applicable if Asset Enable State Event CU is declared supported</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ET-4 (error): Call EnableAsset with invalid ProductInstanceUri; verify Uncertain with Status=2</t>
        </is>
      </c>
      <c r="E13" s="69" t="n"/>
      <c r="F13" s="69" t="n"/>
      <c r="G13" s="69" t="n"/>
      <c r="H13" s="69" t="n"/>
      <c r="I13" s="69" t="inlineStr">
        <is>
          <t>n</t>
        </is>
      </c>
      <c r="J13" s="69" t="inlineStr">
        <is>
          <t>OPC 40450-1 Section 11.1 CU-66</t>
        </is>
      </c>
      <c r="K13" s="69" t="n"/>
    </row>
    <row r="14" ht="38.7" customHeight="1" s="132">
      <c r="A14" s="61" t="n"/>
      <c r="B14" s="61" t="n"/>
      <c r="C14" s="61" t="n">
        <v>1</v>
      </c>
      <c r="D14" s="61" t="inlineStr">
        <is>
          <t>Call EnableAsset with a ProductInstanceUri that does not correspond to any known asset.</t>
        </is>
      </c>
      <c r="E14" s="61" t="inlineStr">
        <is>
          <t>EnableAsset method available.</t>
        </is>
      </c>
      <c r="F14" s="61" t="inlineStr">
        <is>
          <t>Call Service returns Good; method result code is Uncertain. Status output is 2 (ProductInstanceUri not found). StatusMessage explains the rejected input; no state change is performed.</t>
        </is>
      </c>
      <c r="G14" s="61" t="inlineStr">
        <is>
          <t>Good</t>
        </is>
      </c>
      <c r="H14" s="61" t="inlineStr">
        <is>
          <t>Uncertain; Status=2 output with StatusMessage</t>
        </is>
      </c>
      <c r="I14" s="61" t="n"/>
      <c r="J14" s="61" t="inlineStr">
        <is>
          <t>OPC 40450-1 Section 11.1 CU-66</t>
        </is>
      </c>
      <c r="K14" s="61" t="n"/>
    </row>
    <row r="15" ht="25.8" customHeight="1" s="132">
      <c r="A15" s="69" t="inlineStr">
        <is>
          <t>n</t>
        </is>
      </c>
      <c r="B15" s="69" t="n">
        <v>5</v>
      </c>
      <c r="C15" s="69" t="n">
        <v>0</v>
      </c>
      <c r="D15" s="69" t="inlineStr">
        <is>
          <t>ET-5 (error): Call EnableAsset with non-Tool asset; verify Uncertain with Status=3</t>
        </is>
      </c>
      <c r="E15" s="69" t="n"/>
      <c r="F15" s="69" t="n"/>
      <c r="G15" s="69" t="n"/>
      <c r="H15" s="69" t="n"/>
      <c r="I15" s="69" t="inlineStr">
        <is>
          <t>n</t>
        </is>
      </c>
      <c r="J15" s="69" t="inlineStr">
        <is>
          <t>OPC 40450-1 Section 11.1 CU-66</t>
        </is>
      </c>
      <c r="K15" s="69" t="n"/>
    </row>
    <row r="16" ht="51.6" customHeight="1" s="132">
      <c r="A16" s="61" t="n"/>
      <c r="B16" s="61" t="n"/>
      <c r="C16" s="61" t="n">
        <v>1</v>
      </c>
      <c r="D16" s="61" t="inlineStr">
        <is>
          <t>Call EnableAsset with a ProductInstanceUri of an asset that is NOT a Tool (e.g. a fixture or workpiece holder if such assets exist).</t>
        </is>
      </c>
      <c r="E16" s="61" t="inlineStr">
        <is>
          <t>EnableAsset method available. A non-Tool asset exists in AssetManagement.</t>
        </is>
      </c>
      <c r="F16" s="61" t="inlineStr">
        <is>
          <t>Call Service returns Good; method result code is Uncertain. Status output is 3 (ProductInstanceUri not applicable). StatusMessage explains the rejected input; no state change is performed.</t>
        </is>
      </c>
      <c r="G16" s="61" t="inlineStr">
        <is>
          <t>Good</t>
        </is>
      </c>
      <c r="H16" s="61" t="inlineStr">
        <is>
          <t>Uncertain; Status=3 output with StatusMessage</t>
        </is>
      </c>
      <c r="I16" s="61" t="n"/>
      <c r="J16" s="61" t="inlineStr">
        <is>
          <t>OPC 40450-1 Section 11.1 CU-66</t>
        </is>
      </c>
      <c r="K16" s="61" t="inlineStr">
        <is>
          <t>Requires an available non-Tool asset in AssetManagement.</t>
        </is>
      </c>
    </row>
    <row r="17">
      <c r="A17" s="110" t="inlineStr">
        <is>
          <t>n</t>
        </is>
      </c>
      <c r="B17" s="110" t="n">
        <v>6</v>
      </c>
      <c r="C17" s="110" t="n">
        <v>0</v>
      </c>
      <c r="D17" s="110" t="inlineStr">
        <is>
          <t>Verify EnableTool raises AssetEnabledConditionClass event</t>
        </is>
      </c>
      <c r="E17" s="110" t="n"/>
      <c r="F17" s="110" t="n"/>
      <c r="G17" s="110" t="n"/>
      <c r="H17" s="110" t="n"/>
      <c r="I17" s="110" t="inlineStr">
        <is>
          <t>n</t>
        </is>
      </c>
      <c r="J17" s="110" t="inlineStr">
        <is>
          <t>OPC 40450-1 Section 11.1 CU-66</t>
        </is>
      </c>
      <c r="K17" s="110" t="n"/>
    </row>
    <row r="18" ht="25.8" customHeight="1" s="132">
      <c r="A18" s="111" t="n"/>
      <c r="B18" s="111" t="n"/>
      <c r="C18" s="111" t="n">
        <v>1</v>
      </c>
      <c r="D18" s="111" t="inlineStr">
        <is>
          <t>Subscribe events. Call EnableTool.</t>
        </is>
      </c>
      <c r="E18" s="111" t="inlineStr">
        <is>
          <t>Server claims this Conformance Unit; no additional runtime setup is needed for this step.</t>
        </is>
      </c>
      <c r="F18" s="111" t="inlineStr">
        <is>
          <t>Event with AssetEnabledConditionClassType received.</t>
        </is>
      </c>
      <c r="G18" s="111" t="inlineStr">
        <is>
          <t>Good</t>
        </is>
      </c>
      <c r="H18" s="111" t="n"/>
      <c r="I18" s="111" t="n"/>
      <c r="J18" s="111" t="inlineStr">
        <is>
          <t>OPC 40450-1 Section 11.1 CU-66</t>
        </is>
      </c>
      <c r="K18" s="111" t="inlineStr">
        <is>
          <t>Requirement source: OPC 40450-1 Section 9.3 / Section 11 - AssetEnabledConditionClassType.</t>
        </is>
      </c>
    </row>
    <row r="19">
      <c r="A19" s="110" t="inlineStr">
        <is>
          <t>n</t>
        </is>
      </c>
      <c r="B19" s="110" t="n">
        <v>7</v>
      </c>
      <c r="C19" s="110" t="n">
        <v>0</v>
      </c>
      <c r="D19" s="110" t="inlineStr">
        <is>
          <t>Call EnableTool with null/empty ProductInstanceUri</t>
        </is>
      </c>
      <c r="E19" s="110" t="n"/>
      <c r="F19" s="110" t="n"/>
      <c r="G19" s="110" t="n"/>
      <c r="H19" s="110" t="n"/>
      <c r="I19" s="110" t="inlineStr">
        <is>
          <t>n</t>
        </is>
      </c>
      <c r="J19" s="110" t="inlineStr">
        <is>
          <t>OPC 40450-1 Section 11.1 CU-66</t>
        </is>
      </c>
      <c r="K19" s="110" t="n"/>
    </row>
    <row r="20" ht="25.8" customHeight="1" s="132">
      <c r="A20" s="111" t="n"/>
      <c r="B20" s="111" t="n"/>
      <c r="C20" s="111" t="n">
        <v>1</v>
      </c>
      <c r="D20" s="111" t="inlineStr">
        <is>
          <t>Call EnableTool passing null or empty string.</t>
        </is>
      </c>
      <c r="E20" s="111" t="inlineStr">
        <is>
          <t>Server claims this Conformance Unit; no additional runtime setup is needed for this step.</t>
        </is>
      </c>
      <c r="F20" s="111" t="inlineStr">
        <is>
          <t>Call Service returns Good; method result code is Uncertain. Status output is 5 (invalid input). StatusMessage explains the rejected input; no state change is performed.</t>
        </is>
      </c>
      <c r="G20" s="111" t="inlineStr">
        <is>
          <t>Good</t>
        </is>
      </c>
      <c r="H20" s="111" t="inlineStr">
        <is>
          <t>Uncertain; Status=5 output with StatusMessage</t>
        </is>
      </c>
      <c r="I20" s="111" t="n"/>
      <c r="J20" s="111" t="inlineStr">
        <is>
          <t>OPC 40450-1 Section 11.1 CU-66</t>
        </is>
      </c>
      <c r="K20" s="111" t="inlineStr">
        <is>
          <t>Requirement source: OPC 40450-1 Section 9.3 - ProductInstanceUri required.</t>
        </is>
      </c>
    </row>
    <row r="21">
      <c r="A21" s="110" t="inlineStr">
        <is>
          <t>n</t>
        </is>
      </c>
      <c r="B21" s="110" t="n">
        <v>8</v>
      </c>
      <c r="C21" s="110" t="n">
        <v>0</v>
      </c>
      <c r="D21" s="110" t="inlineStr">
        <is>
          <t>Verify EnableTool on already-enabled tool is idempotent</t>
        </is>
      </c>
      <c r="E21" s="110" t="n"/>
      <c r="F21" s="110" t="n"/>
      <c r="G21" s="110" t="n"/>
      <c r="H21" s="110" t="n"/>
      <c r="I21" s="110" t="inlineStr">
        <is>
          <t>n</t>
        </is>
      </c>
      <c r="J21" s="110" t="inlineStr">
        <is>
          <t>OPC 40450-1 Section 11.1 CU-66</t>
        </is>
      </c>
      <c r="K21" s="110" t="n"/>
    </row>
    <row r="22">
      <c r="A22" s="111" t="n"/>
      <c r="B22" s="111" t="n"/>
      <c r="C22" s="111" t="n">
        <v>1</v>
      </c>
      <c r="D22" s="111" t="inlineStr">
        <is>
          <t>Enable tool. Call EnableTool again.</t>
        </is>
      </c>
      <c r="E22" s="111" t="inlineStr">
        <is>
          <t>Server claims this Conformance Unit; no additional runtime setup is needed for this step.</t>
        </is>
      </c>
      <c r="F22" s="111" t="inlineStr">
        <is>
          <t>Returns Good. Tool remains enabled.</t>
        </is>
      </c>
      <c r="G22" s="111" t="inlineStr">
        <is>
          <t>Good</t>
        </is>
      </c>
      <c r="H22" s="111" t="n"/>
      <c r="I22" s="111" t="n"/>
      <c r="J22" s="111" t="inlineStr">
        <is>
          <t>OPC 40450-1 Section 11.1 CU-66</t>
        </is>
      </c>
      <c r="K22" s="111" t="inlineStr">
        <is>
          <t>Requirement source: OPC 40450-1 Section 9.3 - Idempotent behavior.</t>
        </is>
      </c>
    </row>
  </sheetData>
  <mergeCells count="2">
    <mergeCell ref="A1:K1"/>
    <mergeCell ref="C2:J2"/>
  </mergeCells>
  <pageMargins left="0.7" right="0.7" top="0.75" bottom="0.75" header="0.3" footer="0.3"/>
</worksheet>
</file>

<file path=xl/worksheets/sheet73.xml><?xml version="1.0" encoding="utf-8"?>
<worksheet xmlns="http://schemas.openxmlformats.org/spreadsheetml/2006/main">
  <sheetPr codeName="Sheet68">
    <tabColor rgb="FF2E75B6"/>
    <outlinePr summaryBelow="1" summaryRight="1"/>
    <pageSetUpPr/>
  </sheetPr>
  <dimension ref="A1:N48"/>
  <sheetViews>
    <sheetView workbookViewId="0">
      <pane ySplit="3" topLeftCell="A4" activePane="bottomLeft" state="frozen"/>
      <selection pane="bottomLeft" activeCell="E11" sqref="E11"/>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CU-67: Send Identifiers Methods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CU-67 — Send Identifiers Methods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SI-1: Browse MethodSet for SendIdentifiers or SendTextIdentifiers; verify at least one present</t>
        </is>
      </c>
      <c r="E4" s="58" t="n"/>
      <c r="F4" s="58" t="n"/>
      <c r="G4" s="58" t="n"/>
      <c r="H4" s="58" t="n"/>
      <c r="I4" s="58" t="inlineStr">
        <is>
          <t>n</t>
        </is>
      </c>
      <c r="J4" s="58" t="inlineStr">
        <is>
          <t>OPC 40450-1 Section 11.1 CU-67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AssetManagement.MethodSet (or JoiningSystem.MethodSet) for SendIdentifiers and/or SendTextIdentifiers method nodes.</t>
        </is>
      </c>
      <c r="E5" s="89" t="inlineStr">
        <is>
          <t>IJT server running with MethodSet accessible.</t>
        </is>
      </c>
      <c r="F5" s="89" t="inlineStr">
        <is>
          <t>At least one of SendIdentifiers or SendTextIdentifiers is present. Found method has NodeClass=Method and Executable=True.</t>
        </is>
      </c>
      <c r="G5" s="89" t="inlineStr">
        <is>
          <t>Good</t>
        </is>
      </c>
      <c r="H5" s="89" t="inlineStr">
        <is>
          <t>At least one of SendIdentifiers or SendTextIdentifiers found; Executable=True</t>
        </is>
      </c>
      <c r="I5" s="89" t="n"/>
      <c r="J5" s="89" t="inlineStr">
        <is>
          <t>OPC 40450-1 Section 11.1 CU-67</t>
        </is>
      </c>
      <c r="K5" s="90" t="n"/>
      <c r="L5" s="27" t="n"/>
      <c r="M5" s="28" t="n"/>
      <c r="N5" s="28" t="n"/>
    </row>
    <row r="6" ht="26.1" customHeight="1" s="132">
      <c r="A6" s="56" t="inlineStr">
        <is>
          <t>y</t>
        </is>
      </c>
      <c r="B6" s="57" t="n">
        <v>2</v>
      </c>
      <c r="C6" s="58" t="n">
        <v>0</v>
      </c>
      <c r="D6" s="58" t="inlineStr">
        <is>
          <t>SI-2: Call SendIdentifiers with valid ProductInstanceUri and at least one EntityDataType; verify Good</t>
        </is>
      </c>
      <c r="E6" s="58" t="n"/>
      <c r="F6" s="58" t="n"/>
      <c r="G6" s="58" t="n"/>
      <c r="H6" s="58" t="n"/>
      <c r="I6" s="58" t="inlineStr">
        <is>
          <t>n</t>
        </is>
      </c>
      <c r="J6" s="58" t="inlineStr">
        <is>
          <t>OPC 40450-1 Section 11.1 CU-67</t>
        </is>
      </c>
      <c r="K6" s="74" t="n"/>
      <c r="L6" s="27" t="n"/>
      <c r="M6" s="28" t="n"/>
      <c r="N6" s="28" t="n"/>
    </row>
    <row r="7" ht="38.7" customHeight="1" s="132">
      <c r="A7" s="87" t="n"/>
      <c r="B7" s="88" t="n"/>
      <c r="C7" s="89" t="n">
        <v>1</v>
      </c>
      <c r="D7" s="89" t="inlineStr">
        <is>
          <t>Construct an EntityDataType with mandatory fields populated (for example EntityType from OPC 40450-1 Table 226 and EntityId="Part-001"). Call SendIdentifiers with a valid ProductInstanceUri and the identifier.</t>
        </is>
      </c>
      <c r="E7" s="89" t="inlineStr">
        <is>
          <t>SendIdentifiers method executable. Valid ProductInstanceUri known.</t>
        </is>
      </c>
      <c r="F7" s="89" t="inlineStr">
        <is>
          <t>Method returns StatusCode = Good. Identifier is accepted by the server.</t>
        </is>
      </c>
      <c r="G7" s="89" t="inlineStr">
        <is>
          <t>Good</t>
        </is>
      </c>
      <c r="H7" s="89" t="inlineStr">
        <is>
          <t>Good returned; identifier accepted; no error returned</t>
        </is>
      </c>
      <c r="I7" s="89" t="n"/>
      <c r="J7" s="89" t="inlineStr">
        <is>
          <t>OPC 40450-1 Section 11.1 CU-67</t>
        </is>
      </c>
      <c r="K7" s="90" t="n"/>
      <c r="L7" s="27" t="n"/>
      <c r="M7" s="28" t="n"/>
      <c r="N7" s="28" t="n"/>
    </row>
    <row r="8" ht="26.1" customHeight="1" s="132">
      <c r="A8" s="56" t="inlineStr">
        <is>
          <t>y</t>
        </is>
      </c>
      <c r="B8" s="57" t="n">
        <v>3</v>
      </c>
      <c r="C8" s="58" t="n">
        <v>0</v>
      </c>
      <c r="D8" s="58" t="inlineStr">
        <is>
          <t>SI-3: Verify sent identifiers accessible via GetIdentifiers or reflected in subsequent results</t>
        </is>
      </c>
      <c r="E8" s="58" t="n"/>
      <c r="F8" s="58" t="n"/>
      <c r="G8" s="58" t="n"/>
      <c r="H8" s="58" t="n"/>
      <c r="I8" s="58" t="inlineStr">
        <is>
          <t>n</t>
        </is>
      </c>
      <c r="J8" s="58" t="inlineStr">
        <is>
          <t>OPC 40450-1 Section 11.1 CU-67</t>
        </is>
      </c>
      <c r="K8" s="74" t="n"/>
      <c r="L8" s="27" t="n"/>
      <c r="M8" s="28" t="n"/>
      <c r="N8" s="28" t="n"/>
    </row>
    <row r="9" ht="26.1" customHeight="1" s="132">
      <c r="A9" s="87" t="n"/>
      <c r="B9" s="88" t="n"/>
      <c r="C9" s="89" t="n">
        <v>1</v>
      </c>
      <c r="D9" s="89" t="inlineStr">
        <is>
          <t>After calling SendIdentifiers successfully, either call GetIdentifiers for the same ProductInstanceUri, or trigger a joining operation and inspect the result AssociatedEntities.</t>
        </is>
      </c>
      <c r="E9" s="89" t="inlineStr">
        <is>
          <t>SendIdentifiers completed with Good. GetIdentifiers available OR joining operation executable.</t>
        </is>
      </c>
      <c r="F9" s="89" t="inlineStr">
        <is>
          <t>GetIdentifiers returns the sent identifier data (matching EntityType and EntityId), OR subsequent result has the identifier in AssociatedEntities. Identifier is persisted and accessible.</t>
        </is>
      </c>
      <c r="G9" s="89" t="inlineStr">
        <is>
          <t>Good</t>
        </is>
      </c>
      <c r="H9" s="89" t="inlineStr">
        <is>
          <t>Sent identifiers found in GetIdentifiers response or in subsequent result AssociatedEntities</t>
        </is>
      </c>
      <c r="I9" s="89" t="n"/>
      <c r="J9" s="89" t="inlineStr">
        <is>
          <t>OPC 40450-1 Section 11.1 CU-67</t>
        </is>
      </c>
      <c r="K9" s="90" t="n"/>
      <c r="L9" s="27" t="n"/>
      <c r="M9" s="28" t="n"/>
      <c r="N9" s="28" t="n"/>
    </row>
    <row r="10" ht="25.8" customHeight="1" s="132">
      <c r="A10" s="56" t="inlineStr">
        <is>
          <t>y</t>
        </is>
      </c>
      <c r="B10" s="57" t="n">
        <v>6</v>
      </c>
      <c r="C10" s="58" t="n">
        <v>0</v>
      </c>
      <c r="D10" s="58" t="inlineStr">
        <is>
          <t>SI-6: Verify IdentifiersEvent is generated after SendIdentifiers (if CU-85 supported)</t>
        </is>
      </c>
      <c r="E10" s="58" t="n"/>
      <c r="F10" s="58" t="n"/>
      <c r="G10" s="58" t="n"/>
      <c r="H10" s="58" t="n"/>
      <c r="I10" s="58" t="inlineStr">
        <is>
          <t>n</t>
        </is>
      </c>
      <c r="J10" s="58" t="inlineStr">
        <is>
          <t>OPC 40450-1 Section 11.1 CU-67</t>
        </is>
      </c>
      <c r="K10" s="74" t="n"/>
      <c r="L10" s="27" t="n"/>
      <c r="M10" s="28" t="n"/>
      <c r="N10" s="28" t="n"/>
    </row>
    <row r="11" ht="26.1" customHeight="1" s="132">
      <c r="A11" s="87" t="n"/>
      <c r="B11" s="88" t="n"/>
      <c r="C11" s="89" t="n">
        <v>1</v>
      </c>
      <c r="D11" s="89" t="inlineStr">
        <is>
          <t>Subscribe to events. Call SendIdentifiers. Wait for an IdentifiersEvent notification.</t>
        </is>
      </c>
      <c r="E11" s="89" t="inlineStr">
        <is>
          <t>Event subscription active. SendIdentifiers callable. CU-85 declared as supported.</t>
        </is>
      </c>
      <c r="F11" s="89" t="inlineStr">
        <is>
          <t>An IdentifiersEvent is received after SendIdentifiers. Event payload contains the sent identifier data.</t>
        </is>
      </c>
      <c r="G11" s="89" t="inlineStr">
        <is>
          <t>Good</t>
        </is>
      </c>
      <c r="H11" s="89" t="inlineStr">
        <is>
          <t>IdentifiersEvent received; event payload matches sent identifiers</t>
        </is>
      </c>
      <c r="I11" s="89" t="n"/>
      <c r="J11" s="89" t="inlineStr">
        <is>
          <t>OPC 40450-1 Section 11.1 CU-67</t>
        </is>
      </c>
      <c r="K11" s="90" t="inlineStr">
        <is>
          <t>Only applicable if CU-85 (Identifiers Event) is declared supported</t>
        </is>
      </c>
      <c r="L11" s="27" t="n"/>
      <c r="M11" s="28" t="n"/>
      <c r="N11" s="28" t="n"/>
    </row>
    <row r="12" ht="26.1" customHeight="1" s="132">
      <c r="A12" s="91" t="inlineStr">
        <is>
          <t>Error Test Cases</t>
        </is>
      </c>
      <c r="B12" s="92" t="n"/>
      <c r="C12" s="93" t="n"/>
      <c r="D12" s="93" t="n"/>
      <c r="E12" s="93" t="n"/>
      <c r="F12" s="93" t="n"/>
      <c r="G12" s="93" t="n"/>
      <c r="H12" s="93" t="n"/>
      <c r="I12" s="93" t="n"/>
      <c r="J12" s="93" t="n"/>
      <c r="K12" s="94" t="n"/>
      <c r="L12" s="27" t="n"/>
      <c r="M12" s="28" t="n"/>
      <c r="N12" s="28" t="n"/>
    </row>
    <row r="13" ht="39" customHeight="1" s="132">
      <c r="A13" s="95" t="inlineStr">
        <is>
          <t>n</t>
        </is>
      </c>
      <c r="B13" s="96" t="n">
        <v>4</v>
      </c>
      <c r="C13" s="97" t="n">
        <v>0</v>
      </c>
      <c r="D13" s="97" t="inlineStr">
        <is>
          <t>SI-4 (error): Call SendIdentifiers with invalid ProductInstanceUri; verify Uncertain with Status=2</t>
        </is>
      </c>
      <c r="E13" s="97" t="n"/>
      <c r="F13" s="97" t="n"/>
      <c r="G13" s="97" t="n"/>
      <c r="H13" s="97" t="n"/>
      <c r="I13" s="97" t="inlineStr">
        <is>
          <t>n</t>
        </is>
      </c>
      <c r="J13" s="97" t="inlineStr">
        <is>
          <t>OPC 40450-1 Section 11.1 CU-67</t>
        </is>
      </c>
      <c r="K13" s="98" t="n"/>
      <c r="L13" s="27" t="n"/>
      <c r="M13" s="28" t="n"/>
      <c r="N13" s="28" t="n"/>
    </row>
    <row r="14" ht="26.1" customHeight="1" s="132">
      <c r="A14" s="87" t="n"/>
      <c r="B14" s="88" t="n"/>
      <c r="C14" s="89" t="n">
        <v>1</v>
      </c>
      <c r="D14" s="89" t="inlineStr">
        <is>
          <t>Call SendIdentifiers with a ProductInstanceUri that does not correspond to any known asset.</t>
        </is>
      </c>
      <c r="E14" s="89" t="inlineStr">
        <is>
          <t>SendIdentifiers method available.</t>
        </is>
      </c>
      <c r="F14" s="89" t="inlineStr">
        <is>
          <t>Call Service returns Good; method result code is Uncertain. Status output is 2 (ProductInstanceUri not found). StatusMessage explains the rejected input; no state change is performed.</t>
        </is>
      </c>
      <c r="G14" s="89" t="inlineStr">
        <is>
          <t>Good</t>
        </is>
      </c>
      <c r="H14" s="89" t="inlineStr">
        <is>
          <t>Uncertain; Status=2 output with StatusMessage</t>
        </is>
      </c>
      <c r="I14" s="89" t="n"/>
      <c r="J14" s="89" t="inlineStr">
        <is>
          <t>OPC 40450-1 Section 11.1 CU-67</t>
        </is>
      </c>
      <c r="K14" s="90" t="n"/>
      <c r="L14" s="27" t="n"/>
      <c r="M14" s="28" t="n"/>
      <c r="N14" s="28" t="n"/>
    </row>
    <row r="15" ht="26.1" customHeight="1" s="132">
      <c r="A15" s="95" t="inlineStr">
        <is>
          <t>n</t>
        </is>
      </c>
      <c r="B15" s="96" t="n">
        <v>5</v>
      </c>
      <c r="C15" s="97" t="n">
        <v>0</v>
      </c>
      <c r="D15" s="97" t="inlineStr">
        <is>
          <t>SI-5 (error): Call SendIdentifiers with malformed identifier data; verify Uncertain with Status=5</t>
        </is>
      </c>
      <c r="E15" s="97" t="n"/>
      <c r="F15" s="97" t="n"/>
      <c r="G15" s="97" t="n"/>
      <c r="H15" s="97" t="n"/>
      <c r="I15" s="97" t="inlineStr">
        <is>
          <t>n</t>
        </is>
      </c>
      <c r="J15" s="97" t="inlineStr">
        <is>
          <t>OPC 40450-1 Section 11.1 CU-67</t>
        </is>
      </c>
      <c r="K15" s="98" t="n"/>
      <c r="L15" s="27" t="n"/>
      <c r="M15" s="28" t="n"/>
      <c r="N15" s="28" t="n"/>
    </row>
    <row r="16" ht="39" customHeight="1" s="132">
      <c r="A16" s="87" t="n"/>
      <c r="B16" s="88" t="n"/>
      <c r="C16" s="89" t="n">
        <v>1</v>
      </c>
      <c r="D16" s="89" t="inlineStr">
        <is>
          <t>Call SendIdentifiers with an EntityDataType where required fields are missing or contain invalid values (e.g. EntityType out of range, empty mandatory string).</t>
        </is>
      </c>
      <c r="E16" s="89" t="inlineStr">
        <is>
          <t>SendIdentifiers method available.</t>
        </is>
      </c>
      <c r="F16" s="89" t="inlineStr">
        <is>
          <t>Call Service returns Good; method result code is Uncertain. Status output is 5 (invalid input). StatusMessage explains the rejected input; no state change is performed.</t>
        </is>
      </c>
      <c r="G16" s="89" t="inlineStr">
        <is>
          <t>Good</t>
        </is>
      </c>
      <c r="H16" s="89" t="inlineStr">
        <is>
          <t>Uncertain; Status=5 output with StatusMessage</t>
        </is>
      </c>
      <c r="I16" s="89" t="n"/>
      <c r="J16" s="89" t="inlineStr">
        <is>
          <t>OPC 40450-1 Section 11.1 CU-67</t>
        </is>
      </c>
      <c r="K16" s="90" t="n"/>
      <c r="L16" s="27" t="n"/>
      <c r="M16" s="28" t="n"/>
      <c r="N16" s="28" t="n"/>
    </row>
    <row r="17" ht="26.1" customHeight="1" s="132">
      <c r="A17" s="112" t="inlineStr">
        <is>
          <t>n</t>
        </is>
      </c>
      <c r="B17" s="113" t="n">
        <v>6</v>
      </c>
      <c r="C17" s="114" t="n">
        <v>0</v>
      </c>
      <c r="D17" s="114" t="inlineStr">
        <is>
          <t>Call SendIdentifiers with EntityId=empty string</t>
        </is>
      </c>
      <c r="E17" s="114" t="n"/>
      <c r="F17" s="114" t="n"/>
      <c r="G17" s="114" t="n"/>
      <c r="H17" s="114" t="n"/>
      <c r="I17" s="114" t="inlineStr">
        <is>
          <t>n</t>
        </is>
      </c>
      <c r="J17" s="114" t="inlineStr">
        <is>
          <t>OPC 40450-1 Section 11.1 CU-67</t>
        </is>
      </c>
      <c r="K17" s="115" t="n"/>
      <c r="L17" s="27" t="n"/>
      <c r="M17" s="28" t="n"/>
      <c r="N17" s="28" t="n"/>
    </row>
    <row r="18" ht="26.1" customHeight="1" s="132">
      <c r="A18" s="116" t="n"/>
      <c r="B18" s="117" t="n"/>
      <c r="C18" s="118" t="n">
        <v>1</v>
      </c>
      <c r="D18" s="118" t="inlineStr">
        <is>
          <t>Call SendIdentifiers with EntityId=''.</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CU-67</t>
        </is>
      </c>
      <c r="K18" s="119" t="inlineStr">
        <is>
          <t>Requirement source: OPC 40450-1 Section 9.4 - EntityId is TrimmedString, cannot be empty.</t>
        </is>
      </c>
      <c r="L18" s="27" t="n"/>
      <c r="M18" s="28" t="n"/>
      <c r="N18" s="28" t="n"/>
    </row>
    <row r="19" ht="39" customHeight="1" s="132">
      <c r="A19" s="112" t="inlineStr">
        <is>
          <t>n</t>
        </is>
      </c>
      <c r="B19" s="113" t="n">
        <v>7</v>
      </c>
      <c r="C19" s="114" t="n">
        <v>0</v>
      </c>
      <c r="D19" s="114" t="inlineStr">
        <is>
          <t>Call SendIdentifiers with EntityType out of range (&gt;42)</t>
        </is>
      </c>
      <c r="E19" s="114" t="n"/>
      <c r="F19" s="114" t="n"/>
      <c r="G19" s="114" t="n"/>
      <c r="H19" s="114" t="n"/>
      <c r="I19" s="114" t="inlineStr">
        <is>
          <t>n</t>
        </is>
      </c>
      <c r="J19" s="114" t="inlineStr">
        <is>
          <t>OPC 40450-1 Section 11.1 CU-67</t>
        </is>
      </c>
      <c r="K19" s="115" t="n"/>
      <c r="L19" s="27" t="n"/>
      <c r="M19" s="28" t="n"/>
      <c r="N19" s="28" t="n"/>
    </row>
    <row r="20" ht="39" customHeight="1" s="132">
      <c r="A20" s="116" t="n"/>
      <c r="B20" s="117" t="n"/>
      <c r="C20" s="118" t="n">
        <v>1</v>
      </c>
      <c r="D20" s="118" t="inlineStr">
        <is>
          <t>Call SendIdentifiers with EntityType=100.</t>
        </is>
      </c>
      <c r="E20" s="118" t="inlineStr">
        <is>
          <t>Server claims this Conformance Unit; no additional runtime setup is needed for this step.</t>
        </is>
      </c>
      <c r="F20" s="118" t="inlineStr">
        <is>
          <t>Call Service returns Good; method result code is Uncertain. Status output is 5 (invalid input). StatusMessage explains the rejected input; no state change is performed.</t>
        </is>
      </c>
      <c r="G20" s="118" t="inlineStr">
        <is>
          <t>Good</t>
        </is>
      </c>
      <c r="H20" s="118" t="inlineStr">
        <is>
          <t>Uncertain; Status=5 output with StatusMessage</t>
        </is>
      </c>
      <c r="I20" s="118" t="n"/>
      <c r="J20" s="118" t="inlineStr">
        <is>
          <t>OPC 40450-1 Section 11.1 CU-67</t>
        </is>
      </c>
      <c r="K20" s="119" t="inlineStr">
        <is>
          <t>Requirement source: OPC 40450-1 Table 217 - EntityType valid range 0-42.</t>
        </is>
      </c>
      <c r="L20" s="27" t="n"/>
      <c r="M20" s="28" t="n"/>
      <c r="N20" s="28" t="n"/>
    </row>
    <row r="21" ht="39" customHeight="1" s="132">
      <c r="A21" s="112" t="inlineStr">
        <is>
          <t>n</t>
        </is>
      </c>
      <c r="B21" s="113" t="n">
        <v>8</v>
      </c>
      <c r="C21" s="114" t="n">
        <v>0</v>
      </c>
      <c r="D21" s="114" t="inlineStr">
        <is>
          <t>Call SendIdentifiers with IsExternal=False for external identifier</t>
        </is>
      </c>
      <c r="E21" s="114" t="n"/>
      <c r="F21" s="114" t="n"/>
      <c r="G21" s="114" t="n"/>
      <c r="H21" s="114" t="n"/>
      <c r="I21" s="114" t="inlineStr">
        <is>
          <t>n</t>
        </is>
      </c>
      <c r="J21" s="114" t="inlineStr">
        <is>
          <t>OPC 40450-1 Section 11.1 CU-67</t>
        </is>
      </c>
      <c r="K21" s="115" t="n"/>
      <c r="L21" s="27" t="n"/>
      <c r="M21" s="28" t="n"/>
      <c r="N21" s="28" t="n"/>
    </row>
    <row r="22" ht="39" customHeight="1" s="132">
      <c r="A22" s="116" t="n"/>
      <c r="B22" s="117" t="n"/>
      <c r="C22" s="118" t="n">
        <v>1</v>
      </c>
      <c r="D22" s="118" t="inlineStr">
        <is>
          <t>Call with EntityType=20 (VEHICLE) but IsExternal=False.</t>
        </is>
      </c>
      <c r="E22" s="118" t="inlineStr">
        <is>
          <t>Server claims this Conformance Unit; no additional runtime setup is needed for this step.</t>
        </is>
      </c>
      <c r="F22" s="118" t="inlineStr">
        <is>
          <t>Method returns Good but identifier may not appear in external list.</t>
        </is>
      </c>
      <c r="G22" s="118" t="inlineStr">
        <is>
          <t>Good</t>
        </is>
      </c>
      <c r="H22" s="118" t="n"/>
      <c r="I22" s="118" t="n"/>
      <c r="J22" s="118" t="inlineStr">
        <is>
          <t>OPC 40450-1 Section 11.1 CU-67</t>
        </is>
      </c>
      <c r="K22" s="119" t="inlineStr">
        <is>
          <t>Requirement source: OPC 40450-1 Section 10.3 - External entities should have IsExternal=True.</t>
        </is>
      </c>
      <c r="L22" s="27" t="n"/>
      <c r="M22" s="28" t="n"/>
      <c r="N22" s="28" t="n"/>
    </row>
    <row r="23">
      <c r="A23" s="10" t="n"/>
      <c r="B23" s="22" t="n"/>
      <c r="C23" s="8" t="n"/>
      <c r="D23" s="9" t="n"/>
      <c r="E23" s="9" t="n"/>
      <c r="F23" s="9" t="n"/>
      <c r="G23" s="9" t="n"/>
      <c r="H23" s="9" t="n"/>
      <c r="I23" s="9" t="n"/>
      <c r="J23" s="9" t="n"/>
      <c r="K23" s="11" t="n"/>
      <c r="L23" s="27" t="n"/>
      <c r="M23" s="28" t="n"/>
      <c r="N23" s="28" t="n"/>
    </row>
    <row r="24" ht="39" customHeight="1" s="132">
      <c r="A24" s="10" t="n"/>
      <c r="B24" s="22" t="n"/>
      <c r="C24" s="8" t="n"/>
      <c r="D24" s="9" t="n"/>
      <c r="E24" s="9" t="n"/>
      <c r="F24" s="9" t="n"/>
      <c r="G24" s="9" t="n"/>
      <c r="H24" s="9" t="n"/>
      <c r="I24" s="9" t="n"/>
      <c r="J24" s="9" t="n"/>
      <c r="K24" s="11" t="n"/>
      <c r="L24" s="27" t="n"/>
      <c r="M24" s="28" t="n"/>
      <c r="N24" s="28" t="n"/>
    </row>
    <row r="25" ht="26.1" customHeight="1" s="132">
      <c r="A25" s="10" t="n"/>
      <c r="B25" s="22" t="n"/>
      <c r="C25" s="8" t="n"/>
      <c r="D25" s="9" t="n"/>
      <c r="E25" s="9" t="n"/>
      <c r="F25" s="9" t="n"/>
      <c r="G25" s="9" t="n"/>
      <c r="H25" s="9" t="n"/>
      <c r="I25" s="9" t="n"/>
      <c r="J25" s="9" t="n"/>
      <c r="K25" s="11" t="n"/>
      <c r="L25" s="27" t="n"/>
      <c r="M25" s="28" t="n"/>
      <c r="N25" s="28" t="n"/>
    </row>
    <row r="26">
      <c r="A26" s="10" t="n"/>
      <c r="B26" s="22" t="n"/>
      <c r="C26" s="8" t="n"/>
      <c r="D26" s="9" t="n"/>
      <c r="E26" s="9" t="n"/>
      <c r="F26" s="9" t="n"/>
      <c r="G26" s="9" t="n"/>
      <c r="H26" s="9" t="n"/>
      <c r="I26" s="9" t="n"/>
      <c r="J26" s="9" t="n"/>
      <c r="K26" s="11" t="n"/>
      <c r="L26" s="27" t="n"/>
      <c r="M26" s="28" t="n"/>
      <c r="N26" s="28" t="n"/>
    </row>
    <row r="27">
      <c r="A27" s="10" t="n"/>
      <c r="B27" s="22" t="n"/>
      <c r="C27" s="8" t="n"/>
      <c r="D27" s="9" t="n"/>
      <c r="E27" s="9" t="n"/>
      <c r="F27" s="9" t="n"/>
      <c r="G27" s="9" t="n"/>
      <c r="H27" s="9" t="n"/>
      <c r="I27" s="9" t="n"/>
      <c r="J27" s="9" t="n"/>
      <c r="K27" s="11" t="n"/>
      <c r="L27" s="27" t="n"/>
      <c r="M27" s="28" t="n"/>
      <c r="N27" s="28" t="n"/>
    </row>
    <row r="28" ht="39" customHeight="1" s="132">
      <c r="A28" s="10" t="n"/>
      <c r="B28" s="22" t="n"/>
      <c r="C28" s="8" t="n"/>
      <c r="D28" s="9" t="n"/>
      <c r="E28" s="9" t="n"/>
      <c r="F28" s="9" t="n"/>
      <c r="G28" s="9" t="n"/>
      <c r="H28" s="9" t="n"/>
      <c r="I28" s="9" t="n"/>
      <c r="J28" s="9" t="n"/>
      <c r="K28" s="11" t="n"/>
      <c r="L28" s="27" t="n"/>
      <c r="M28" s="28" t="n"/>
      <c r="N28" s="28" t="n"/>
    </row>
    <row r="29" ht="26.1" customHeight="1" s="132">
      <c r="A29" s="10" t="n"/>
      <c r="B29" s="22" t="n"/>
      <c r="C29" s="8" t="n"/>
      <c r="D29" s="9" t="n"/>
      <c r="E29" s="9" t="n"/>
      <c r="F29" s="9" t="n"/>
      <c r="G29" s="9" t="n"/>
      <c r="H29" s="9" t="n"/>
      <c r="I29" s="9" t="n"/>
      <c r="J29" s="9" t="n"/>
      <c r="K29" s="11" t="n"/>
      <c r="L29" s="27" t="n"/>
      <c r="M29" s="28" t="n"/>
      <c r="N29" s="28" t="n"/>
    </row>
    <row r="30">
      <c r="A30" s="10" t="n"/>
      <c r="B30" s="22" t="n"/>
      <c r="C30" s="8" t="n"/>
      <c r="D30" s="9" t="n"/>
      <c r="E30" s="9" t="n"/>
      <c r="F30" s="9" t="n"/>
      <c r="G30" s="9" t="n"/>
      <c r="H30" s="9" t="n"/>
      <c r="I30" s="9" t="n"/>
      <c r="J30" s="9" t="n"/>
      <c r="K30" s="11" t="n"/>
      <c r="L30" s="27" t="n"/>
      <c r="M30" s="28" t="n"/>
      <c r="N30" s="28" t="n"/>
    </row>
    <row r="31">
      <c r="A31" s="10" t="n"/>
      <c r="B31" s="22" t="n"/>
      <c r="C31" s="8" t="n"/>
      <c r="D31" s="9" t="n"/>
      <c r="E31" s="9" t="n"/>
      <c r="F31" s="9" t="n"/>
      <c r="G31" s="9" t="n"/>
      <c r="H31" s="9" t="n"/>
      <c r="I31" s="9" t="n"/>
      <c r="J31" s="9" t="n"/>
      <c r="K31" s="11" t="n"/>
      <c r="L31" s="27" t="n"/>
      <c r="M31" s="28" t="n"/>
      <c r="N31" s="28" t="n"/>
    </row>
    <row r="32" ht="39" customHeight="1" s="132">
      <c r="A32" s="10" t="n"/>
      <c r="B32" s="22" t="n"/>
      <c r="C32" s="8" t="n"/>
      <c r="D32" s="9" t="n"/>
      <c r="E32" s="9" t="n"/>
      <c r="F32" s="9" t="n"/>
      <c r="G32" s="9" t="n"/>
      <c r="H32" s="9" t="n"/>
      <c r="I32" s="9" t="n"/>
      <c r="J32" s="9" t="n"/>
      <c r="K32" s="11" t="n"/>
      <c r="L32" s="27" t="n"/>
      <c r="M32" s="28" t="n"/>
      <c r="N32" s="28" t="n"/>
    </row>
    <row r="33" ht="26.1" customHeight="1" s="132">
      <c r="A33" s="10" t="n"/>
      <c r="B33" s="22" t="n"/>
      <c r="C33" s="8" t="n"/>
      <c r="D33" s="9" t="n"/>
      <c r="E33" s="9" t="n"/>
      <c r="F33" s="9" t="n"/>
      <c r="G33" s="9" t="n"/>
      <c r="H33" s="9" t="n"/>
      <c r="I33" s="9" t="n"/>
      <c r="J33" s="9" t="n"/>
      <c r="K33" s="11" t="n"/>
      <c r="L33" s="27" t="n"/>
      <c r="M33" s="28" t="n"/>
      <c r="N33" s="28" t="n"/>
    </row>
    <row r="34">
      <c r="A34" s="10" t="n"/>
      <c r="B34" s="22" t="n"/>
      <c r="C34" s="8" t="n"/>
      <c r="D34" s="9" t="n"/>
      <c r="E34" s="9" t="n"/>
      <c r="F34" s="9" t="n"/>
      <c r="G34" s="9" t="n"/>
      <c r="H34" s="9" t="n"/>
      <c r="I34" s="9" t="n"/>
      <c r="J34" s="9" t="n"/>
      <c r="K34" s="11" t="n"/>
      <c r="L34" s="27" t="n"/>
      <c r="M34" s="28" t="n"/>
      <c r="N34" s="28" t="n"/>
    </row>
    <row r="35">
      <c r="A35" s="10" t="n"/>
      <c r="B35" s="22" t="n"/>
      <c r="C35" s="8" t="n"/>
      <c r="D35" s="9" t="n"/>
      <c r="E35" s="9" t="n"/>
      <c r="F35" s="9" t="n"/>
      <c r="G35" s="9" t="n"/>
      <c r="H35" s="9" t="n"/>
      <c r="I35" s="9" t="n"/>
      <c r="J35" s="9" t="n"/>
      <c r="K35" s="11" t="n"/>
      <c r="L35" s="27" t="n"/>
      <c r="M35" s="28" t="n"/>
      <c r="N35" s="28" t="n"/>
    </row>
    <row r="36" ht="26.1" customHeight="1" s="132">
      <c r="A36" s="10" t="n"/>
      <c r="B36" s="22" t="n"/>
      <c r="C36" s="8" t="n"/>
      <c r="D36" s="9" t="n"/>
      <c r="E36" s="9" t="n"/>
      <c r="F36" s="9" t="n"/>
      <c r="G36" s="9" t="n"/>
      <c r="H36" s="9" t="n"/>
      <c r="I36" s="9" t="n"/>
      <c r="J36" s="9" t="n"/>
      <c r="K36" s="11" t="n"/>
      <c r="L36" s="27" t="n"/>
      <c r="M36" s="28" t="n"/>
      <c r="N36" s="28" t="n"/>
    </row>
    <row r="37" ht="26.1" customHeight="1" s="132">
      <c r="A37" s="10" t="n"/>
      <c r="B37" s="22" t="n"/>
      <c r="C37" s="8" t="n"/>
      <c r="D37" s="9" t="n"/>
      <c r="E37" s="9" t="n"/>
      <c r="F37" s="9" t="n"/>
      <c r="G37" s="9" t="n"/>
      <c r="H37" s="9" t="n"/>
      <c r="I37" s="9" t="n"/>
      <c r="J37" s="9" t="n"/>
      <c r="K37" s="11" t="n"/>
      <c r="L37" s="27" t="n"/>
      <c r="M37" s="28" t="n"/>
      <c r="N37" s="28" t="n"/>
    </row>
    <row r="38">
      <c r="A38" s="10" t="n"/>
      <c r="B38" s="22" t="n"/>
      <c r="C38" s="8" t="n"/>
      <c r="D38" s="9" t="n"/>
      <c r="E38" s="9" t="n"/>
      <c r="F38" s="9" t="n"/>
      <c r="G38" s="9" t="n"/>
      <c r="H38" s="9" t="n"/>
      <c r="I38" s="9" t="n"/>
      <c r="J38" s="9" t="n"/>
      <c r="K38" s="11" t="n"/>
      <c r="L38" s="27" t="n"/>
      <c r="M38" s="28" t="n"/>
      <c r="N38" s="28" t="n"/>
    </row>
    <row r="39" ht="26.1" customHeight="1" s="132">
      <c r="A39" s="10" t="n"/>
      <c r="B39" s="22" t="n"/>
      <c r="C39" s="8" t="n"/>
      <c r="D39" s="9" t="n"/>
      <c r="E39" s="9" t="n"/>
      <c r="F39" s="9" t="n"/>
      <c r="G39" s="9" t="n"/>
      <c r="H39" s="9" t="n"/>
      <c r="I39" s="9" t="n"/>
      <c r="J39" s="9" t="n"/>
      <c r="K39" s="11" t="n"/>
      <c r="L39" s="27" t="n"/>
      <c r="M39" s="28" t="n"/>
      <c r="N39" s="28" t="n"/>
    </row>
    <row r="40" ht="26.1" customHeight="1" s="132">
      <c r="A40" s="10" t="n"/>
      <c r="B40" s="22" t="n"/>
      <c r="C40" s="8" t="n"/>
      <c r="D40" s="9" t="n"/>
      <c r="E40" s="9" t="n"/>
      <c r="F40" s="9" t="n"/>
      <c r="G40" s="9" t="n"/>
      <c r="H40" s="9" t="n"/>
      <c r="I40" s="9" t="n"/>
      <c r="J40" s="9" t="n"/>
      <c r="K40" s="11" t="n"/>
      <c r="L40" s="27" t="n"/>
      <c r="M40" s="28" t="n"/>
      <c r="N40" s="28" t="n"/>
    </row>
    <row r="41">
      <c r="A41" s="10" t="n"/>
      <c r="B41" s="22" t="n"/>
      <c r="C41" s="8" t="n"/>
      <c r="D41" s="9" t="n"/>
      <c r="E41" s="9" t="n"/>
      <c r="F41" s="9" t="n"/>
      <c r="G41" s="9" t="n"/>
      <c r="H41" s="9" t="n"/>
      <c r="I41" s="9" t="n"/>
      <c r="J41" s="9" t="n"/>
      <c r="K41" s="11" t="n"/>
      <c r="L41" s="27" t="n"/>
      <c r="M41" s="28" t="n"/>
      <c r="N41" s="28" t="n"/>
    </row>
    <row r="42" ht="26.1" customHeight="1" s="132">
      <c r="A42" s="10" t="n"/>
      <c r="B42" s="22" t="n"/>
      <c r="C42" s="8" t="n"/>
      <c r="D42" s="9" t="n"/>
      <c r="E42" s="9" t="n"/>
      <c r="F42" s="9" t="n"/>
      <c r="G42" s="9" t="n"/>
      <c r="H42" s="9" t="n"/>
      <c r="I42" s="9" t="n"/>
      <c r="J42" s="9" t="n"/>
      <c r="K42" s="11" t="n"/>
      <c r="L42" s="27" t="n"/>
      <c r="M42" s="28" t="n"/>
      <c r="N42" s="28" t="n"/>
    </row>
    <row r="43" ht="26.1" customHeight="1" s="132">
      <c r="A43" s="10" t="n"/>
      <c r="B43" s="22" t="n"/>
      <c r="C43" s="8" t="n"/>
      <c r="D43" s="9" t="n"/>
      <c r="E43" s="9" t="n"/>
      <c r="F43" s="9" t="n"/>
      <c r="G43" s="9" t="n"/>
      <c r="H43" s="9" t="n"/>
      <c r="I43" s="9" t="n"/>
      <c r="J43" s="9" t="n"/>
      <c r="K43" s="11" t="n"/>
      <c r="L43" s="27" t="n"/>
      <c r="M43" s="28" t="n"/>
      <c r="N43" s="28" t="n"/>
    </row>
    <row r="44">
      <c r="A44" s="10" t="n"/>
      <c r="B44" s="22" t="n"/>
      <c r="C44" s="8" t="n"/>
      <c r="D44" s="9" t="n"/>
      <c r="E44" s="9" t="n"/>
      <c r="F44" s="9" t="n"/>
      <c r="G44" s="9" t="n"/>
      <c r="H44" s="9" t="n"/>
      <c r="I44" s="9" t="n"/>
      <c r="J44" s="9" t="n"/>
      <c r="K44" s="11" t="n"/>
      <c r="L44" s="27" t="n"/>
      <c r="M44" s="28" t="n"/>
      <c r="N44" s="28" t="n"/>
    </row>
    <row r="45">
      <c r="A45" s="10" t="n"/>
      <c r="B45" s="22" t="n"/>
      <c r="C45" s="8" t="n"/>
      <c r="D45" s="9" t="n"/>
      <c r="E45" s="9" t="n"/>
      <c r="F45" s="9" t="n"/>
      <c r="G45" s="9" t="n"/>
      <c r="H45" s="9" t="n"/>
      <c r="I45" s="9" t="n"/>
      <c r="J45" s="9" t="n"/>
      <c r="K45" s="11" t="n"/>
      <c r="L45" s="27" t="n"/>
      <c r="M45" s="28" t="n"/>
      <c r="N45" s="28" t="n"/>
    </row>
    <row r="46">
      <c r="A46" s="10" t="n"/>
      <c r="B46" s="22" t="n"/>
      <c r="C46" s="8" t="n"/>
      <c r="D46" s="9" t="n"/>
      <c r="E46" s="9" t="n"/>
      <c r="F46" s="9" t="n"/>
      <c r="G46" s="9" t="n"/>
      <c r="H46" s="9" t="n"/>
      <c r="I46" s="9" t="n"/>
      <c r="J46" s="9" t="n"/>
      <c r="K46" s="11" t="n"/>
    </row>
    <row r="47" customFormat="1" s="138">
      <c r="A47" s="29" t="n"/>
      <c r="K47" s="12" t="n"/>
    </row>
    <row r="48">
      <c r="A48" s="17" t="n"/>
      <c r="B48" s="18" t="n"/>
      <c r="C48" s="19" t="n"/>
      <c r="D48" s="20" t="n"/>
      <c r="E48" s="20" t="n"/>
      <c r="F48" s="20" t="n"/>
      <c r="G48" s="20" t="n"/>
      <c r="H48" s="20" t="n"/>
      <c r="I48" s="20" t="n"/>
      <c r="J48" s="20" t="n"/>
      <c r="K48" s="21" t="n"/>
    </row>
  </sheetData>
  <mergeCells count="2">
    <mergeCell ref="A1:K1"/>
    <mergeCell ref="C2:J2"/>
  </mergeCells>
  <pageMargins left="0.7" right="0.7" top="0.75" bottom="0.75" header="0.3" footer="0.3"/>
</worksheet>
</file>

<file path=xl/worksheets/sheet74.xml><?xml version="1.0" encoding="utf-8"?>
<worksheet xmlns="http://schemas.openxmlformats.org/spreadsheetml/2006/main">
  <sheetPr codeName="Sheet6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CU-68: Get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CU-68 — Get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51.6" customHeight="1" s="132">
      <c r="A4" s="56" t="inlineStr">
        <is>
          <t>y</t>
        </is>
      </c>
      <c r="B4" s="57" t="n">
        <v>1</v>
      </c>
      <c r="C4" s="58" t="n">
        <v>0</v>
      </c>
      <c r="D4" s="58" t="inlineStr">
        <is>
          <t>GI-1: Browse MethodSet for GetIdentifiers;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Section 11.1 CU-68</t>
        </is>
      </c>
      <c r="K4" s="59" t="inlineStr">
        <is>
          <t>NOTE: Namespace indices (0:,2:,4:,5:) are server-assigned. Resolve from NamespaceArray (ns=0;i=2255). 2:=DI, 4:=Machinery, 5:=Machinery Result (OPC 40001-101). | Requirement source: Server MUST return identifiers where IsExternal=TRUE (sent by Client or external interface). Server MUST support GetIdentifiers method with correct output argument.</t>
        </is>
      </c>
      <c r="L4" s="27" t="n"/>
      <c r="M4" s="28" t="n"/>
      <c r="N4" s="28" t="n"/>
    </row>
    <row r="5" ht="26.1" customHeight="1" s="132">
      <c r="A5" s="87" t="n"/>
      <c r="B5" s="88" t="n"/>
      <c r="C5" s="89" t="n">
        <v>1</v>
      </c>
      <c r="D5" s="89" t="inlineStr">
        <is>
          <t>Browse AssetManagement.MethodSet (or JoiningSystem.MethodSet) for the GetIdentifiers method. Read NodeClass and Executable attributes.</t>
        </is>
      </c>
      <c r="E5" s="89" t="inlineStr">
        <is>
          <t>IJT server running with MethodSet accessible.</t>
        </is>
      </c>
      <c r="F5" s="89" t="inlineStr">
        <is>
          <t>GetIdentifiers method node found. NodeClass = Method (NodeClass=4). Executable attribute = True.</t>
        </is>
      </c>
      <c r="G5" s="89" t="inlineStr">
        <is>
          <t>Good</t>
        </is>
      </c>
      <c r="H5" s="89" t="inlineStr">
        <is>
          <t>GetIdentifiers found; NodeClass=Method; Executable=True</t>
        </is>
      </c>
      <c r="I5" s="89" t="n"/>
      <c r="J5" s="89" t="inlineStr">
        <is>
          <t>OPC 40450-1 Section 11.1 CU-68</t>
        </is>
      </c>
      <c r="K5" s="90" t="n"/>
      <c r="L5" s="27" t="n"/>
      <c r="M5" s="28" t="n"/>
      <c r="N5" s="28" t="n"/>
    </row>
    <row r="6" ht="26.1" customHeight="1" s="132">
      <c r="A6" s="56" t="inlineStr">
        <is>
          <t>y</t>
        </is>
      </c>
      <c r="B6" s="57" t="n">
        <v>2</v>
      </c>
      <c r="C6" s="58" t="n">
        <v>0</v>
      </c>
      <c r="D6" s="58" t="inlineStr">
        <is>
          <t>GI-2: After calling SendIdentifiers, call GetIdentifiers; verify returned identifiers match what was sent</t>
        </is>
      </c>
      <c r="E6" s="58" t="n"/>
      <c r="F6" s="58" t="n"/>
      <c r="G6" s="58" t="n"/>
      <c r="H6" s="58" t="n"/>
      <c r="I6" s="58" t="inlineStr">
        <is>
          <t>n</t>
        </is>
      </c>
      <c r="J6" s="58" t="inlineStr">
        <is>
          <t>OPC 40450-1 Section 11.1 CU-68</t>
        </is>
      </c>
      <c r="K6" s="74" t="n"/>
      <c r="L6" s="27" t="n"/>
      <c r="M6" s="28" t="n"/>
      <c r="N6" s="28" t="n"/>
    </row>
    <row r="7" ht="39" customHeight="1" s="132">
      <c r="A7" s="87" t="n"/>
      <c r="B7" s="88" t="n"/>
      <c r="C7" s="89" t="n">
        <v>1</v>
      </c>
      <c r="D7" s="89" t="inlineStr">
        <is>
          <t>Call SendIdentifiers with known identifier data. Then call GetIdentifiers with the same ProductInstanceUri.</t>
        </is>
      </c>
      <c r="E7" s="89" t="inlineStr">
        <is>
          <t>SendIdentifiers completed with Good. GetIdentifiers method executable.</t>
        </is>
      </c>
      <c r="F7" s="89" t="inlineStr">
        <is>
          <t>GetIdentifiers returns StatusCode = Good. Output argument contains the identifiers previously sent via SendIdentifiers. EntityType and EntityId values match exactly.</t>
        </is>
      </c>
      <c r="G7" s="89" t="inlineStr">
        <is>
          <t>Good</t>
        </is>
      </c>
      <c r="H7" s="89" t="inlineStr">
        <is>
          <t>GetIdentifiers output matches SendIdentifiers input; EntityType and EntityId identical</t>
        </is>
      </c>
      <c r="I7" s="89" t="n"/>
      <c r="J7" s="89" t="inlineStr">
        <is>
          <t>OPC 40450-1 Section 11.1 CU-68</t>
        </is>
      </c>
      <c r="K7" s="90" t="n"/>
      <c r="L7" s="27" t="n"/>
      <c r="M7" s="28" t="n"/>
      <c r="N7" s="28" t="n"/>
    </row>
    <row r="8" ht="39" customHeight="1" s="132">
      <c r="A8" s="56" t="inlineStr">
        <is>
          <t>y</t>
        </is>
      </c>
      <c r="B8" s="57" t="n">
        <v>3</v>
      </c>
      <c r="C8" s="58" t="n">
        <v>0</v>
      </c>
      <c r="D8" s="58" t="inlineStr">
        <is>
          <t>GI-3: Call GetIdentifiers when no identifiers set; verify Good with empty list</t>
        </is>
      </c>
      <c r="E8" s="58" t="n"/>
      <c r="F8" s="58" t="n"/>
      <c r="G8" s="58" t="n"/>
      <c r="H8" s="58" t="n"/>
      <c r="I8" s="58" t="inlineStr">
        <is>
          <t>n</t>
        </is>
      </c>
      <c r="J8" s="58" t="inlineStr">
        <is>
          <t>OPC 40450-1 Section 11.1 CU-68</t>
        </is>
      </c>
      <c r="K8" s="74" t="n"/>
      <c r="L8" s="27" t="n"/>
      <c r="M8" s="28" t="n"/>
      <c r="N8" s="28" t="n"/>
    </row>
    <row r="9" ht="51.6" customHeight="1" s="132">
      <c r="A9" s="87" t="n"/>
      <c r="B9" s="88" t="n"/>
      <c r="C9" s="89" t="n">
        <v>1</v>
      </c>
      <c r="D9" s="89" t="inlineStr">
        <is>
          <t>Ensure no identifiers are set for the target asset (or call ResetIdentifiers first). Call GetIdentifiers for the same ProductInstanceUri.</t>
        </is>
      </c>
      <c r="E9" s="89" t="inlineStr">
        <is>
          <t>No active identifiers for the target asset.</t>
        </is>
      </c>
      <c r="F9" s="89" t="inlineStr">
        <is>
          <t>GetIdentifiers returns StatusCode = Good. Output is an empty array (no EntityDataType entries). Server does not return an error for the no-identifiers case.</t>
        </is>
      </c>
      <c r="G9" s="89" t="inlineStr">
        <is>
          <t>Good</t>
        </is>
      </c>
      <c r="H9" s="89" t="inlineStr">
        <is>
          <t>Good returned; output = empty EntityDataType array</t>
        </is>
      </c>
      <c r="I9" s="89" t="n"/>
      <c r="J9" s="89" t="inlineStr">
        <is>
          <t>OPC 40450-1 Section 11.1 CU-68</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4</v>
      </c>
      <c r="C11" s="97" t="n">
        <v>0</v>
      </c>
      <c r="D11" s="97" t="inlineStr">
        <is>
          <t>GI-4 (error): Call GetIdentifiers with invalid ProductInstanceUri; verify Uncertain with Status=2</t>
        </is>
      </c>
      <c r="E11" s="97" t="n"/>
      <c r="F11" s="97" t="n"/>
      <c r="G11" s="97" t="n"/>
      <c r="H11" s="97" t="n"/>
      <c r="I11" s="97" t="inlineStr">
        <is>
          <t>n</t>
        </is>
      </c>
      <c r="J11" s="97" t="inlineStr">
        <is>
          <t>OPC 40450-1 Section 11.1 CU-68</t>
        </is>
      </c>
      <c r="K11" s="98" t="n"/>
      <c r="L11" s="27" t="n"/>
      <c r="M11" s="28" t="n"/>
      <c r="N11" s="28" t="n"/>
    </row>
    <row r="12" ht="51.6" customHeight="1" s="132">
      <c r="A12" s="87" t="n"/>
      <c r="B12" s="88" t="n"/>
      <c r="C12" s="89" t="n">
        <v>1</v>
      </c>
      <c r="D12" s="89" t="inlineStr">
        <is>
          <t>Call GetIdentifiers with a ProductInstanceUri that does not correspond to any known asset.</t>
        </is>
      </c>
      <c r="E12" s="89" t="inlineStr">
        <is>
          <t>GetIdentifiers method available.</t>
        </is>
      </c>
      <c r="F12" s="89" t="inlineStr">
        <is>
          <t>Call Service returns Good; method result code is Uncertain. Status output is 2 (ProductInstanceUri not found). StatusMessage explains the rejected input; no state change is performed.</t>
        </is>
      </c>
      <c r="G12" s="89" t="inlineStr">
        <is>
          <t>Good</t>
        </is>
      </c>
      <c r="H12" s="89" t="inlineStr">
        <is>
          <t>Uncertain; Status=2 output with StatusMessage</t>
        </is>
      </c>
      <c r="I12" s="89" t="n"/>
      <c r="J12" s="89" t="inlineStr">
        <is>
          <t>OPC 40450-1 Section 11.1 CU-68</t>
        </is>
      </c>
      <c r="K12" s="90" t="n"/>
      <c r="L12" s="27" t="n"/>
      <c r="M12" s="28" t="n"/>
      <c r="N12" s="28" t="n"/>
    </row>
    <row r="13">
      <c r="A13" s="112" t="inlineStr">
        <is>
          <t>n</t>
        </is>
      </c>
      <c r="B13" s="113" t="n">
        <v>5</v>
      </c>
      <c r="C13" s="114" t="n">
        <v>0</v>
      </c>
      <c r="D13" s="114" t="inlineStr">
        <is>
          <t>Verify GetIdentifiers returns empty list when no external identifiers</t>
        </is>
      </c>
      <c r="E13" s="114" t="n"/>
      <c r="F13" s="114" t="n"/>
      <c r="G13" s="114" t="n"/>
      <c r="H13" s="114" t="n"/>
      <c r="I13" s="114" t="inlineStr">
        <is>
          <t>n</t>
        </is>
      </c>
      <c r="J13" s="114" t="inlineStr">
        <is>
          <t>OPC 40450-1 Section 11.1 CU-68</t>
        </is>
      </c>
      <c r="K13" s="115" t="n"/>
      <c r="L13" s="27" t="n"/>
      <c r="M13" s="28" t="n"/>
      <c r="N13" s="28" t="n"/>
    </row>
    <row r="14" ht="26.1" customHeight="1" s="132">
      <c r="A14" s="116" t="n"/>
      <c r="B14" s="117" t="n"/>
      <c r="C14" s="118" t="n">
        <v>1</v>
      </c>
      <c r="D14" s="118" t="inlineStr">
        <is>
          <t>Call GetIdentifiers before any SendIdentifiers.</t>
        </is>
      </c>
      <c r="E14" s="118" t="inlineStr">
        <is>
          <t>Server claims this Conformance Unit; no additional runtime setup is needed for this step.</t>
        </is>
      </c>
      <c r="F14" s="118" t="inlineStr">
        <is>
          <t>Returns Good with empty array.</t>
        </is>
      </c>
      <c r="G14" s="118" t="inlineStr">
        <is>
          <t>Good</t>
        </is>
      </c>
      <c r="H14" s="118" t="n"/>
      <c r="I14" s="118" t="n"/>
      <c r="J14" s="118" t="inlineStr">
        <is>
          <t>OPC 40450-1 Section 11.1 CU-68</t>
        </is>
      </c>
      <c r="K14" s="119" t="inlineStr">
        <is>
          <t>Requirement source: OPC 40450-1 Section 9.4 - No external identifiers set.</t>
        </is>
      </c>
      <c r="L14" s="27" t="n"/>
      <c r="M14" s="28" t="n"/>
      <c r="N14" s="28" t="n"/>
    </row>
    <row r="15" ht="26.1" customHeight="1" s="132">
      <c r="A15" s="112" t="inlineStr">
        <is>
          <t>n</t>
        </is>
      </c>
      <c r="B15" s="113" t="n">
        <v>6</v>
      </c>
      <c r="C15" s="114" t="n">
        <v>0</v>
      </c>
      <c r="D15" s="114" t="inlineStr">
        <is>
          <t>Verify GetIdentifiers returns only IsExternal=True entities</t>
        </is>
      </c>
      <c r="E15" s="114" t="n"/>
      <c r="F15" s="114" t="n"/>
      <c r="G15" s="114" t="n"/>
      <c r="H15" s="114" t="n"/>
      <c r="I15" s="114" t="inlineStr">
        <is>
          <t>n</t>
        </is>
      </c>
      <c r="J15" s="114" t="inlineStr">
        <is>
          <t>OPC 40450-1 Section 11.1 CU-68</t>
        </is>
      </c>
      <c r="K15" s="115" t="n"/>
      <c r="L15" s="27" t="n"/>
      <c r="M15" s="28" t="n"/>
      <c r="N15" s="28" t="n"/>
    </row>
    <row r="16">
      <c r="A16" s="116" t="n"/>
      <c r="B16" s="117" t="n"/>
      <c r="C16" s="118" t="n">
        <v>1</v>
      </c>
      <c r="D16" s="118" t="inlineStr">
        <is>
          <t>Add internal-only entities. Call GetIdentifiers.</t>
        </is>
      </c>
      <c r="E16" s="118" t="inlineStr">
        <is>
          <t>Server claims this Conformance Unit; no additional runtime setup is needed for this step.</t>
        </is>
      </c>
      <c r="F16" s="118" t="inlineStr">
        <is>
          <t>Result does not include internal entities.</t>
        </is>
      </c>
      <c r="G16" s="118" t="inlineStr">
        <is>
          <t>Good</t>
        </is>
      </c>
      <c r="H16" s="118" t="n"/>
      <c r="I16" s="118" t="n"/>
      <c r="J16" s="118" t="inlineStr">
        <is>
          <t>OPC 40450-1 Section 11.1 CU-68</t>
        </is>
      </c>
      <c r="K16" s="119" t="inlineStr">
        <is>
          <t>Requirement source: OPC 40450-1 Section 9.4 - Returns external only.</t>
        </is>
      </c>
      <c r="L16" s="27" t="n"/>
      <c r="M16" s="28" t="n"/>
      <c r="N16" s="28" t="n"/>
    </row>
    <row r="17">
      <c r="A17" s="112" t="inlineStr">
        <is>
          <t>n</t>
        </is>
      </c>
      <c r="B17" s="113" t="n">
        <v>7</v>
      </c>
      <c r="C17" s="114" t="n">
        <v>0</v>
      </c>
      <c r="D17" s="114" t="inlineStr">
        <is>
          <t>Verify GetIdentifiers has no data-changing side effects</t>
        </is>
      </c>
      <c r="E17" s="114" t="n"/>
      <c r="F17" s="114" t="n"/>
      <c r="G17" s="114" t="n"/>
      <c r="H17" s="114" t="n"/>
      <c r="I17" s="114" t="inlineStr">
        <is>
          <t>n</t>
        </is>
      </c>
      <c r="J17" s="114" t="inlineStr">
        <is>
          <t>OPC 40450-1 Section 11.1 CU-68</t>
        </is>
      </c>
      <c r="K17" s="115" t="n"/>
      <c r="L17" s="27" t="n"/>
      <c r="M17" s="28" t="n"/>
      <c r="N17" s="28" t="n"/>
    </row>
    <row r="18">
      <c r="A18" s="116" t="n"/>
      <c r="B18" s="117" t="n"/>
      <c r="C18" s="118" t="n">
        <v>1</v>
      </c>
      <c r="D18" s="118" t="inlineStr">
        <is>
          <t>Call GetIdentifiers multiple times.</t>
        </is>
      </c>
      <c r="E18" s="118" t="inlineStr">
        <is>
          <t>Server claims this Conformance Unit; no additional runtime setup is needed for this step.</t>
        </is>
      </c>
      <c r="F18" s="118" t="inlineStr">
        <is>
          <t>Same result each time. No state changes.</t>
        </is>
      </c>
      <c r="G18" s="118" t="inlineStr">
        <is>
          <t>Good</t>
        </is>
      </c>
      <c r="H18" s="118" t="n"/>
      <c r="I18" s="118" t="n"/>
      <c r="J18" s="118" t="inlineStr">
        <is>
          <t>OPC 40450-1 Section 11.1 CU-68</t>
        </is>
      </c>
      <c r="K18" s="119" t="inlineStr">
        <is>
          <t>Requirement source: OPC 40450-1 Section 9.4 - GetIdentifiers returns data without modifying identifiers.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5.xml><?xml version="1.0" encoding="utf-8"?>
<worksheet xmlns="http://schemas.openxmlformats.org/spreadsheetml/2006/main">
  <sheetPr codeName="Sheet7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CU-69: Reset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CU-69 — Reset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8.7" customHeight="1" s="132">
      <c r="A4" s="56" t="inlineStr">
        <is>
          <t>y</t>
        </is>
      </c>
      <c r="B4" s="57" t="n">
        <v>1</v>
      </c>
      <c r="C4" s="58" t="n">
        <v>0</v>
      </c>
      <c r="D4" s="58" t="inlineStr">
        <is>
          <t>RI-1: Browse MethodSet for ResetIdentifiers;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Section 11.1 CU-69</t>
        </is>
      </c>
      <c r="K4" s="59" t="inlineStr">
        <is>
          <t>NOTE: Namespace indices (0:,2:,4:,5:) are server-assigned. Resolve from NamespaceArray (ns=0;i=2255). 2:=DI, 4:=Machinery, 5:=Machinery Result (OPC 40001-101). | Requirement source: ResetIdentifiers MUST reset only identifiers where IsExternal=TRUE. Identifiers set internally by server MUST NOT be affected.</t>
        </is>
      </c>
      <c r="L4" s="27" t="n"/>
      <c r="M4" s="28" t="n"/>
      <c r="N4" s="28" t="n"/>
    </row>
    <row r="5" ht="26.1" customHeight="1" s="132">
      <c r="A5" s="87" t="n"/>
      <c r="B5" s="88" t="n"/>
      <c r="C5" s="89" t="n">
        <v>1</v>
      </c>
      <c r="D5" s="89" t="inlineStr">
        <is>
          <t>Browse AssetManagement.MethodSet (or JoiningSystem.MethodSet) for the ResetIdentifiers method. Read NodeClass and Executable attributes.</t>
        </is>
      </c>
      <c r="E5" s="89" t="inlineStr">
        <is>
          <t>IJT server running with MethodSet accessible.</t>
        </is>
      </c>
      <c r="F5" s="89" t="inlineStr">
        <is>
          <t>ResetIdentifiers method node found. NodeClass = Method (NodeClass=4). Executable attribute = True.</t>
        </is>
      </c>
      <c r="G5" s="89" t="inlineStr">
        <is>
          <t>Good</t>
        </is>
      </c>
      <c r="H5" s="89" t="inlineStr">
        <is>
          <t>ResetIdentifiers found; NodeClass=Method; Executable=True</t>
        </is>
      </c>
      <c r="I5" s="89" t="n"/>
      <c r="J5" s="89" t="inlineStr">
        <is>
          <t>OPC 40450-1 Section 11.1 CU-69</t>
        </is>
      </c>
      <c r="K5" s="90" t="n"/>
      <c r="L5" s="27" t="n"/>
      <c r="M5" s="28" t="n"/>
      <c r="N5" s="28" t="n"/>
    </row>
    <row r="6" ht="26.1" customHeight="1" s="132">
      <c r="A6" s="56" t="inlineStr">
        <is>
          <t>y</t>
        </is>
      </c>
      <c r="B6" s="57" t="n">
        <v>2</v>
      </c>
      <c r="C6" s="58" t="n">
        <v>0</v>
      </c>
      <c r="D6" s="58" t="inlineStr">
        <is>
          <t>RI-2: Send identifiers, then call ResetIdentifiers; verify Good; verify GetIdentifiers returns empty list</t>
        </is>
      </c>
      <c r="E6" s="58" t="n"/>
      <c r="F6" s="58" t="n"/>
      <c r="G6" s="58" t="n"/>
      <c r="H6" s="58" t="n"/>
      <c r="I6" s="58" t="inlineStr">
        <is>
          <t>n</t>
        </is>
      </c>
      <c r="J6" s="58" t="inlineStr">
        <is>
          <t>OPC 40450-1 Section 11.1 CU-69</t>
        </is>
      </c>
      <c r="K6" s="74" t="n"/>
      <c r="L6" s="27" t="n"/>
      <c r="M6" s="28" t="n"/>
      <c r="N6" s="28" t="n"/>
    </row>
    <row r="7" ht="39" customHeight="1" s="132">
      <c r="A7" s="87" t="n"/>
      <c r="B7" s="88" t="n"/>
      <c r="C7" s="89" t="n">
        <v>1</v>
      </c>
      <c r="D7" s="89" t="inlineStr">
        <is>
          <t>Call SendIdentifiers with valid data. Verify identifiers stored (GetIdentifiers returns them). Call ResetIdentifiers with the same ProductInstanceUri.</t>
        </is>
      </c>
      <c r="E7" s="89" t="inlineStr">
        <is>
          <t>SendIdentifiers and GetIdentifiers available and confirmed working. ResetIdentifiers method executable.</t>
        </is>
      </c>
      <c r="F7" s="89" t="inlineStr">
        <is>
          <t>ResetIdentifiers returns StatusCode = Good. A subsequent call to GetIdentifiers returns an empty list. Identifiers are fully cleared.</t>
        </is>
      </c>
      <c r="G7" s="89" t="inlineStr">
        <is>
          <t>Good</t>
        </is>
      </c>
      <c r="H7" s="89" t="inlineStr">
        <is>
          <t>Good returned; GetIdentifiers after reset returns empty array</t>
        </is>
      </c>
      <c r="I7" s="89" t="n"/>
      <c r="J7" s="89" t="inlineStr">
        <is>
          <t>OPC 40450-1 Section 11.1 CU-69</t>
        </is>
      </c>
      <c r="K7" s="90" t="n"/>
      <c r="L7" s="27" t="n"/>
      <c r="M7" s="28" t="n"/>
      <c r="N7" s="28" t="n"/>
    </row>
    <row r="8" ht="39" customHeight="1" s="132">
      <c r="A8" s="56" t="inlineStr">
        <is>
          <t>y</t>
        </is>
      </c>
      <c r="B8" s="57" t="n">
        <v>4</v>
      </c>
      <c r="C8" s="58" t="n">
        <v>0</v>
      </c>
      <c r="D8" s="58" t="inlineStr">
        <is>
          <t>RI-4: Verify no errors when ResetIdentifiers called on asset with no active identifiers</t>
        </is>
      </c>
      <c r="E8" s="58" t="n"/>
      <c r="F8" s="58" t="n"/>
      <c r="G8" s="58" t="n"/>
      <c r="H8" s="58" t="n"/>
      <c r="I8" s="58" t="inlineStr">
        <is>
          <t>n</t>
        </is>
      </c>
      <c r="J8" s="58" t="inlineStr">
        <is>
          <t>OPC 40450-1 Section 11.1 CU-69</t>
        </is>
      </c>
      <c r="K8" s="74" t="n"/>
      <c r="L8" s="27" t="n"/>
      <c r="M8" s="28" t="n"/>
      <c r="N8" s="28" t="n"/>
    </row>
    <row r="9" ht="51.6" customHeight="1" s="132">
      <c r="A9" s="87" t="n"/>
      <c r="B9" s="88" t="n"/>
      <c r="C9" s="89" t="n">
        <v>1</v>
      </c>
      <c r="D9" s="89" t="inlineStr">
        <is>
          <t>Ensure no identifiers are currently set on the target asset (either never set, or previously reset). Call ResetIdentifiers.</t>
        </is>
      </c>
      <c r="E9" s="89" t="inlineStr">
        <is>
          <t>Target asset has no active identifiers.</t>
        </is>
      </c>
      <c r="F9" s="89" t="inlineStr">
        <is>
          <t>ResetIdentifiers returns StatusCode = Good. No error for the no-identifier case. Operation is idempotent.</t>
        </is>
      </c>
      <c r="G9" s="89" t="inlineStr">
        <is>
          <t>Good</t>
        </is>
      </c>
      <c r="H9" s="89" t="inlineStr">
        <is>
          <t>Good returned; no error for empty-identifier reset; idempotent behavior confirmed</t>
        </is>
      </c>
      <c r="I9" s="89" t="n"/>
      <c r="J9" s="89" t="inlineStr">
        <is>
          <t>OPC 40450-1 Section 11.1 CU-69</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RI-3 (error): Call ResetIdentifiers with invalid ProductInstanceUri; verify Uncertain with Status=2</t>
        </is>
      </c>
      <c r="E11" s="97" t="n"/>
      <c r="F11" s="97" t="n"/>
      <c r="G11" s="97" t="n"/>
      <c r="H11" s="97" t="n"/>
      <c r="I11" s="97" t="inlineStr">
        <is>
          <t>n</t>
        </is>
      </c>
      <c r="J11" s="97" t="inlineStr">
        <is>
          <t>OPC 40450-1 Section 11.1 CU-69</t>
        </is>
      </c>
      <c r="K11" s="98" t="n"/>
      <c r="L11" s="27" t="n"/>
      <c r="M11" s="28" t="n"/>
      <c r="N11" s="28" t="n"/>
    </row>
    <row r="12" ht="51.6" customHeight="1" s="132">
      <c r="A12" s="87" t="n"/>
      <c r="B12" s="88" t="n"/>
      <c r="C12" s="89" t="n">
        <v>1</v>
      </c>
      <c r="D12" s="89" t="inlineStr">
        <is>
          <t>Call ResetIdentifiers with a ProductInstanceUri that does not correspond to any known asset.</t>
        </is>
      </c>
      <c r="E12" s="89" t="inlineStr">
        <is>
          <t>ResetIdentifiers method available.</t>
        </is>
      </c>
      <c r="F12" s="89" t="inlineStr">
        <is>
          <t>Call Service returns Good; method result code is Uncertain. Status output is 2 (ProductInstanceUri not found). StatusMessage explains the rejected input; no state change is performed.</t>
        </is>
      </c>
      <c r="G12" s="89" t="inlineStr">
        <is>
          <t>Good</t>
        </is>
      </c>
      <c r="H12" s="89" t="inlineStr">
        <is>
          <t>Uncertain; Status=2 output with StatusMessage</t>
        </is>
      </c>
      <c r="I12" s="89" t="n"/>
      <c r="J12" s="89" t="inlineStr">
        <is>
          <t>OPC 40450-1 Section 11.1 CU-69</t>
        </is>
      </c>
      <c r="K12" s="90" t="n"/>
      <c r="L12" s="27" t="n"/>
      <c r="M12" s="28" t="n"/>
      <c r="N12" s="28" t="n"/>
    </row>
    <row r="13">
      <c r="A13" s="112" t="inlineStr">
        <is>
          <t>n</t>
        </is>
      </c>
      <c r="B13" s="113" t="n">
        <v>4</v>
      </c>
      <c r="C13" s="114" t="n">
        <v>0</v>
      </c>
      <c r="D13" s="114" t="inlineStr">
        <is>
          <t>Verify ResetIdentifiers removes IsExternal=True identifiers</t>
        </is>
      </c>
      <c r="E13" s="114" t="n"/>
      <c r="F13" s="114" t="n"/>
      <c r="G13" s="114" t="n"/>
      <c r="H13" s="114" t="n"/>
      <c r="I13" s="114" t="inlineStr">
        <is>
          <t>n</t>
        </is>
      </c>
      <c r="J13" s="114" t="inlineStr">
        <is>
          <t>OPC 40450-1 Section 11.1 CU-69</t>
        </is>
      </c>
      <c r="K13" s="115" t="n"/>
      <c r="L13" s="27" t="n"/>
      <c r="M13" s="28" t="n"/>
      <c r="N13" s="28" t="n"/>
    </row>
    <row r="14" ht="26.1" customHeight="1" s="132">
      <c r="A14" s="116" t="n"/>
      <c r="B14" s="117" t="n"/>
      <c r="C14" s="118" t="n">
        <v>1</v>
      </c>
      <c r="D14" s="118" t="inlineStr">
        <is>
          <t>Call ResetIdentifiers. Then GetIdentifiers.</t>
        </is>
      </c>
      <c r="E14" s="118" t="inlineStr">
        <is>
          <t>Server claims this Conformance Unit; no additional runtime setup is needed for this step.</t>
        </is>
      </c>
      <c r="F14" s="118" t="inlineStr">
        <is>
          <t>GetIdentifiers returns empty list.</t>
        </is>
      </c>
      <c r="G14" s="118" t="inlineStr">
        <is>
          <t>Good</t>
        </is>
      </c>
      <c r="H14" s="118" t="n"/>
      <c r="I14" s="118" t="n"/>
      <c r="J14" s="118" t="inlineStr">
        <is>
          <t>OPC 40450-1 Section 11.1 CU-69</t>
        </is>
      </c>
      <c r="K14" s="119" t="inlineStr">
        <is>
          <t>Requirement source: OPC 40450-1 Section 9.4 - Reset clears external IDs.</t>
        </is>
      </c>
      <c r="L14" s="27" t="n"/>
      <c r="M14" s="28" t="n"/>
      <c r="N14" s="28" t="n"/>
    </row>
    <row r="15" ht="26.1" customHeight="1" s="132">
      <c r="A15" s="112" t="inlineStr">
        <is>
          <t>n</t>
        </is>
      </c>
      <c r="B15" s="113" t="n">
        <v>5</v>
      </c>
      <c r="C15" s="114" t="n">
        <v>0</v>
      </c>
      <c r="D15" s="114" t="inlineStr">
        <is>
          <t>Verify ResetIdentifiers when no identifiers is idempotent</t>
        </is>
      </c>
      <c r="E15" s="114" t="n"/>
      <c r="F15" s="114" t="n"/>
      <c r="G15" s="114" t="n"/>
      <c r="H15" s="114" t="n"/>
      <c r="I15" s="114" t="inlineStr">
        <is>
          <t>n</t>
        </is>
      </c>
      <c r="J15" s="114" t="inlineStr">
        <is>
          <t>OPC 40450-1 Section 11.1 CU-69</t>
        </is>
      </c>
      <c r="K15" s="115" t="n"/>
      <c r="L15" s="27" t="n"/>
      <c r="M15" s="28" t="n"/>
      <c r="N15" s="28" t="n"/>
    </row>
    <row r="16">
      <c r="A16" s="116" t="n"/>
      <c r="B16" s="117" t="n"/>
      <c r="C16" s="118" t="n">
        <v>1</v>
      </c>
      <c r="D16" s="118" t="inlineStr">
        <is>
          <t>Call ResetIdentifiers when no identifiers set.</t>
        </is>
      </c>
      <c r="E16" s="118" t="inlineStr">
        <is>
          <t>Server claims this Conformance Unit; no additional runtime setup is needed for this step.</t>
        </is>
      </c>
      <c r="F16" s="118" t="inlineStr">
        <is>
          <t>Returns Good. No error.</t>
        </is>
      </c>
      <c r="G16" s="118" t="inlineStr">
        <is>
          <t>Good</t>
        </is>
      </c>
      <c r="H16" s="118" t="n"/>
      <c r="I16" s="118" t="n"/>
      <c r="J16" s="118" t="inlineStr">
        <is>
          <t>OPC 40450-1 Section 11.1 CU-69</t>
        </is>
      </c>
      <c r="K16" s="119" t="inlineStr">
        <is>
          <t>Requirement source: OPC 40450-1 Section 9.4 - Idempotent.</t>
        </is>
      </c>
      <c r="L16" s="27" t="n"/>
      <c r="M16" s="28" t="n"/>
      <c r="N16" s="28" t="n"/>
    </row>
    <row r="17">
      <c r="A17" s="112" t="inlineStr">
        <is>
          <t>n</t>
        </is>
      </c>
      <c r="B17" s="113" t="n">
        <v>6</v>
      </c>
      <c r="C17" s="114" t="n">
        <v>0</v>
      </c>
      <c r="D17" s="114" t="inlineStr">
        <is>
          <t>Verify ResetIdentifiers does not affect internal entities</t>
        </is>
      </c>
      <c r="E17" s="114" t="n"/>
      <c r="F17" s="114" t="n"/>
      <c r="G17" s="114" t="n"/>
      <c r="H17" s="114" t="n"/>
      <c r="I17" s="114" t="inlineStr">
        <is>
          <t>n</t>
        </is>
      </c>
      <c r="J17" s="114" t="inlineStr">
        <is>
          <t>OPC 40450-1 Section 11.1 CU-69</t>
        </is>
      </c>
      <c r="K17" s="115" t="n"/>
      <c r="L17" s="27" t="n"/>
      <c r="M17" s="28" t="n"/>
      <c r="N17" s="28" t="n"/>
    </row>
    <row r="18">
      <c r="A18" s="116" t="n"/>
      <c r="B18" s="117" t="n"/>
      <c r="C18" s="118" t="n">
        <v>1</v>
      </c>
      <c r="D18" s="118" t="inlineStr">
        <is>
          <t>After reset, verify internal assets still in AssociatedEntities.</t>
        </is>
      </c>
      <c r="E18" s="118" t="inlineStr">
        <is>
          <t>Server claims this Conformance Unit; no additional runtime setup is needed for this step.</t>
        </is>
      </c>
      <c r="F18" s="118" t="inlineStr">
        <is>
          <t>Internal entities (EntityType &lt; 20) still present.</t>
        </is>
      </c>
      <c r="G18" s="118" t="inlineStr">
        <is>
          <t>Good</t>
        </is>
      </c>
      <c r="H18" s="118" t="n"/>
      <c r="I18" s="118" t="n"/>
      <c r="J18" s="118" t="inlineStr">
        <is>
          <t>OPC 40450-1 Section 11.1 CU-69</t>
        </is>
      </c>
      <c r="K18" s="119" t="inlineStr">
        <is>
          <t>Requirement source: OPC 40450-1 Section 9.4 - Reset only removes external.</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CU-70: IJT Set Calibration</t>
        </is>
      </c>
    </row>
    <row r="2" ht="20.05" customHeight="1" s="132">
      <c r="A2" s="75">
        <f>HYPERLINK("#'Home'!A1","⌂ Home")</f>
        <v/>
      </c>
      <c r="C2" s="150" t="inlineStr">
        <is>
          <t>CU-70 — IJT Set Calibration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25.8" customHeight="1" s="132">
      <c r="A4" s="67" t="inlineStr">
        <is>
          <t>n</t>
        </is>
      </c>
      <c r="B4" s="67" t="n">
        <v>1</v>
      </c>
      <c r="C4" s="67" t="n">
        <v>0</v>
      </c>
      <c r="D4" s="67" t="inlineStr">
        <is>
          <t>Verify SetCalibration method exists and is callable</t>
        </is>
      </c>
      <c r="E4" s="67" t="n"/>
      <c r="F4" s="67" t="n"/>
      <c r="G4" s="67" t="n"/>
      <c r="H4" s="67" t="n"/>
      <c r="I4" s="67" t="inlineStr">
        <is>
          <t>n</t>
        </is>
      </c>
      <c r="J4" s="67" t="inlineStr">
        <is>
          <t>OPC 40450-1 Section 11 (CU-70) / Section 7.4</t>
        </is>
      </c>
      <c r="K4" s="67" t="inlineStr">
        <is>
          <t>CTT=n: modifies physical calibration data on the device</t>
        </is>
      </c>
    </row>
    <row r="5" ht="38.7" customHeight="1" s="132">
      <c r="A5" s="61" t="n"/>
      <c r="B5" s="61" t="n"/>
      <c r="C5" s="61" t="n">
        <v>1</v>
      </c>
      <c r="D5" s="61" t="inlineStr">
        <is>
          <t>Browse to JoiningSystem/MethodSet. Verify SetCalibration method node exists.</t>
        </is>
      </c>
      <c r="E5" s="61" t="inlineStr">
        <is>
          <t>JoiningSystem with MethodSet accessible.</t>
        </is>
      </c>
      <c r="F5" s="61" t="inlineStr">
        <is>
          <t>SetCalibration node found. NodeClass = Method. InputArguments: ProductInstanceUri (String), CalibrationData (ExtensionObject). OutputArguments: none or StatusCode.</t>
        </is>
      </c>
      <c r="G5" s="61" t="inlineStr">
        <is>
          <t>Good</t>
        </is>
      </c>
      <c r="H5" s="61" t="inlineStr">
        <is>
          <t>Good</t>
        </is>
      </c>
      <c r="I5" s="61" t="n"/>
      <c r="J5" s="61" t="inlineStr">
        <is>
          <t>OPC 40450-1 Section 7.4 SetCalibration</t>
        </is>
      </c>
      <c r="K5" s="61" t="n"/>
    </row>
    <row r="6">
      <c r="A6" s="67" t="inlineStr">
        <is>
          <t>n</t>
        </is>
      </c>
      <c r="B6" s="67" t="n">
        <v>2</v>
      </c>
      <c r="C6" s="67" t="n">
        <v>0</v>
      </c>
      <c r="D6" s="67" t="inlineStr">
        <is>
          <t>Verify SetCalibration with valid calibration data succeeds</t>
        </is>
      </c>
      <c r="E6" s="67" t="n"/>
      <c r="F6" s="67" t="n"/>
      <c r="G6" s="67" t="n"/>
      <c r="H6" s="67" t="n"/>
      <c r="I6" s="67" t="inlineStr">
        <is>
          <t>n</t>
        </is>
      </c>
      <c r="J6" s="67" t="inlineStr">
        <is>
          <t>OPC 40450-1 Section 11 (CU-70) / Section 7.4</t>
        </is>
      </c>
      <c r="K6" s="67" t="inlineStr">
        <is>
          <t>CTT=n: physical device calibration</t>
        </is>
      </c>
    </row>
    <row r="7" ht="38.7" customHeight="1" s="132">
      <c r="A7" s="61" t="n"/>
      <c r="B7" s="61" t="n"/>
      <c r="C7" s="61" t="n">
        <v>1</v>
      </c>
      <c r="D7" s="61" t="inlineStr">
        <is>
          <t>Call SetCalibration with a valid ProductInstanceUri (Sensor or Tool) and a valid SensorCalibrationDataType or ToolCalibrationDataType instance.</t>
        </is>
      </c>
      <c r="E7" s="61" t="inlineStr">
        <is>
          <t>A Sensor or Tool asset supporting calibration. Valid calibration data available.</t>
        </is>
      </c>
      <c r="F7" s="61" t="inlineStr">
        <is>
          <t>SetCalibration returns Good. The calibration value is updated in the asset's Maintenance/Calibration/CalibrationValue. LastCalibration timestamp updated to current time.</t>
        </is>
      </c>
      <c r="G7" s="61" t="inlineStr">
        <is>
          <t>Good</t>
        </is>
      </c>
      <c r="H7" s="61" t="inlineStr">
        <is>
          <t>Good</t>
        </is>
      </c>
      <c r="I7" s="61" t="n"/>
      <c r="J7" s="61" t="inlineStr">
        <is>
          <t>OPC 40450-1 Section 7.4 / CU-61 (Asset Management Calibration)</t>
        </is>
      </c>
      <c r="K7" s="61" t="n"/>
    </row>
    <row r="8" ht="25.8" customHeight="1" s="132">
      <c r="A8" s="67" t="inlineStr">
        <is>
          <t>n</t>
        </is>
      </c>
      <c r="B8" s="67" t="n">
        <v>3</v>
      </c>
      <c r="C8" s="67" t="n">
        <v>0</v>
      </c>
      <c r="D8" s="67" t="inlineStr">
        <is>
          <t>Verify calibration value is reflected in the Calibration node after SetCalibration</t>
        </is>
      </c>
      <c r="E8" s="67" t="n"/>
      <c r="F8" s="67" t="n"/>
      <c r="G8" s="67" t="n"/>
      <c r="H8" s="67" t="n"/>
      <c r="I8" s="67" t="inlineStr">
        <is>
          <t>n</t>
        </is>
      </c>
      <c r="J8" s="67" t="inlineStr">
        <is>
          <t>OPC 40450-1 Section 11 (CU-70) / Section 7.4</t>
        </is>
      </c>
      <c r="K8" s="67" t="n"/>
    </row>
    <row r="9" ht="38.7" customHeight="1" s="132">
      <c r="A9" s="61" t="n"/>
      <c r="B9" s="61" t="n"/>
      <c r="C9" s="61" t="n">
        <v>1</v>
      </c>
      <c r="D9" s="61" t="inlineStr">
        <is>
          <t>After successful SetCalibration: read Maintenance/Calibration/CalibrationValue and LastCalibration on the calibrated asset.</t>
        </is>
      </c>
      <c r="E9" s="61" t="inlineStr">
        <is>
          <t>SetCalibration succeeded in TC#2.</t>
        </is>
      </c>
      <c r="F9" s="61" t="inlineStr">
        <is>
          <t>CalibrationValue matches the value sent in the SetCalibration call. LastCalibration timestamp is within 60 seconds of the current time.</t>
        </is>
      </c>
      <c r="G9" s="61" t="inlineStr">
        <is>
          <t>Good</t>
        </is>
      </c>
      <c r="H9" s="61" t="inlineStr">
        <is>
          <t>Good</t>
        </is>
      </c>
      <c r="I9" s="61" t="n"/>
      <c r="J9" s="61" t="inlineStr">
        <is>
          <t>OPC 40450-1 Section 11 (CU-61) / Section 11 (CU-70)</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SetCalibration with unknown ProductInstanceUri returns error</t>
        </is>
      </c>
      <c r="E11" s="69" t="n"/>
      <c r="F11" s="69" t="n"/>
      <c r="G11" s="69" t="n"/>
      <c r="H11" s="69" t="n"/>
      <c r="I11" s="69" t="inlineStr">
        <is>
          <t>n</t>
        </is>
      </c>
      <c r="J11" s="69" t="inlineStr">
        <is>
          <t>OPC 40450-1 Section 11 (CU-70) / Section 7.4</t>
        </is>
      </c>
      <c r="K11" s="69" t="n"/>
    </row>
    <row r="12" ht="25.8" customHeight="1" s="132">
      <c r="A12" s="61" t="n"/>
      <c r="B12" s="61" t="n"/>
      <c r="C12" s="61" t="n">
        <v>1</v>
      </c>
      <c r="D12" s="61" t="inlineStr">
        <is>
          <t>Call SetCalibration with ProductInstanceUri = "urn:unknown:asset".</t>
        </is>
      </c>
      <c r="E12" s="61" t="inlineStr">
        <is>
          <t>SetCalibration method available.</t>
        </is>
      </c>
      <c r="F12" s="61" t="inlineStr">
        <is>
          <t>Call Service returns Good; method result code is Uncertain. Status output is 2 (ProductInstanceUri not found). StatusMessage explains the rejected input; no state change is performed.</t>
        </is>
      </c>
      <c r="G12" s="61" t="inlineStr">
        <is>
          <t>Good</t>
        </is>
      </c>
      <c r="H12" s="61" t="inlineStr">
        <is>
          <t>Uncertain; Status=2 output with StatusMessage</t>
        </is>
      </c>
      <c r="I12" s="61" t="n"/>
      <c r="J12" s="61" t="inlineStr">
        <is>
          <t>OPC 40450-1 Section 11 (CU-64) / Section 11 (CU-70)</t>
        </is>
      </c>
      <c r="K12" s="61" t="n"/>
    </row>
    <row r="13" ht="25.8" customHeight="1" s="132">
      <c r="A13" s="69" t="inlineStr">
        <is>
          <t>n</t>
        </is>
      </c>
      <c r="B13" s="69" t="n">
        <v>2</v>
      </c>
      <c r="C13" s="69" t="n">
        <v>0</v>
      </c>
      <c r="D13" s="69" t="inlineStr">
        <is>
          <t>Verify SetCalibration with invalid CalibrationData type returns Bad_TypeMismatch</t>
        </is>
      </c>
      <c r="E13" s="69" t="n"/>
      <c r="F13" s="69" t="n"/>
      <c r="G13" s="69" t="n"/>
      <c r="H13" s="69" t="n"/>
      <c r="I13" s="69" t="inlineStr">
        <is>
          <t>n</t>
        </is>
      </c>
      <c r="J13" s="69" t="inlineStr">
        <is>
          <t>OPC 40450-1 Section 11 (CU-70) / Section 7.4</t>
        </is>
      </c>
      <c r="K13" s="69" t="n"/>
    </row>
    <row r="14" ht="25.8" customHeight="1" s="132">
      <c r="A14" s="61" t="n"/>
      <c r="B14" s="61" t="n"/>
      <c r="C14" s="61" t="n">
        <v>1</v>
      </c>
      <c r="D14" s="61" t="inlineStr">
        <is>
          <t>Call SetCalibration with a mal-formed or wrong-type ExtensionObject for CalibrationData.</t>
        </is>
      </c>
      <c r="E14" s="61" t="inlineStr">
        <is>
          <t>SetCalibration method available.</t>
        </is>
      </c>
      <c r="F14" s="61" t="inlineStr">
        <is>
          <t>Returns Bad_TypeMismatch or Bad_InvalidArgument. No calibration data is applied.</t>
        </is>
      </c>
      <c r="G14" s="61" t="inlineStr">
        <is>
          <t>Bad_InvalidArgument</t>
        </is>
      </c>
      <c r="H14" s="61" t="inlineStr">
        <is>
          <t>Bad_TypeMismatch</t>
        </is>
      </c>
      <c r="I14" s="61" t="n"/>
      <c r="J14" s="61" t="inlineStr">
        <is>
          <t>OPC 40450-1 Section 7.4</t>
        </is>
      </c>
      <c r="K14" s="61" t="n"/>
    </row>
    <row r="15">
      <c r="A15" s="110" t="inlineStr">
        <is>
          <t>n</t>
        </is>
      </c>
      <c r="B15" s="110" t="n">
        <v>3</v>
      </c>
      <c r="C15" s="110" t="n">
        <v>0</v>
      </c>
      <c r="D15" s="110" t="inlineStr">
        <is>
          <t>Call SetCalibration with LastCalibration in the future</t>
        </is>
      </c>
      <c r="E15" s="110" t="n"/>
      <c r="F15" s="110" t="n"/>
      <c r="G15" s="110" t="n"/>
      <c r="H15" s="110" t="n"/>
      <c r="I15" s="110" t="inlineStr">
        <is>
          <t>n</t>
        </is>
      </c>
      <c r="J15" s="110" t="inlineStr">
        <is>
          <t>OPC 40450-1 Section 11.1 CU-70</t>
        </is>
      </c>
      <c r="K15" s="110" t="n"/>
    </row>
    <row r="16" ht="25.8" customHeight="1" s="132">
      <c r="A16" s="111" t="n"/>
      <c r="B16" s="111" t="n"/>
      <c r="C16" s="111" t="n">
        <v>1</v>
      </c>
      <c r="D16" s="111" t="inlineStr">
        <is>
          <t>Call SetCalibration with LastCalibration = now + 1 year.</t>
        </is>
      </c>
      <c r="E16" s="111" t="inlineStr">
        <is>
          <t>Server claims this Conformance Unit; no additional runtime setup is needed for this step.</t>
        </is>
      </c>
      <c r="F16" s="111" t="inlineStr">
        <is>
          <t>Call Service returns Good; method result code is Uncertain. Status output is 5 (invalid input). StatusMessage explains the rejected input; no state change is performed.</t>
        </is>
      </c>
      <c r="G16" s="111" t="inlineStr">
        <is>
          <t>Good</t>
        </is>
      </c>
      <c r="H16" s="111" t="inlineStr">
        <is>
          <t>Uncertain; Status=5 output with StatusMessage</t>
        </is>
      </c>
      <c r="I16" s="111" t="n"/>
      <c r="J16" s="111" t="inlineStr">
        <is>
          <t>OPC 40450-1 Section 11.1 CU-70</t>
        </is>
      </c>
      <c r="K16" s="111" t="inlineStr">
        <is>
          <t>Requirement source: OPC 40450-1 Section 9.1 - Future date invalid for last calibration.</t>
        </is>
      </c>
    </row>
    <row r="17">
      <c r="A17" s="110" t="inlineStr">
        <is>
          <t>n</t>
        </is>
      </c>
      <c r="B17" s="110" t="n">
        <v>4</v>
      </c>
      <c r="C17" s="110" t="n">
        <v>0</v>
      </c>
      <c r="D17" s="110" t="inlineStr">
        <is>
          <t>Call SetCalibration with CalibrationValue=NaN</t>
        </is>
      </c>
      <c r="E17" s="110" t="n"/>
      <c r="F17" s="110" t="n"/>
      <c r="G17" s="110" t="n"/>
      <c r="H17" s="110" t="n"/>
      <c r="I17" s="110" t="inlineStr">
        <is>
          <t>n</t>
        </is>
      </c>
      <c r="J17" s="110" t="inlineStr">
        <is>
          <t>OPC 40450-1 Section 11.1 CU-70</t>
        </is>
      </c>
      <c r="K17" s="110" t="n"/>
    </row>
    <row r="18" ht="25.8" customHeight="1" s="132">
      <c r="A18" s="111" t="n"/>
      <c r="B18" s="111" t="n"/>
      <c r="C18" s="111" t="n">
        <v>1</v>
      </c>
      <c r="D18" s="111" t="inlineStr">
        <is>
          <t>Call SetCalibration with CalibrationValue = NaN.</t>
        </is>
      </c>
      <c r="E18" s="111" t="inlineStr">
        <is>
          <t>Server claims this Conformance Unit; no additional runtime setup is needed for this step.</t>
        </is>
      </c>
      <c r="F18" s="111" t="inlineStr">
        <is>
          <t>Call Service returns Good; method result code is Uncertain. Status output is 5 (invalid input). StatusMessage explains the rejected input; no state change is performed.</t>
        </is>
      </c>
      <c r="G18" s="111" t="inlineStr">
        <is>
          <t>Good</t>
        </is>
      </c>
      <c r="H18" s="111" t="inlineStr">
        <is>
          <t>Uncertain; Status=5 output with StatusMessage</t>
        </is>
      </c>
      <c r="I18" s="111" t="n"/>
      <c r="J18" s="111" t="inlineStr">
        <is>
          <t>OPC 40450-1 Section 11.1 CU-70</t>
        </is>
      </c>
      <c r="K18" s="111" t="inlineStr">
        <is>
          <t>Requirement source: OPC 40450-1 Section 9.1 - NaN is not valid Double.</t>
        </is>
      </c>
    </row>
    <row r="19">
      <c r="A19" s="110" t="inlineStr">
        <is>
          <t>n</t>
        </is>
      </c>
      <c r="B19" s="110" t="n">
        <v>5</v>
      </c>
      <c r="C19" s="110" t="n">
        <v>0</v>
      </c>
      <c r="D19" s="110" t="inlineStr">
        <is>
          <t>Verify SetCalibration not executable during active joining</t>
        </is>
      </c>
      <c r="E19" s="110" t="n"/>
      <c r="F19" s="110" t="n"/>
      <c r="G19" s="110" t="n"/>
      <c r="H19" s="110" t="n"/>
      <c r="I19" s="110" t="inlineStr">
        <is>
          <t>n</t>
        </is>
      </c>
      <c r="J19" s="110" t="inlineStr">
        <is>
          <t>OPC 40450-1 Section 11.1 CU-70</t>
        </is>
      </c>
      <c r="K19" s="110" t="n"/>
    </row>
    <row r="20" ht="25.8" customHeight="1" s="132">
      <c r="A20" s="111" t="n"/>
      <c r="B20" s="111" t="n"/>
      <c r="C20" s="111" t="n">
        <v>1</v>
      </c>
      <c r="D20" s="111" t="inlineStr">
        <is>
          <t>Start joining operation. Attempt SetCalibration.</t>
        </is>
      </c>
      <c r="E20" s="111" t="inlineStr">
        <is>
          <t>Server claims this Conformance Unit; no additional runtime setup is needed for this step.</t>
        </is>
      </c>
      <c r="F20" s="111" t="inlineStr">
        <is>
          <t>Call Service returns Good; method result code is Uncertain when the requested state transition is not accepted. Status output is 1 (generic not OK/application state). StatusMessage explains the state precondition; no unintended state change is performed.</t>
        </is>
      </c>
      <c r="G20" s="111" t="inlineStr">
        <is>
          <t>Good</t>
        </is>
      </c>
      <c r="H20" s="111" t="inlineStr">
        <is>
          <t>Uncertain; Status=1 output with StatusMessage</t>
        </is>
      </c>
      <c r="I20" s="111" t="n"/>
      <c r="J20" s="111" t="inlineStr">
        <is>
          <t>OPC 40450-1 Section 11.1 CU-70</t>
        </is>
      </c>
      <c r="K20" s="111" t="inlineStr">
        <is>
          <t>Requirement source: OPC 40450-1 Section 9.1 - Cannot calibrate during active operation.</t>
        </is>
      </c>
    </row>
  </sheetData>
  <mergeCells count="2">
    <mergeCell ref="A1:K1"/>
    <mergeCell ref="C2:J2"/>
  </mergeCells>
  <pageMargins left="0.75" right="0.75" top="1" bottom="1" header="0.5" footer="0.5"/>
</worksheet>
</file>

<file path=xl/worksheets/sheet7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CU-71: IJT Reboot Asset</t>
        </is>
      </c>
    </row>
    <row r="2" ht="20.05" customHeight="1" s="132">
      <c r="A2" s="75">
        <f>HYPERLINK("#'Home'!A1","⌂ Home")</f>
        <v/>
      </c>
      <c r="C2" s="150" t="inlineStr">
        <is>
          <t>CU-71 — IJT Reboot Asset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c r="A4" s="67" t="inlineStr">
        <is>
          <t>n</t>
        </is>
      </c>
      <c r="B4" s="67" t="n">
        <v>1</v>
      </c>
      <c r="C4" s="67" t="n">
        <v>0</v>
      </c>
      <c r="D4" s="67" t="inlineStr">
        <is>
          <t>Verify RebootAsset method exists and is callable</t>
        </is>
      </c>
      <c r="E4" s="67" t="n"/>
      <c r="F4" s="67" t="n"/>
      <c r="G4" s="67" t="n"/>
      <c r="H4" s="67" t="n"/>
      <c r="I4" s="67" t="inlineStr">
        <is>
          <t>n</t>
        </is>
      </c>
      <c r="J4" s="67" t="inlineStr">
        <is>
          <t>OPC 40450-1 Section 11 (CU-71) / Section 7.4</t>
        </is>
      </c>
      <c r="K4" s="67" t="inlineStr">
        <is>
          <t>CTT=n: triggers physical asset reboot</t>
        </is>
      </c>
    </row>
    <row r="5" ht="38.7" customHeight="1" s="132">
      <c r="A5" s="61" t="n"/>
      <c r="B5" s="61" t="n"/>
      <c r="C5" s="61" t="n">
        <v>1</v>
      </c>
      <c r="D5" s="61" t="inlineStr">
        <is>
          <t>Browse JoiningSystem/MethodSet. Verify RebootAsset method node exists. Inspect InputArguments.</t>
        </is>
      </c>
      <c r="E5" s="61" t="inlineStr">
        <is>
          <t>JoiningSystem with MethodSet accessible.</t>
        </is>
      </c>
      <c r="F5" s="61" t="inlineStr">
        <is>
          <t>RebootAsset node found. NodeClass = Method. InputArguments: ProductInstanceUri (String). OutputArguments: Status (Int64), StatusMessage (LocalizedText).</t>
        </is>
      </c>
      <c r="G5" s="61" t="inlineStr">
        <is>
          <t>Good</t>
        </is>
      </c>
      <c r="H5" s="61" t="inlineStr">
        <is>
          <t>Good</t>
        </is>
      </c>
      <c r="I5" s="61" t="n"/>
      <c r="J5" s="61" t="inlineStr">
        <is>
          <t>OPC 40450-1 Section 7.4 RebootAsset</t>
        </is>
      </c>
      <c r="K5" s="61" t="n"/>
    </row>
    <row r="6">
      <c r="A6" s="67" t="inlineStr">
        <is>
          <t>n</t>
        </is>
      </c>
      <c r="B6" s="67" t="n">
        <v>2</v>
      </c>
      <c r="C6" s="67" t="n">
        <v>0</v>
      </c>
      <c r="D6" s="67" t="inlineStr">
        <is>
          <t>Verify RebootAsset with valid ProductInstanceUri initiates reboot</t>
        </is>
      </c>
      <c r="E6" s="67" t="n"/>
      <c r="F6" s="67" t="n"/>
      <c r="G6" s="67" t="n"/>
      <c r="H6" s="67" t="n"/>
      <c r="I6" s="67" t="inlineStr">
        <is>
          <t>n</t>
        </is>
      </c>
      <c r="J6" s="67" t="inlineStr">
        <is>
          <t>OPC 40450-1 Section 11 (CU-71) / Section 7.4</t>
        </is>
      </c>
      <c r="K6" s="67" t="inlineStr">
        <is>
          <t>CTT=n: causes physical device restart</t>
        </is>
      </c>
    </row>
    <row r="7" ht="51.6" customHeight="1" s="132">
      <c r="A7" s="61" t="n"/>
      <c r="B7" s="61" t="n"/>
      <c r="C7" s="61" t="n">
        <v>1</v>
      </c>
      <c r="D7" s="61" t="inlineStr">
        <is>
          <t>Call RebootAsset with ProductInstanceUri of a Controller or Tool asset.</t>
        </is>
      </c>
      <c r="E7" s="61" t="inlineStr">
        <is>
          <t>Asset that supports RebootAsset. Device in idle state (no active joining).</t>
        </is>
      </c>
      <c r="F7" s="61" t="inlineStr">
        <is>
          <t>RebootAsset returns Good. Asset connectivity event (AssetDisconnected followed by AssetConnected) is generated. Asset reconnects within a reasonable timeout (device-dependent, e.g. 60 seconds). Asset state restored after reboot.</t>
        </is>
      </c>
      <c r="G7" s="61" t="inlineStr">
        <is>
          <t>Good</t>
        </is>
      </c>
      <c r="H7" s="61" t="inlineStr">
        <is>
          <t>Good</t>
        </is>
      </c>
      <c r="I7" s="61" t="n"/>
      <c r="J7" s="61" t="inlineStr">
        <is>
          <t>OPC 40450-1 Section 7.4 / CU-70 (Asset Connection Event)</t>
        </is>
      </c>
      <c r="K7" s="61" t="n"/>
    </row>
    <row r="8" ht="25.8" customHeight="1" s="132">
      <c r="A8" s="67" t="inlineStr">
        <is>
          <t>y</t>
        </is>
      </c>
      <c r="B8" s="67" t="n">
        <v>3</v>
      </c>
      <c r="C8" s="67" t="n">
        <v>0</v>
      </c>
      <c r="D8" s="67" t="inlineStr">
        <is>
          <t>Verify RebootAsset with empty ProductInstanceUri uses server default asset</t>
        </is>
      </c>
      <c r="E8" s="67" t="n"/>
      <c r="F8" s="67" t="n"/>
      <c r="G8" s="67" t="n"/>
      <c r="H8" s="67" t="n"/>
      <c r="I8" s="67" t="inlineStr">
        <is>
          <t>n</t>
        </is>
      </c>
      <c r="J8" s="67" t="inlineStr">
        <is>
          <t>OPC 40450-1 Section 11 (CU-71) / Section 7.4</t>
        </is>
      </c>
      <c r="K8" s="67" t="n"/>
    </row>
    <row r="9" ht="25.8" customHeight="1" s="132">
      <c r="A9" s="61" t="n"/>
      <c r="B9" s="61" t="n"/>
      <c r="C9" s="61" t="n">
        <v>1</v>
      </c>
      <c r="D9" s="61" t="inlineStr">
        <is>
          <t>Call RebootAsset with ProductInstanceUri = empty string.</t>
        </is>
      </c>
      <c r="E9" s="61" t="inlineStr">
        <is>
          <t>Server with RebootAsset. CU-64 compliance for ProductInstanceUri semantics.</t>
        </is>
      </c>
      <c r="F9" s="61" t="inlineStr">
        <is>
          <t>Server returns Good (or initiates reboot of its own asset). Per CU-64 rule: empty ProductInstanceUri = server's own asset.</t>
        </is>
      </c>
      <c r="G9" s="61" t="inlineStr">
        <is>
          <t>Good</t>
        </is>
      </c>
      <c r="H9" s="61" t="inlineStr">
        <is>
          <t>Good</t>
        </is>
      </c>
      <c r="I9" s="61" t="n"/>
      <c r="J9" s="61" t="inlineStr">
        <is>
          <t>OPC 40450-1 Section 11 (CU-64) / Section 11 (CU-71)</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RebootAsset with unknown ProductInstanceUri returns error</t>
        </is>
      </c>
      <c r="E11" s="69" t="n"/>
      <c r="F11" s="69" t="n"/>
      <c r="G11" s="69" t="n"/>
      <c r="H11" s="69" t="n"/>
      <c r="I11" s="69" t="inlineStr">
        <is>
          <t>n</t>
        </is>
      </c>
      <c r="J11" s="69" t="inlineStr">
        <is>
          <t>OPC 40450-1 Section 11 (CU-71) / Section 7.4</t>
        </is>
      </c>
      <c r="K11" s="69" t="n"/>
    </row>
    <row r="12" ht="25.8" customHeight="1" s="132">
      <c r="A12" s="61" t="n"/>
      <c r="B12" s="61" t="n"/>
      <c r="C12" s="61" t="n">
        <v>1</v>
      </c>
      <c r="D12" s="61" t="inlineStr">
        <is>
          <t>Call RebootAsset with ProductInstanceUri = "urn:unknown:xyz".</t>
        </is>
      </c>
      <c r="E12" s="61" t="inlineStr">
        <is>
          <t>RebootAsset method available.</t>
        </is>
      </c>
      <c r="F12" s="61" t="inlineStr">
        <is>
          <t>Call Service returns Good; method result code is Uncertain. Status output is 2 (ProductInstanceUri not found). StatusMessage explains the rejected input; no state change is performed.</t>
        </is>
      </c>
      <c r="G12" s="61" t="inlineStr">
        <is>
          <t>Good</t>
        </is>
      </c>
      <c r="H12" s="61" t="inlineStr">
        <is>
          <t>Uncertain; Status=2 output with StatusMessage</t>
        </is>
      </c>
      <c r="I12" s="61" t="n"/>
      <c r="J12" s="61" t="inlineStr">
        <is>
          <t>OPC 40450-1 Section 11 (CU-64) / Section 11 (CU-71)</t>
        </is>
      </c>
      <c r="K12" s="61" t="n"/>
    </row>
    <row r="13">
      <c r="A13" s="69" t="inlineStr">
        <is>
          <t>n</t>
        </is>
      </c>
      <c r="B13" s="69" t="n">
        <v>2</v>
      </c>
      <c r="C13" s="69" t="n">
        <v>0</v>
      </c>
      <c r="D13" s="69" t="inlineStr">
        <is>
          <t>Verify RebootAsset during active joining returns appropriate error</t>
        </is>
      </c>
      <c r="E13" s="69" t="n"/>
      <c r="F13" s="69" t="n"/>
      <c r="G13" s="69" t="n"/>
      <c r="H13" s="69" t="n"/>
      <c r="I13" s="69" t="inlineStr">
        <is>
          <t>n</t>
        </is>
      </c>
      <c r="J13" s="69" t="inlineStr">
        <is>
          <t>OPC 40450-1 Section 11 (CU-71) / Section 7.4</t>
        </is>
      </c>
      <c r="K13" s="69" t="inlineStr">
        <is>
          <t>CTT=n: requires active joining operation</t>
        </is>
      </c>
    </row>
    <row r="14" ht="38.7" customHeight="1" s="132">
      <c r="A14" s="61" t="n"/>
      <c r="B14" s="61" t="n"/>
      <c r="C14" s="61" t="n">
        <v>1</v>
      </c>
      <c r="D14" s="61" t="inlineStr">
        <is>
          <t>During an active joining operation, call RebootAsset for the active asset.</t>
        </is>
      </c>
      <c r="E14" s="61" t="inlineStr">
        <is>
          <t>Asset performing an active joining operation.</t>
        </is>
      </c>
      <c r="F14" s="61" t="inlineStr">
        <is>
          <t>Call Service returns Good; method result code is Uncertain when the requested state transition is not accepted. Status output is 1 (generic not OK/application state). StatusMessage explains the state precondition; no unintended state change is performed.</t>
        </is>
      </c>
      <c r="G14" s="61" t="inlineStr">
        <is>
          <t>Good</t>
        </is>
      </c>
      <c r="H14" s="61" t="inlineStr">
        <is>
          <t>Uncertain; Status=1 output with StatusMessage</t>
        </is>
      </c>
      <c r="I14" s="61" t="n"/>
      <c r="J14" s="61" t="inlineStr">
        <is>
          <t>OPC 40450-1 Section 7.4</t>
        </is>
      </c>
      <c r="K14" s="61" t="n"/>
    </row>
    <row r="15">
      <c r="A15" s="110" t="inlineStr">
        <is>
          <t>n</t>
        </is>
      </c>
      <c r="B15" s="110" t="n">
        <v>3</v>
      </c>
      <c r="C15" s="110" t="n">
        <v>0</v>
      </c>
      <c r="D15" s="110" t="inlineStr">
        <is>
          <t>Call RebootAsset with null ProductInstanceUri</t>
        </is>
      </c>
      <c r="E15" s="110" t="n"/>
      <c r="F15" s="110" t="n"/>
      <c r="G15" s="110" t="n"/>
      <c r="H15" s="110" t="n"/>
      <c r="I15" s="110" t="inlineStr">
        <is>
          <t>n</t>
        </is>
      </c>
      <c r="J15" s="110" t="inlineStr">
        <is>
          <t>OPC 40450-1 Section 11.1 CU-71</t>
        </is>
      </c>
      <c r="K15" s="110" t="n"/>
    </row>
    <row r="16" ht="25.8" customHeight="1" s="132">
      <c r="A16" s="111" t="n"/>
      <c r="B16" s="111" t="n"/>
      <c r="C16" s="111" t="n">
        <v>1</v>
      </c>
      <c r="D16" s="111" t="inlineStr">
        <is>
          <t>Call RebootAsset with null.</t>
        </is>
      </c>
      <c r="E16" s="111" t="inlineStr">
        <is>
          <t>Server claims this Conformance Unit; no additional runtime setup is needed for this step.</t>
        </is>
      </c>
      <c r="F16" s="111" t="inlineStr">
        <is>
          <t>Call Service returns Good; method result code is Uncertain. Status output is 5 (invalid input). StatusMessage explains the rejected input; no state change is performed.</t>
        </is>
      </c>
      <c r="G16" s="111" t="inlineStr">
        <is>
          <t>Good</t>
        </is>
      </c>
      <c r="H16" s="111" t="inlineStr">
        <is>
          <t>Uncertain; Status=5 output with StatusMessage</t>
        </is>
      </c>
      <c r="I16" s="111" t="n"/>
      <c r="J16" s="111" t="inlineStr">
        <is>
          <t>OPC 40450-1 Section 11.1 CU-71</t>
        </is>
      </c>
      <c r="K16" s="111" t="inlineStr">
        <is>
          <t>Requirement source: OPC 40450-1 Section 9.5 - ProductInstanceUri required.</t>
        </is>
      </c>
    </row>
    <row r="17">
      <c r="A17" s="110" t="inlineStr">
        <is>
          <t>n</t>
        </is>
      </c>
      <c r="B17" s="110" t="n">
        <v>4</v>
      </c>
      <c r="C17" s="110" t="n">
        <v>0</v>
      </c>
      <c r="D17" s="110" t="inlineStr">
        <is>
          <t>Call RebootAsset during active joining operation</t>
        </is>
      </c>
      <c r="E17" s="110" t="n"/>
      <c r="F17" s="110" t="n"/>
      <c r="G17" s="110" t="n"/>
      <c r="H17" s="110" t="n"/>
      <c r="I17" s="110" t="inlineStr">
        <is>
          <t>n</t>
        </is>
      </c>
      <c r="J17" s="110" t="inlineStr">
        <is>
          <t>OPC 40450-1 Section 11.1 CU-71</t>
        </is>
      </c>
      <c r="K17" s="110" t="n"/>
    </row>
    <row r="18" ht="25.8" customHeight="1" s="132">
      <c r="A18" s="111" t="n"/>
      <c r="B18" s="111" t="n"/>
      <c r="C18" s="111" t="n">
        <v>1</v>
      </c>
      <c r="D18" s="111" t="inlineStr">
        <is>
          <t>Start joining. Call RebootAsset.</t>
        </is>
      </c>
      <c r="E18" s="111" t="inlineStr">
        <is>
          <t>Server claims this Conformance Unit; no additional runtime setup is needed for this step.</t>
        </is>
      </c>
      <c r="F18" s="111" t="inlineStr">
        <is>
          <t>Call Service returns Good; method result code is Uncertain when the requested state transition is not accepted. Status output is 1 (generic not OK/application state). StatusMessage explains the state precondition; no unintended state change is performed.</t>
        </is>
      </c>
      <c r="G18" s="111" t="inlineStr">
        <is>
          <t>Good</t>
        </is>
      </c>
      <c r="H18" s="111" t="inlineStr">
        <is>
          <t>Uncertain; Status=1 output with StatusMessage</t>
        </is>
      </c>
      <c r="I18" s="111" t="n"/>
      <c r="J18" s="111" t="inlineStr">
        <is>
          <t>OPC 40450-1 Section 11.1 CU-71</t>
        </is>
      </c>
      <c r="K18" s="111" t="inlineStr">
        <is>
          <t>Requirement source: OPC 40450-1 Section 9.5 - Cannot reboot during active operation.</t>
        </is>
      </c>
    </row>
    <row r="19">
      <c r="A19" s="110" t="inlineStr">
        <is>
          <t>n</t>
        </is>
      </c>
      <c r="B19" s="110" t="n">
        <v>5</v>
      </c>
      <c r="C19" s="110" t="n">
        <v>0</v>
      </c>
      <c r="D19" s="110" t="inlineStr">
        <is>
          <t>Verify asset reconnects after reboot and DeviceHealth returns to NORMAL</t>
        </is>
      </c>
      <c r="E19" s="110" t="n"/>
      <c r="F19" s="110" t="n"/>
      <c r="G19" s="110" t="n"/>
      <c r="H19" s="110" t="n"/>
      <c r="I19" s="110" t="inlineStr">
        <is>
          <t>n</t>
        </is>
      </c>
      <c r="J19" s="110" t="inlineStr">
        <is>
          <t>OPC 40450-1 Section 11.1 CU-71</t>
        </is>
      </c>
      <c r="K19" s="110" t="n"/>
    </row>
    <row r="20">
      <c r="A20" s="111" t="n"/>
      <c r="B20" s="111" t="n"/>
      <c r="C20" s="111" t="n">
        <v>1</v>
      </c>
      <c r="D20" s="111" t="inlineStr">
        <is>
          <t>Call RebootAsset. Wait. Read DeviceHealth.</t>
        </is>
      </c>
      <c r="E20" s="111" t="inlineStr">
        <is>
          <t>Server claims this Conformance Unit; no additional runtime setup is needed for this step.</t>
        </is>
      </c>
      <c r="F20" s="111" t="inlineStr">
        <is>
          <t>DeviceHealth returns to NORMAL(0).</t>
        </is>
      </c>
      <c r="G20" s="111" t="inlineStr">
        <is>
          <t>Good</t>
        </is>
      </c>
      <c r="H20" s="111" t="n"/>
      <c r="I20" s="111" t="n"/>
      <c r="J20" s="111" t="inlineStr">
        <is>
          <t>OPC 40450-1 Section 11.1 CU-71</t>
        </is>
      </c>
      <c r="K20" s="111" t="inlineStr">
        <is>
          <t>Requirement source: OPC 40450-1 Section 9.5 - Asset should recover after reboot.</t>
        </is>
      </c>
    </row>
  </sheetData>
  <mergeCells count="2">
    <mergeCell ref="A1:K1"/>
    <mergeCell ref="C2:J2"/>
  </mergeCells>
  <pageMargins left="0.75" right="0.75" top="1" bottom="1" header="0.5" footer="0.5"/>
</worksheet>
</file>

<file path=xl/worksheets/sheet7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CU-72: IJT Feedback Methods</t>
        </is>
      </c>
    </row>
    <row r="2" ht="20.05" customHeight="1" s="132">
      <c r="A2" s="75">
        <f>HYPERLINK("#'Home'!A1","⌂ Home")</f>
        <v/>
      </c>
      <c r="C2" s="150" t="inlineStr">
        <is>
          <t>CU-72 — IJT Feedback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51.6" customHeight="1" s="132">
      <c r="A4" s="67" t="inlineStr">
        <is>
          <t>y</t>
        </is>
      </c>
      <c r="B4" s="67" t="n">
        <v>1</v>
      </c>
      <c r="C4" s="67" t="n">
        <v>0</v>
      </c>
      <c r="D4" s="67" t="inlineStr">
        <is>
          <t>Verify GetFeedbackFileList method exists and returns list</t>
        </is>
      </c>
      <c r="E4" s="67" t="inlineStr">
        <is>
          <t>Server claims this Conformance Unit; no additional runtime setup is needed for this step.</t>
        </is>
      </c>
      <c r="F4" s="67" t="n"/>
      <c r="G4" s="67" t="n"/>
      <c r="H4" s="67" t="n"/>
      <c r="I4" s="67" t="inlineStr">
        <is>
          <t>n</t>
        </is>
      </c>
      <c r="J4" s="67" t="inlineStr">
        <is>
          <t>OPC 40450-1 Section 11 (CU-72) / Section 7.4</t>
        </is>
      </c>
      <c r="K4" s="77" t="inlineStr">
        <is>
          <t>NOTE: Namespace indices are server-assigned. Resolve from NamespaceArray (ns=0;i=2255). 2:=DI, 4:=Machinery, 5:=Machinery Result (OPC 40001-101). | Requirement source: Server MUST support GetFeedbackFileList method. The result of GetFeedbackFileList MUST be usable as input to SendFeedback for any feedback type other than plain text.</t>
        </is>
      </c>
    </row>
    <row r="5" ht="51.6" customHeight="1" s="132">
      <c r="A5" s="61" t="n"/>
      <c r="B5" s="61" t="n"/>
      <c r="C5" s="61" t="n">
        <v>1</v>
      </c>
      <c r="D5" s="61" t="inlineStr">
        <is>
          <t>Browse JoiningSystem/MethodSet. Call GetFeedbackFileList.</t>
        </is>
      </c>
      <c r="E5" s="61" t="inlineStr">
        <is>
          <t>JoiningSystem with GetFeedbackFileList method. At least one feedback file type configured.</t>
        </is>
      </c>
      <c r="F5" s="61" t="inlineStr">
        <is>
          <t>GetFeedbackFileList returns Good. OutputArgument is an array of FeedbackFileType (or String). Each entry identifies a valid feedback type/file reference. Array may be empty if no file-based feedback is configured.</t>
        </is>
      </c>
      <c r="G5" s="61" t="inlineStr">
        <is>
          <t>Good</t>
        </is>
      </c>
      <c r="H5" s="61" t="inlineStr">
        <is>
          <t>Good</t>
        </is>
      </c>
      <c r="I5" s="61" t="n"/>
      <c r="J5" s="61" t="inlineStr">
        <is>
          <t>OPC 40450-1 Section 7.4 GetFeedbackFileList</t>
        </is>
      </c>
      <c r="K5" s="61" t="n"/>
    </row>
    <row r="6" ht="25.8" customHeight="1" s="132">
      <c r="A6" s="67" t="inlineStr">
        <is>
          <t>y</t>
        </is>
      </c>
      <c r="B6" s="67" t="n">
        <v>2</v>
      </c>
      <c r="C6" s="67" t="n">
        <v>0</v>
      </c>
      <c r="D6" s="67" t="inlineStr">
        <is>
          <t>Verify SendFeedback with FeedbackType=TEXT succeeds without file reference</t>
        </is>
      </c>
      <c r="E6" s="67" t="n"/>
      <c r="F6" s="67" t="n"/>
      <c r="G6" s="67" t="n"/>
      <c r="H6" s="67" t="n"/>
      <c r="I6" s="67" t="inlineStr">
        <is>
          <t>n</t>
        </is>
      </c>
      <c r="J6" s="67" t="inlineStr">
        <is>
          <t>OPC 40450-1 Section 11 (CU-72) / Section 7.4</t>
        </is>
      </c>
      <c r="K6" s="67" t="n"/>
    </row>
    <row r="7" ht="38.7" customHeight="1" s="132">
      <c r="A7" s="61" t="n"/>
      <c r="B7" s="61" t="n"/>
      <c r="C7" s="61" t="n">
        <v>1</v>
      </c>
      <c r="D7" s="61" t="inlineStr">
        <is>
          <t>Call SendFeedback with FeedbackType = TEXT and FeedbackContent = a plain text string. No file reference needed for TEXT type.</t>
        </is>
      </c>
      <c r="E7" s="61" t="inlineStr">
        <is>
          <t>SendFeedback method available.</t>
        </is>
      </c>
      <c r="F7" s="61" t="inlineStr">
        <is>
          <t>Returns Good. Text feedback is acknowledged by the device. Per spec: "outcome of GetFeedbackFileList is used as input to SendFeedback for any type of feedback OTHER than text."</t>
        </is>
      </c>
      <c r="G7" s="61" t="inlineStr">
        <is>
          <t>Good</t>
        </is>
      </c>
      <c r="H7" s="61" t="inlineStr">
        <is>
          <t>Good</t>
        </is>
      </c>
      <c r="I7" s="61" t="n"/>
      <c r="J7" s="61" t="inlineStr">
        <is>
          <t>OPC 40450-1 Section 7.4 SendFeedback</t>
        </is>
      </c>
      <c r="K7" s="61" t="n"/>
    </row>
    <row r="8">
      <c r="A8" s="67" t="inlineStr">
        <is>
          <t>y</t>
        </is>
      </c>
      <c r="B8" s="67" t="n">
        <v>3</v>
      </c>
      <c r="C8" s="67" t="n">
        <v>0</v>
      </c>
      <c r="D8" s="67" t="inlineStr">
        <is>
          <t>Verify SendFeedback with file-based type uses GetFeedbackFileList output</t>
        </is>
      </c>
      <c r="E8" s="67" t="n"/>
      <c r="F8" s="67" t="n"/>
      <c r="G8" s="67" t="n"/>
      <c r="H8" s="67" t="n"/>
      <c r="I8" s="67" t="inlineStr">
        <is>
          <t>n</t>
        </is>
      </c>
      <c r="J8" s="67" t="inlineStr">
        <is>
          <t>OPC 40450-1 Section 11 (CU-72) / Section 7.4</t>
        </is>
      </c>
      <c r="K8" s="67" t="n"/>
    </row>
    <row r="9" ht="38.7" customHeight="1" s="132">
      <c r="A9" s="61" t="n"/>
      <c r="B9" s="61" t="n"/>
      <c r="C9" s="61" t="n">
        <v>1</v>
      </c>
      <c r="D9" s="61" t="inlineStr">
        <is>
          <t>First call GetFeedbackFileList to get valid file references. Then call SendFeedback with one of the returned file references.</t>
        </is>
      </c>
      <c r="E9" s="61" t="inlineStr">
        <is>
          <t>GetFeedbackFileList returns at least one entry. Non-text feedback type supported.</t>
        </is>
      </c>
      <c r="F9" s="61" t="inlineStr">
        <is>
          <t>SendFeedback returns Good when a valid file reference from GetFeedbackFileList is used. The device processes the specified feedback file.</t>
        </is>
      </c>
      <c r="G9" s="61" t="inlineStr">
        <is>
          <t>Good</t>
        </is>
      </c>
      <c r="H9" s="61" t="inlineStr">
        <is>
          <t>Good</t>
        </is>
      </c>
      <c r="I9" s="61" t="n"/>
      <c r="J9" s="61" t="inlineStr">
        <is>
          <t>OPC 40450-1 Section 7.4 SendFeedback / GetFeedbackFileList</t>
        </is>
      </c>
      <c r="K9" s="61" t="n"/>
    </row>
    <row r="10" ht="25.8" customHeight="1" s="132">
      <c r="A10" s="67" t="inlineStr">
        <is>
          <t>y</t>
        </is>
      </c>
      <c r="B10" s="67" t="n">
        <v>4</v>
      </c>
      <c r="C10" s="67" t="n">
        <v>0</v>
      </c>
      <c r="D10" s="67" t="inlineStr">
        <is>
          <t>Verify SendFeedback and GetFeedbackFileList both exist when CU-72 is claimed</t>
        </is>
      </c>
      <c r="E10" s="67" t="n"/>
      <c r="F10" s="67" t="n"/>
      <c r="G10" s="67" t="n"/>
      <c r="H10" s="67" t="n"/>
      <c r="I10" s="67" t="inlineStr">
        <is>
          <t>n</t>
        </is>
      </c>
      <c r="J10" s="67" t="inlineStr">
        <is>
          <t>OPC 40450-1 Section 11 (CU-72) / Section 7.4</t>
        </is>
      </c>
      <c r="K10" s="67" t="n"/>
    </row>
    <row r="11" ht="38.7" customHeight="1" s="132">
      <c r="A11" s="61" t="n"/>
      <c r="B11" s="61" t="n"/>
      <c r="C11" s="61" t="n">
        <v>1</v>
      </c>
      <c r="D11" s="61" t="inlineStr">
        <is>
          <t>Browse MethodSet. Verify both SendFeedback and GetFeedbackFileList nodes are present.</t>
        </is>
      </c>
      <c r="E11" s="61" t="inlineStr">
        <is>
          <t>JoiningSystem claiming CU-72 conformance.</t>
        </is>
      </c>
      <c r="F11" s="61" t="inlineStr">
        <is>
          <t>Both SendFeedback and GetFeedbackFileList are present as Method nodes in MethodSet. Per spec: "Server supports SendFeedback AND GetFeedbackFileList methods." Both required.</t>
        </is>
      </c>
      <c r="G11" s="61" t="inlineStr">
        <is>
          <t>Good</t>
        </is>
      </c>
      <c r="H11" s="61" t="inlineStr">
        <is>
          <t>Good</t>
        </is>
      </c>
      <c r="I11" s="61" t="n"/>
      <c r="J11" s="61" t="inlineStr">
        <is>
          <t>OPC 40450-1 Section 11 (CU-72)</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SendFeedback with an invalid file reference returns error</t>
        </is>
      </c>
      <c r="E13" s="69" t="n"/>
      <c r="F13" s="69" t="n"/>
      <c r="G13" s="69" t="n"/>
      <c r="H13" s="69" t="n"/>
      <c r="I13" s="69" t="inlineStr">
        <is>
          <t>n</t>
        </is>
      </c>
      <c r="J13" s="69" t="inlineStr">
        <is>
          <t>OPC 40450-1 Section 11 (CU-72) / Section 7.4</t>
        </is>
      </c>
      <c r="K13" s="69" t="n"/>
    </row>
    <row r="14" ht="38.7" customHeight="1" s="132">
      <c r="A14" s="61" t="n"/>
      <c r="B14" s="61" t="n"/>
      <c r="C14" s="61" t="n">
        <v>1</v>
      </c>
      <c r="D14" s="61" t="inlineStr">
        <is>
          <t>Call SendFeedback with a fabricated/invalid file reference not from GetFeedbackFileList.</t>
        </is>
      </c>
      <c r="E14" s="61" t="inlineStr">
        <is>
          <t>SendFeedback method available.</t>
        </is>
      </c>
      <c r="F14" s="61" t="inlineStr">
        <is>
          <t>Call Service returns Good; method result code is Uncertain. Status output is 4 (input identifier/entity not found). StatusMessage explains the rejected input; no state change is performed.</t>
        </is>
      </c>
      <c r="G14" s="61" t="inlineStr">
        <is>
          <t>Good</t>
        </is>
      </c>
      <c r="H14" s="61" t="inlineStr">
        <is>
          <t>Uncertain; Status=4 output with StatusMessage</t>
        </is>
      </c>
      <c r="I14" s="61" t="n"/>
      <c r="J14" s="61" t="inlineStr">
        <is>
          <t>OPC 40450-1 Section 7.4</t>
        </is>
      </c>
      <c r="K14" s="61" t="n"/>
    </row>
    <row r="15">
      <c r="A15" s="110" t="inlineStr">
        <is>
          <t>n</t>
        </is>
      </c>
      <c r="B15" s="110" t="n">
        <v>2</v>
      </c>
      <c r="C15" s="110" t="n">
        <v>0</v>
      </c>
      <c r="D15" s="110" t="inlineStr">
        <is>
          <t>Call GetFeedbackFileList with invalid asset identifier</t>
        </is>
      </c>
      <c r="E15" s="110" t="n"/>
      <c r="F15" s="110" t="n"/>
      <c r="G15" s="110" t="n"/>
      <c r="H15" s="110" t="n"/>
      <c r="I15" s="110" t="inlineStr">
        <is>
          <t>n</t>
        </is>
      </c>
      <c r="J15" s="110" t="inlineStr">
        <is>
          <t>OPC 40450-1 Section 11.1 CU-72</t>
        </is>
      </c>
      <c r="K15" s="110" t="n"/>
    </row>
    <row r="16">
      <c r="A16" s="111" t="n"/>
      <c r="B16" s="111" t="n"/>
      <c r="C16" s="111" t="n">
        <v>1</v>
      </c>
      <c r="D16" s="111" t="inlineStr">
        <is>
          <t>Call with non-existent ProductInstanceUri.</t>
        </is>
      </c>
      <c r="E16" s="111" t="inlineStr">
        <is>
          <t>Server claims this Conformance Unit; no additional runtime setup is needed for this step.</t>
        </is>
      </c>
      <c r="F16" s="111" t="inlineStr">
        <is>
          <t>Call Service returns Good; method result code is Uncertain. Status output is 4 (input identifier/entity not found). StatusMessage explains the rejected input; no state change is performed.</t>
        </is>
      </c>
      <c r="G16" s="111" t="inlineStr">
        <is>
          <t>Good</t>
        </is>
      </c>
      <c r="H16" s="111" t="inlineStr">
        <is>
          <t>Uncertain; Status=4 output with StatusMessage</t>
        </is>
      </c>
      <c r="I16" s="111" t="n"/>
      <c r="J16" s="111" t="inlineStr">
        <is>
          <t>OPC 40450-1 Section 11.1 CU-72</t>
        </is>
      </c>
      <c r="K16" s="111" t="inlineStr">
        <is>
          <t>Requirement source: OPC 40450-1 Section 9.6 - Invalid asset reference.</t>
        </is>
      </c>
    </row>
    <row r="17">
      <c r="A17" s="110" t="inlineStr">
        <is>
          <t>n</t>
        </is>
      </c>
      <c r="B17" s="110" t="n">
        <v>3</v>
      </c>
      <c r="C17" s="110" t="n">
        <v>0</v>
      </c>
      <c r="D17" s="110" t="inlineStr">
        <is>
          <t>Call SendFeedback with FileId not in list</t>
        </is>
      </c>
      <c r="E17" s="110" t="n"/>
      <c r="F17" s="110" t="n"/>
      <c r="G17" s="110" t="n"/>
      <c r="H17" s="110" t="n"/>
      <c r="I17" s="110" t="inlineStr">
        <is>
          <t>n</t>
        </is>
      </c>
      <c r="J17" s="110" t="inlineStr">
        <is>
          <t>OPC 40450-1 Section 11.1 CU-72</t>
        </is>
      </c>
      <c r="K17" s="110" t="n"/>
    </row>
    <row r="18">
      <c r="A18" s="111" t="n"/>
      <c r="B18" s="111" t="n"/>
      <c r="C18" s="111" t="n">
        <v>1</v>
      </c>
      <c r="D18" s="111" t="inlineStr">
        <is>
          <t>Call SendFeedback with FileId not from GetFeedbackFileList.</t>
        </is>
      </c>
      <c r="E18" s="111" t="inlineStr">
        <is>
          <t>Server claims this Conformance Unit; no additional runtime setup is needed for this step.</t>
        </is>
      </c>
      <c r="F18" s="111" t="inlineStr">
        <is>
          <t>Call Service returns Good; method result code is Uncertain. Status output is 4 (input identifier/entity not found). StatusMessage explains the rejected input; no state change is performed.</t>
        </is>
      </c>
      <c r="G18" s="111" t="inlineStr">
        <is>
          <t>Good</t>
        </is>
      </c>
      <c r="H18" s="111" t="inlineStr">
        <is>
          <t>Uncertain; Status=4 output with StatusMessage</t>
        </is>
      </c>
      <c r="I18" s="111" t="n"/>
      <c r="J18" s="111" t="inlineStr">
        <is>
          <t>OPC 40450-1 Section 11.1 CU-72</t>
        </is>
      </c>
      <c r="K18" s="111" t="inlineStr">
        <is>
          <t>Requirement source: OPC 40450-1 Section 9.6 - FileId must be valid.</t>
        </is>
      </c>
    </row>
    <row r="19">
      <c r="A19" s="110" t="inlineStr">
        <is>
          <t>n</t>
        </is>
      </c>
      <c r="B19" s="110" t="n">
        <v>4</v>
      </c>
      <c r="C19" s="110" t="n">
        <v>0</v>
      </c>
      <c r="D19" s="110" t="inlineStr">
        <is>
          <t>Call SendFeedback with empty file content</t>
        </is>
      </c>
      <c r="E19" s="110" t="n"/>
      <c r="F19" s="110" t="n"/>
      <c r="G19" s="110" t="n"/>
      <c r="H19" s="110" t="n"/>
      <c r="I19" s="110" t="inlineStr">
        <is>
          <t>n</t>
        </is>
      </c>
      <c r="J19" s="110" t="inlineStr">
        <is>
          <t>OPC 40450-1 Section 11.1 CU-72</t>
        </is>
      </c>
      <c r="K19" s="110" t="n"/>
    </row>
    <row r="20" ht="25.8" customHeight="1" s="132">
      <c r="A20" s="111" t="n"/>
      <c r="B20" s="111" t="n"/>
      <c r="C20" s="111" t="n">
        <v>1</v>
      </c>
      <c r="D20" s="111" t="inlineStr">
        <is>
          <t>Call SendFeedback with empty byte array.</t>
        </is>
      </c>
      <c r="E20" s="111" t="inlineStr">
        <is>
          <t>Server claims this Conformance Unit; no additional runtime setup is needed for this step.</t>
        </is>
      </c>
      <c r="F20" s="111" t="inlineStr">
        <is>
          <t>Call Service returns Good; method result code is Uncertain. Status output is 5 (invalid input). StatusMessage explains the rejected input; no state change is performed.</t>
        </is>
      </c>
      <c r="G20" s="111" t="inlineStr">
        <is>
          <t>Good</t>
        </is>
      </c>
      <c r="H20" s="111" t="inlineStr">
        <is>
          <t>Uncertain; Status=5 output with StatusMessage</t>
        </is>
      </c>
      <c r="I20" s="111" t="n"/>
      <c r="J20" s="111" t="inlineStr">
        <is>
          <t>OPC 40450-1 Section 11.1 CU-72</t>
        </is>
      </c>
      <c r="K20" s="111" t="inlineStr">
        <is>
          <t>Requirement source: OPC 40450-1 Section 9.6 - Empty content invalid.</t>
        </is>
      </c>
    </row>
  </sheetData>
  <mergeCells count="2">
    <mergeCell ref="A1:K1"/>
    <mergeCell ref="C2:J2"/>
  </mergeCells>
  <pageMargins left="0.75" right="0.75" top="1" bottom="1" header="0.5" footer="0.5"/>
</worksheet>
</file>

<file path=xl/worksheets/sheet79.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CU-73: IJT Set Time</t>
        </is>
      </c>
    </row>
    <row r="2" ht="20.05" customHeight="1" s="132">
      <c r="A2" s="75">
        <f>HYPERLINK("#'Home'!A1","⌂ Home")</f>
        <v/>
      </c>
      <c r="C2" s="150" t="inlineStr">
        <is>
          <t>CU-73 — IJT Set Time</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SetTime method exists with DateTime input argument</t>
        </is>
      </c>
      <c r="E4" s="67" t="n"/>
      <c r="F4" s="67" t="n"/>
      <c r="G4" s="67" t="n"/>
      <c r="H4" s="67" t="n"/>
      <c r="I4" s="67" t="inlineStr">
        <is>
          <t>n</t>
        </is>
      </c>
      <c r="J4" s="67" t="inlineStr">
        <is>
          <t>OPC 40450-1 Section 11 (CU-73) / Section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SetTime node. Inspect InputArguments.</t>
        </is>
      </c>
      <c r="E5" s="61" t="inlineStr">
        <is>
          <t>JoiningSystem with MethodSet accessible.</t>
        </is>
      </c>
      <c r="F5" s="61" t="inlineStr">
        <is>
          <t>SetTime node found. NodeClass = Method. InputArguments includes: DateTime (UtcTime or DateTime, mandatory). Optional: ProductInstanceUri (String).</t>
        </is>
      </c>
      <c r="G5" s="61" t="inlineStr">
        <is>
          <t>Good</t>
        </is>
      </c>
      <c r="H5" s="61" t="inlineStr">
        <is>
          <t>Good</t>
        </is>
      </c>
      <c r="I5" s="61" t="n"/>
      <c r="J5" s="61" t="inlineStr">
        <is>
          <t>OPC 40450-1 Section 7.4 SetTime</t>
        </is>
      </c>
      <c r="K5" s="61" t="n"/>
    </row>
    <row r="6">
      <c r="A6" s="67" t="inlineStr">
        <is>
          <t>n</t>
        </is>
      </c>
      <c r="B6" s="67" t="n">
        <v>2</v>
      </c>
      <c r="C6" s="67" t="n">
        <v>0</v>
      </c>
      <c r="D6" s="67" t="inlineStr">
        <is>
          <t>Verify SetTime with valid current UTC timestamp succeeds</t>
        </is>
      </c>
      <c r="E6" s="67" t="n"/>
      <c r="F6" s="67" t="n"/>
      <c r="G6" s="67" t="n"/>
      <c r="H6" s="67" t="n"/>
      <c r="I6" s="67" t="inlineStr">
        <is>
          <t>n</t>
        </is>
      </c>
      <c r="J6" s="67" t="inlineStr">
        <is>
          <t>OPC 40450-1 Section 11 (CU-73) / Section 7.4</t>
        </is>
      </c>
      <c r="K6" s="67" t="inlineStr">
        <is>
          <t>CTT=n: modifies physical device clock</t>
        </is>
      </c>
    </row>
    <row r="7" ht="38.7" customHeight="1" s="132">
      <c r="A7" s="61" t="n"/>
      <c r="B7" s="61" t="n"/>
      <c r="C7" s="61" t="n">
        <v>1</v>
      </c>
      <c r="D7" s="61" t="inlineStr">
        <is>
          <t>Call SetTime with the current UTC time (DateTime.UtcNow within 1 second).</t>
        </is>
      </c>
      <c r="E7" s="61" t="inlineStr">
        <is>
          <t>SetTime method available. Device clock is accessible.</t>
        </is>
      </c>
      <c r="F7" s="61" t="inlineStr">
        <is>
          <t>SetTime returns Good. Device clock is updated to the provided UTC time (±1 second tolerance). Subsequent result timestamps reflect the updated time.</t>
        </is>
      </c>
      <c r="G7" s="61" t="inlineStr">
        <is>
          <t>Good</t>
        </is>
      </c>
      <c r="H7" s="61" t="inlineStr">
        <is>
          <t>Good</t>
        </is>
      </c>
      <c r="I7" s="61" t="n"/>
      <c r="J7" s="61" t="inlineStr">
        <is>
          <t>OPC 40450-1 Section 7.4 SetTime</t>
        </is>
      </c>
      <c r="K7" s="61" t="n"/>
    </row>
    <row r="8">
      <c r="A8" s="67" t="inlineStr">
        <is>
          <t>y</t>
        </is>
      </c>
      <c r="B8" s="67" t="n">
        <v>3</v>
      </c>
      <c r="C8" s="67" t="n">
        <v>0</v>
      </c>
      <c r="D8" s="67" t="inlineStr">
        <is>
          <t>Verify SetTime with null/empty DateTime returns error</t>
        </is>
      </c>
      <c r="E8" s="67" t="n"/>
      <c r="F8" s="67" t="n"/>
      <c r="G8" s="67" t="n"/>
      <c r="H8" s="67" t="n"/>
      <c r="I8" s="67" t="inlineStr">
        <is>
          <t>n</t>
        </is>
      </c>
      <c r="J8" s="67" t="inlineStr">
        <is>
          <t>OPC 40450-1 Section 11 (CU-73) / Section 7.4</t>
        </is>
      </c>
      <c r="K8" s="67" t="n"/>
    </row>
    <row r="9" ht="25.8" customHeight="1" s="132">
      <c r="A9" s="61" t="n"/>
      <c r="B9" s="61" t="n"/>
      <c r="C9" s="61" t="n">
        <v>1</v>
      </c>
      <c r="D9" s="61" t="inlineStr">
        <is>
          <t>Call SetTime with DateTime = null or MinValue (0001-01-01T00:00:00Z).</t>
        </is>
      </c>
      <c r="E9" s="61" t="inlineStr">
        <is>
          <t>SetTime method available.</t>
        </is>
      </c>
      <c r="F9" s="61" t="inlineStr">
        <is>
          <t>Call Service returns Good; method result code is Uncertain. Status output is 5 (invalid input). StatusMessage explains the rejected input; no state change is performed.</t>
        </is>
      </c>
      <c r="G9" s="61" t="inlineStr">
        <is>
          <t>Good</t>
        </is>
      </c>
      <c r="H9" s="61" t="inlineStr">
        <is>
          <t>Uncertain; Status=5 output with StatusMessage</t>
        </is>
      </c>
      <c r="I9" s="61" t="n"/>
      <c r="J9" s="61" t="inlineStr">
        <is>
          <t>OPC 40450-1 Section 7.4</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SetTime with a timestamp too far in the past returns error</t>
        </is>
      </c>
      <c r="E11" s="69" t="n"/>
      <c r="F11" s="69" t="n"/>
      <c r="G11" s="69" t="n"/>
      <c r="H11" s="69" t="n"/>
      <c r="I11" s="69" t="inlineStr">
        <is>
          <t>n</t>
        </is>
      </c>
      <c r="J11" s="69" t="inlineStr">
        <is>
          <t>OPC 40450-1 Section 11 (CU-73) / Section 7.4</t>
        </is>
      </c>
      <c r="K11" s="69" t="n"/>
    </row>
    <row r="12" ht="25.8" customHeight="1" s="132">
      <c r="A12" s="61" t="n"/>
      <c r="B12" s="61" t="n"/>
      <c r="C12" s="61" t="n">
        <v>1</v>
      </c>
      <c r="D12" s="61" t="inlineStr">
        <is>
          <t>Call SetTime with DateTime = 2000-01-01T00:00:00Z (24+ years in the past).</t>
        </is>
      </c>
      <c r="E12" s="61" t="inlineStr">
        <is>
          <t>SetTime method available.</t>
        </is>
      </c>
      <c r="F12" s="61" t="inlineStr">
        <is>
          <t>Call Service returns Good; method result code is Uncertain. Status output is 5 (invalid input). StatusMessage explains the rejected input; no state change is performed.</t>
        </is>
      </c>
      <c r="G12" s="61" t="inlineStr">
        <is>
          <t>Good</t>
        </is>
      </c>
      <c r="H12" s="61" t="inlineStr">
        <is>
          <t>Uncertain; Status=5 output with StatusMessage</t>
        </is>
      </c>
      <c r="I12" s="61" t="n"/>
      <c r="J12" s="61" t="inlineStr">
        <is>
          <t>OPC 40450-1 Section 7.4</t>
        </is>
      </c>
      <c r="K12" s="61" t="inlineStr">
        <is>
          <t>Tolerance depends on implementation; some servers may accept wide date ranges</t>
        </is>
      </c>
    </row>
    <row r="13">
      <c r="A13" s="110" t="inlineStr">
        <is>
          <t>n</t>
        </is>
      </c>
      <c r="B13" s="110" t="n">
        <v>2</v>
      </c>
      <c r="C13" s="110" t="n">
        <v>0</v>
      </c>
      <c r="D13" s="110" t="inlineStr">
        <is>
          <t>Call SetTime with time far in the past (&gt;100 years ago)</t>
        </is>
      </c>
      <c r="E13" s="110" t="n"/>
      <c r="F13" s="110" t="n"/>
      <c r="G13" s="110" t="n"/>
      <c r="H13" s="110" t="n"/>
      <c r="I13" s="110" t="inlineStr">
        <is>
          <t>n</t>
        </is>
      </c>
      <c r="J13" s="110" t="inlineStr">
        <is>
          <t>OPC 40450-1 Section 11.1 CU-73</t>
        </is>
      </c>
      <c r="K13" s="110" t="n"/>
    </row>
    <row r="14" ht="25.8" customHeight="1" s="132">
      <c r="A14" s="111" t="n"/>
      <c r="B14" s="111" t="n"/>
      <c r="C14" s="111" t="n">
        <v>1</v>
      </c>
      <c r="D14" s="111" t="inlineStr">
        <is>
          <t>Call SetTime with DateTime = year 1900.</t>
        </is>
      </c>
      <c r="E14" s="111" t="inlineStr">
        <is>
          <t>Server claims this Conformance Unit; no additional runtime setup is needed for this step.</t>
        </is>
      </c>
      <c r="F14" s="111" t="inlineStr">
        <is>
          <t>Call Service returns Good; method result code is Uncertain. Status output is 5 (invalid input). StatusMessage explains the rejected input; no state change is performed.</t>
        </is>
      </c>
      <c r="G14" s="111" t="inlineStr">
        <is>
          <t>Good</t>
        </is>
      </c>
      <c r="H14" s="111" t="inlineStr">
        <is>
          <t>Uncertain; Status=5 output with StatusMessage</t>
        </is>
      </c>
      <c r="I14" s="111" t="n"/>
      <c r="J14" s="111" t="inlineStr">
        <is>
          <t>OPC 40450-1 Section 11.1 CU-73</t>
        </is>
      </c>
      <c r="K14" s="111" t="inlineStr">
        <is>
          <t>Requirement source: OPC 40450-1 Section 9.7 - Unreasonable past time.</t>
        </is>
      </c>
    </row>
    <row r="15">
      <c r="A15" s="110" t="inlineStr">
        <is>
          <t>n</t>
        </is>
      </c>
      <c r="B15" s="110" t="n">
        <v>3</v>
      </c>
      <c r="C15" s="110" t="n">
        <v>0</v>
      </c>
      <c r="D15" s="110" t="inlineStr">
        <is>
          <t>Call SetTime from user with insufficient rights</t>
        </is>
      </c>
      <c r="E15" s="110" t="n"/>
      <c r="F15" s="110" t="n"/>
      <c r="G15" s="110" t="n"/>
      <c r="H15" s="110" t="n"/>
      <c r="I15" s="110" t="inlineStr">
        <is>
          <t>n</t>
        </is>
      </c>
      <c r="J15" s="110" t="inlineStr">
        <is>
          <t>OPC 40450-1 Section 11.1 CU-73</t>
        </is>
      </c>
      <c r="K15" s="110" t="n"/>
    </row>
    <row r="16" ht="25.8" customHeight="1" s="132">
      <c r="A16" s="111" t="n"/>
      <c r="B16" s="111" t="n"/>
      <c r="C16" s="111" t="n">
        <v>1</v>
      </c>
      <c r="D16" s="111" t="inlineStr">
        <is>
          <t>Call SetTime from a restricted user session without time-setting rights.</t>
        </is>
      </c>
      <c r="E16" s="111" t="inlineStr">
        <is>
          <t>Server claims this Conformance Unit; no additional runtime setup is needed for this step.</t>
        </is>
      </c>
      <c r="F16" s="111" t="inlineStr">
        <is>
          <t>Call Service returns Good; method result code is Bad_UserAccessDenied. No state change is performed and Status output is not used for this access-denied case.</t>
        </is>
      </c>
      <c r="G16" s="111" t="inlineStr">
        <is>
          <t>Good</t>
        </is>
      </c>
      <c r="H16" s="111" t="inlineStr">
        <is>
          <t>Bad_UserAccessDenied</t>
        </is>
      </c>
      <c r="I16" s="111" t="n"/>
      <c r="J16" s="111" t="inlineStr">
        <is>
          <t>OPC 40450-1 Section 11.1 CU-73</t>
        </is>
      </c>
      <c r="K16" s="111" t="inlineStr">
        <is>
          <t>Requirement source: OPC 10000-4 Section 5.11.2 - Insufficient user rights.</t>
        </is>
      </c>
    </row>
    <row r="17">
      <c r="A17" s="110" t="inlineStr">
        <is>
          <t>n</t>
        </is>
      </c>
      <c r="B17" s="110" t="n">
        <v>4</v>
      </c>
      <c r="C17" s="110" t="n">
        <v>0</v>
      </c>
      <c r="D17" s="110" t="inlineStr">
        <is>
          <t>Verify SetTime updates system time of asset</t>
        </is>
      </c>
      <c r="E17" s="110" t="n"/>
      <c r="F17" s="110" t="n"/>
      <c r="G17" s="110" t="n"/>
      <c r="H17" s="110" t="n"/>
      <c r="I17" s="110" t="inlineStr">
        <is>
          <t>n</t>
        </is>
      </c>
      <c r="J17" s="110" t="inlineStr">
        <is>
          <t>OPC 40450-1 Section 11.1 CU-73</t>
        </is>
      </c>
      <c r="K17" s="110" t="n"/>
    </row>
    <row r="18">
      <c r="A18" s="111" t="n"/>
      <c r="B18" s="111" t="n"/>
      <c r="C18" s="111" t="n">
        <v>1</v>
      </c>
      <c r="D18" s="111" t="inlineStr">
        <is>
          <t>Call SetTime with current UTC + 10s. Verify asset clock.</t>
        </is>
      </c>
      <c r="E18" s="111" t="inlineStr">
        <is>
          <t>Server claims this Conformance Unit; no additional runtime setup is needed for this step.</t>
        </is>
      </c>
      <c r="F18" s="111" t="inlineStr">
        <is>
          <t>Asset reports updated time. Returns Good.</t>
        </is>
      </c>
      <c r="G18" s="111" t="inlineStr">
        <is>
          <t>Good</t>
        </is>
      </c>
      <c r="H18" s="111" t="n"/>
      <c r="I18" s="111" t="n"/>
      <c r="J18" s="111" t="inlineStr">
        <is>
          <t>OPC 40450-1 Section 11.1 CU-73</t>
        </is>
      </c>
      <c r="K18" s="111" t="inlineStr">
        <is>
          <t>Requirement source: OPC 40450-1 Section 9.7 - SetTime must take effect.</t>
        </is>
      </c>
    </row>
  </sheetData>
  <mergeCells count="2">
    <mergeCell ref="A1:K1"/>
    <mergeCell ref="C2:J2"/>
  </mergeCells>
  <pageMargins left="0.75" right="0.75" top="1" bottom="1" header="0.5" footer="0.5"/>
</worksheet>
</file>

<file path=xl/worksheets/sheet8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CU-74: IJT Set Offline Timer</t>
        </is>
      </c>
    </row>
    <row r="2" ht="20.05" customHeight="1" s="132">
      <c r="A2" s="75">
        <f>HYPERLINK("#'Home'!A1","⌂ Home")</f>
        <v/>
      </c>
      <c r="C2" s="150" t="inlineStr">
        <is>
          <t>CU-74 — IJT Set Offline Timer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SetOfflineTimer method exists with duration input argument</t>
        </is>
      </c>
      <c r="E4" s="67" t="n"/>
      <c r="F4" s="67" t="n"/>
      <c r="G4" s="67" t="n"/>
      <c r="H4" s="67" t="n"/>
      <c r="I4" s="67" t="inlineStr">
        <is>
          <t>n</t>
        </is>
      </c>
      <c r="J4" s="67" t="inlineStr">
        <is>
          <t>OPC 40450-1 Section 11 (CU-74) / Section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SetOfflineTimer node. Inspect InputArguments.</t>
        </is>
      </c>
      <c r="E5" s="61" t="inlineStr">
        <is>
          <t>JoiningSystem with MethodSet accessible.</t>
        </is>
      </c>
      <c r="F5" s="61" t="inlineStr">
        <is>
          <t>SetOfflineTimer node found. NodeClass = Method. InputArguments includes a duration value (UInt32 or Duration, in seconds or milliseconds). ProductInstanceUri (String, optional).</t>
        </is>
      </c>
      <c r="G5" s="61" t="inlineStr">
        <is>
          <t>Good</t>
        </is>
      </c>
      <c r="H5" s="61" t="inlineStr">
        <is>
          <t>Good</t>
        </is>
      </c>
      <c r="I5" s="61" t="n"/>
      <c r="J5" s="61" t="inlineStr">
        <is>
          <t>OPC 40450-1 Section 7.4 SetOfflineTimer</t>
        </is>
      </c>
      <c r="K5" s="61" t="n"/>
    </row>
    <row r="6">
      <c r="A6" s="67" t="inlineStr">
        <is>
          <t>n</t>
        </is>
      </c>
      <c r="B6" s="67" t="n">
        <v>2</v>
      </c>
      <c r="C6" s="67" t="n">
        <v>0</v>
      </c>
      <c r="D6" s="67" t="inlineStr">
        <is>
          <t>Verify SetOfflineTimer with a valid non-zero duration succeeds</t>
        </is>
      </c>
      <c r="E6" s="67" t="n"/>
      <c r="F6" s="67" t="n"/>
      <c r="G6" s="67" t="n"/>
      <c r="H6" s="67" t="n"/>
      <c r="I6" s="67" t="inlineStr">
        <is>
          <t>n</t>
        </is>
      </c>
      <c r="J6" s="67" t="inlineStr">
        <is>
          <t>OPC 40450-1 Section 11 (CU-74) / Section 7.4</t>
        </is>
      </c>
      <c r="K6" s="67" t="inlineStr">
        <is>
          <t>CTT=n: affects device offline timing behaviour</t>
        </is>
      </c>
    </row>
    <row r="7" ht="25.8" customHeight="1" s="132">
      <c r="A7" s="61" t="n"/>
      <c r="B7" s="61" t="n"/>
      <c r="C7" s="61" t="n">
        <v>1</v>
      </c>
      <c r="D7" s="61" t="inlineStr">
        <is>
          <t>Call SetOfflineTimer with duration = 300 (300 seconds = 5 minutes).</t>
        </is>
      </c>
      <c r="E7" s="61" t="inlineStr">
        <is>
          <t>SetOfflineTimer method available.</t>
        </is>
      </c>
      <c r="F7" s="61" t="inlineStr">
        <is>
          <t>Returns Good. Device offline timer is configured to 300 seconds. Timer starts counting when device goes offline.</t>
        </is>
      </c>
      <c r="G7" s="61" t="inlineStr">
        <is>
          <t>Good</t>
        </is>
      </c>
      <c r="H7" s="61" t="inlineStr">
        <is>
          <t>Good</t>
        </is>
      </c>
      <c r="I7" s="61" t="n"/>
      <c r="J7" s="61" t="inlineStr">
        <is>
          <t>OPC 40450-1 Section 7.4 SetOfflineTimer</t>
        </is>
      </c>
      <c r="K7" s="61" t="n"/>
    </row>
    <row r="8">
      <c r="A8" s="67" t="inlineStr">
        <is>
          <t>y</t>
        </is>
      </c>
      <c r="B8" s="67" t="n">
        <v>3</v>
      </c>
      <c r="C8" s="67" t="n">
        <v>0</v>
      </c>
      <c r="D8" s="67" t="inlineStr">
        <is>
          <t>Verify SetOfflineTimer with duration = 0 disables the timer</t>
        </is>
      </c>
      <c r="E8" s="67" t="n"/>
      <c r="F8" s="67" t="n"/>
      <c r="G8" s="67" t="n"/>
      <c r="H8" s="67" t="n"/>
      <c r="I8" s="67" t="inlineStr">
        <is>
          <t>n</t>
        </is>
      </c>
      <c r="J8" s="67" t="inlineStr">
        <is>
          <t>OPC 40450-1 Section 11 (CU-74) / Section 7.4</t>
        </is>
      </c>
      <c r="K8" s="67" t="n"/>
    </row>
    <row r="9" ht="38.7" customHeight="1" s="132">
      <c r="A9" s="61" t="n"/>
      <c r="B9" s="61" t="n"/>
      <c r="C9" s="61" t="n">
        <v>1</v>
      </c>
      <c r="D9" s="61" t="inlineStr">
        <is>
          <t>Call SetOfflineTimer with duration = 0.</t>
        </is>
      </c>
      <c r="E9" s="61" t="inlineStr">
        <is>
          <t>SetOfflineTimer method available.</t>
        </is>
      </c>
      <c r="F9" s="61" t="inlineStr">
        <is>
          <t>Returns Good. Duration = 0 disables the offline timer and the device stays connected indefinitely when the implementation supports zero as the disable value.</t>
        </is>
      </c>
      <c r="G9" s="61" t="inlineStr">
        <is>
          <t>Good</t>
        </is>
      </c>
      <c r="H9" s="61" t="inlineStr">
        <is>
          <t>Good</t>
        </is>
      </c>
      <c r="I9" s="61" t="n"/>
      <c r="J9" s="61" t="inlineStr">
        <is>
          <t>OPC 40450-1 Section 7.4 SetOfflineTimer</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SetOfflineTimer with invalid ProductInstanceUri returns error</t>
        </is>
      </c>
      <c r="E11" s="69" t="n"/>
      <c r="F11" s="69" t="n"/>
      <c r="G11" s="69" t="n"/>
      <c r="H11" s="69" t="n"/>
      <c r="I11" s="69" t="inlineStr">
        <is>
          <t>n</t>
        </is>
      </c>
      <c r="J11" s="69" t="inlineStr">
        <is>
          <t>OPC 40450-1 Section 11 (CU-74) / Section 7.4</t>
        </is>
      </c>
      <c r="K11" s="69" t="n"/>
    </row>
    <row r="12" ht="25.8" customHeight="1" s="132">
      <c r="A12" s="61" t="n"/>
      <c r="B12" s="61" t="n"/>
      <c r="C12" s="61" t="n">
        <v>1</v>
      </c>
      <c r="D12" s="61" t="inlineStr">
        <is>
          <t>Call SetOfflineTimer with ProductInstanceUri = "urn:not:a:real:asset".</t>
        </is>
      </c>
      <c r="E12" s="61" t="inlineStr">
        <is>
          <t>SetOfflineTimer method available.</t>
        </is>
      </c>
      <c r="F12" s="61" t="inlineStr">
        <is>
          <t>Call Service returns Good; method result code is Uncertain. Status output is 4 (input identifier/entity not found). StatusMessage explains the rejected input; no state change is performed.</t>
        </is>
      </c>
      <c r="G12" s="61" t="inlineStr">
        <is>
          <t>Good</t>
        </is>
      </c>
      <c r="H12" s="61" t="inlineStr">
        <is>
          <t>Uncertain; Status=4 output with StatusMessage</t>
        </is>
      </c>
      <c r="I12" s="61" t="n"/>
      <c r="J12" s="61" t="inlineStr">
        <is>
          <t>OPC 40450-1 Section 11 (CU-64) / Section 7.4</t>
        </is>
      </c>
      <c r="K12" s="61" t="n"/>
    </row>
    <row r="13">
      <c r="A13" s="110" t="inlineStr">
        <is>
          <t>n</t>
        </is>
      </c>
      <c r="B13" s="110" t="n">
        <v>2</v>
      </c>
      <c r="C13" s="110" t="n">
        <v>0</v>
      </c>
      <c r="D13" s="110" t="inlineStr">
        <is>
          <t>Call SetOfflineTimer with Duration=0</t>
        </is>
      </c>
      <c r="E13" s="110" t="n"/>
      <c r="F13" s="110" t="n"/>
      <c r="G13" s="110" t="n"/>
      <c r="H13" s="110" t="n"/>
      <c r="I13" s="110" t="inlineStr">
        <is>
          <t>n</t>
        </is>
      </c>
      <c r="J13" s="110" t="inlineStr">
        <is>
          <t>OPC 40450-1 Section 11.1 CU-74</t>
        </is>
      </c>
      <c r="K13" s="110" t="n"/>
    </row>
    <row r="14" ht="25.8" customHeight="1" s="132">
      <c r="A14" s="111" t="n"/>
      <c r="B14" s="111" t="n"/>
      <c r="C14" s="111" t="n">
        <v>1</v>
      </c>
      <c r="D14" s="111" t="inlineStr">
        <is>
          <t>Call SetOfflineTimer with Duration=0.</t>
        </is>
      </c>
      <c r="E14" s="111" t="inlineStr">
        <is>
          <t>Server claims this Conformance Unit; no additional runtime setup is needed for this step.</t>
        </is>
      </c>
      <c r="F14" s="111" t="inlineStr">
        <is>
          <t>Call Service returns Good; method result code is Uncertain. Status output is 5 (invalid input). StatusMessage explains the rejected input; no state change is performed.</t>
        </is>
      </c>
      <c r="G14" s="111" t="inlineStr">
        <is>
          <t>Good</t>
        </is>
      </c>
      <c r="H14" s="111" t="inlineStr">
        <is>
          <t>Uncertain; Status=5 output with StatusMessage</t>
        </is>
      </c>
      <c r="I14" s="111" t="n"/>
      <c r="J14" s="111" t="inlineStr">
        <is>
          <t>OPC 40450-1 Section 11.1 CU-74</t>
        </is>
      </c>
      <c r="K14" s="111" t="inlineStr">
        <is>
          <t>Requirement source: OPC 40450-1 Section 9.8 - Zero duration meaningless.</t>
        </is>
      </c>
    </row>
    <row r="15">
      <c r="A15" s="110" t="inlineStr">
        <is>
          <t>n</t>
        </is>
      </c>
      <c r="B15" s="110" t="n">
        <v>3</v>
      </c>
      <c r="C15" s="110" t="n">
        <v>0</v>
      </c>
      <c r="D15" s="110" t="inlineStr">
        <is>
          <t>Call SetOfflineTimer with negative Duration</t>
        </is>
      </c>
      <c r="E15" s="110" t="n"/>
      <c r="F15" s="110" t="n"/>
      <c r="G15" s="110" t="n"/>
      <c r="H15" s="110" t="n"/>
      <c r="I15" s="110" t="inlineStr">
        <is>
          <t>n</t>
        </is>
      </c>
      <c r="J15" s="110" t="inlineStr">
        <is>
          <t>OPC 40450-1 Section 11.1 CU-74</t>
        </is>
      </c>
      <c r="K15" s="110" t="n"/>
    </row>
    <row r="16" ht="25.8" customHeight="1" s="132">
      <c r="A16" s="111" t="n"/>
      <c r="B16" s="111" t="n"/>
      <c r="C16" s="111" t="n">
        <v>1</v>
      </c>
      <c r="D16" s="111" t="inlineStr">
        <is>
          <t>Call SetOfflineTimer with Duration=-1000.</t>
        </is>
      </c>
      <c r="E16" s="111" t="inlineStr">
        <is>
          <t>Server claims this Conformance Unit; no additional runtime setup is needed for this step.</t>
        </is>
      </c>
      <c r="F16" s="111" t="inlineStr">
        <is>
          <t>Call Service returns Good; method result code is Uncertain. Status output is 5 (invalid input). StatusMessage explains the rejected input; no state change is performed.</t>
        </is>
      </c>
      <c r="G16" s="111" t="inlineStr">
        <is>
          <t>Good</t>
        </is>
      </c>
      <c r="H16" s="111" t="inlineStr">
        <is>
          <t>Uncertain; Status=5 output with StatusMessage</t>
        </is>
      </c>
      <c r="I16" s="111" t="n"/>
      <c r="J16" s="111" t="inlineStr">
        <is>
          <t>OPC 40450-1 Section 11.1 CU-74</t>
        </is>
      </c>
      <c r="K16" s="111" t="inlineStr">
        <is>
          <t>Requirement source: OPC 40450-1 Section 9.8 - Negative duration invalid.</t>
        </is>
      </c>
    </row>
    <row r="17">
      <c r="A17" s="110" t="inlineStr">
        <is>
          <t>n</t>
        </is>
      </c>
      <c r="B17" s="110" t="n">
        <v>4</v>
      </c>
      <c r="C17" s="110" t="n">
        <v>0</v>
      </c>
      <c r="D17" s="110" t="inlineStr">
        <is>
          <t>Verify SetOfflineTimer event generated when timer expires</t>
        </is>
      </c>
      <c r="E17" s="110" t="n"/>
      <c r="F17" s="110" t="n"/>
      <c r="G17" s="110" t="n"/>
      <c r="H17" s="110" t="n"/>
      <c r="I17" s="110" t="inlineStr">
        <is>
          <t>n</t>
        </is>
      </c>
      <c r="J17" s="110" t="inlineStr">
        <is>
          <t>OPC 40450-1 Section 11.1 CU-74</t>
        </is>
      </c>
      <c r="K17" s="110" t="n"/>
    </row>
    <row r="18">
      <c r="A18" s="111" t="n"/>
      <c r="B18" s="111" t="n"/>
      <c r="C18" s="111" t="n">
        <v>1</v>
      </c>
      <c r="D18" s="111" t="inlineStr">
        <is>
          <t>Set short timer (5s). Wait. Check event.</t>
        </is>
      </c>
      <c r="E18" s="111" t="inlineStr">
        <is>
          <t>Server claims this Conformance Unit; no additional runtime setup is needed for this step.</t>
        </is>
      </c>
      <c r="F18" s="111" t="inlineStr">
        <is>
          <t>Event received when timer expires.</t>
        </is>
      </c>
      <c r="G18" s="111" t="inlineStr">
        <is>
          <t>Good</t>
        </is>
      </c>
      <c r="H18" s="111" t="n"/>
      <c r="I18" s="111" t="n"/>
      <c r="J18" s="111" t="inlineStr">
        <is>
          <t>OPC 40450-1 Section 11.1 CU-74</t>
        </is>
      </c>
      <c r="K18" s="111" t="inlineStr">
        <is>
          <t>Requirement source: OPC 40450-1 Section 9.8 - Timer expiry generates event.</t>
        </is>
      </c>
    </row>
  </sheetData>
  <mergeCells count="2">
    <mergeCell ref="A1:K1"/>
    <mergeCell ref="C2:J2"/>
  </mergeCells>
  <pageMargins left="0.75" right="0.75" top="1" bottom="1" header="0.5" footer="0.5"/>
</worksheet>
</file>

<file path=xl/worksheets/sheet81.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CU-75: IJT IO Signals Methods</t>
        </is>
      </c>
    </row>
    <row r="2" ht="20.05" customHeight="1" s="132">
      <c r="A2" s="75">
        <f>HYPERLINK("#'Home'!A1","⌂ Home")</f>
        <v/>
      </c>
      <c r="C2" s="150" t="inlineStr">
        <is>
          <t>CU-75 — IJT IO Signals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both SetIOSignals and GetIOSignals methods exist</t>
        </is>
      </c>
      <c r="E4" s="67" t="n"/>
      <c r="F4" s="67" t="n"/>
      <c r="G4" s="67" t="n"/>
      <c r="H4" s="67" t="n"/>
      <c r="I4" s="67" t="inlineStr">
        <is>
          <t>n</t>
        </is>
      </c>
      <c r="J4" s="67" t="inlineStr">
        <is>
          <t>OPC 40450-1 Section 11 (CU-75) / Section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SetIOSignals and GetIOSignals nodes.</t>
        </is>
      </c>
      <c r="E5" s="61" t="inlineStr">
        <is>
          <t>JoiningSystem with MethodSet.</t>
        </is>
      </c>
      <c r="F5" s="61" t="inlineStr">
        <is>
          <t>Both SetIOSignals and GetIOSignals are present. NodeClass = Method. Per spec: "Server supports SetIOSignals, GetIOSignals methods for the asset."</t>
        </is>
      </c>
      <c r="G5" s="61" t="inlineStr">
        <is>
          <t>Good</t>
        </is>
      </c>
      <c r="H5" s="61" t="inlineStr">
        <is>
          <t>Good</t>
        </is>
      </c>
      <c r="I5" s="61" t="n"/>
      <c r="J5" s="61" t="inlineStr">
        <is>
          <t>OPC 40450-1 Section 11 (CU-75) / Section 7.4</t>
        </is>
      </c>
      <c r="K5" s="61" t="n"/>
    </row>
    <row r="6">
      <c r="A6" s="67" t="inlineStr">
        <is>
          <t>y</t>
        </is>
      </c>
      <c r="B6" s="67" t="n">
        <v>2</v>
      </c>
      <c r="C6" s="67" t="n">
        <v>0</v>
      </c>
      <c r="D6" s="67" t="inlineStr">
        <is>
          <t>Verify GetIOSignals returns current IO signal state</t>
        </is>
      </c>
      <c r="E6" s="67" t="n"/>
      <c r="F6" s="67" t="n"/>
      <c r="G6" s="67" t="n"/>
      <c r="H6" s="67" t="n"/>
      <c r="I6" s="67" t="inlineStr">
        <is>
          <t>n</t>
        </is>
      </c>
      <c r="J6" s="67" t="inlineStr">
        <is>
          <t>OPC 40450-1 Section 11 (CU-75) / Section 7.4</t>
        </is>
      </c>
      <c r="K6" s="67" t="n"/>
    </row>
    <row r="7" ht="51.6" customHeight="1" s="132">
      <c r="A7" s="61" t="n"/>
      <c r="B7" s="61" t="n"/>
      <c r="C7" s="61" t="n">
        <v>1</v>
      </c>
      <c r="D7" s="61" t="inlineStr">
        <is>
          <t>Call GetIOSignals with a valid ProductInstanceUri (or empty for default asset).</t>
        </is>
      </c>
      <c r="E7" s="61" t="inlineStr">
        <is>
          <t>Asset with IO signals configured.</t>
        </is>
      </c>
      <c r="F7" s="61" t="inlineStr">
        <is>
          <t>GetIOSignals returns Good. OutputArguments is an array of IOSignalDataType (or equivalent). Each entry has SignalId, SignalType, SignalValue. Array may be empty if no IO signals are configured.</t>
        </is>
      </c>
      <c r="G7" s="61" t="inlineStr">
        <is>
          <t>Good</t>
        </is>
      </c>
      <c r="H7" s="61" t="inlineStr">
        <is>
          <t>Good</t>
        </is>
      </c>
      <c r="I7" s="61" t="n"/>
      <c r="J7" s="61" t="inlineStr">
        <is>
          <t>OPC 40450-1 Section 7.4 GetIOSignals</t>
        </is>
      </c>
      <c r="K7" s="61" t="n"/>
    </row>
    <row r="8">
      <c r="A8" s="67" t="inlineStr">
        <is>
          <t>n</t>
        </is>
      </c>
      <c r="B8" s="67" t="n">
        <v>3</v>
      </c>
      <c r="C8" s="67" t="n">
        <v>0</v>
      </c>
      <c r="D8" s="67" t="inlineStr">
        <is>
          <t>Verify SetIOSignals updates the signal state</t>
        </is>
      </c>
      <c r="E8" s="67" t="n"/>
      <c r="F8" s="67" t="n"/>
      <c r="G8" s="67" t="n"/>
      <c r="H8" s="67" t="n"/>
      <c r="I8" s="67" t="inlineStr">
        <is>
          <t>n</t>
        </is>
      </c>
      <c r="J8" s="67" t="inlineStr">
        <is>
          <t>OPC 40450-1 Section 11 (CU-75) / Section 7.4</t>
        </is>
      </c>
      <c r="K8" s="67" t="inlineStr">
        <is>
          <t>CTT=n: modifies physical IO signal outputs</t>
        </is>
      </c>
    </row>
    <row r="9" ht="38.7" customHeight="1" s="132">
      <c r="A9" s="61" t="n"/>
      <c r="B9" s="61" t="n"/>
      <c r="C9" s="61" t="n">
        <v>1</v>
      </c>
      <c r="D9" s="61" t="inlineStr">
        <is>
          <t>Get current IO state via GetIOSignals. Modify one output signal. Call SetIOSignals with updated value. Re-read via GetIOSignals.</t>
        </is>
      </c>
      <c r="E9" s="61" t="inlineStr">
        <is>
          <t>At least one writable/output IO signal configured. SetIOSignals available.</t>
        </is>
      </c>
      <c r="F9" s="61" t="inlineStr">
        <is>
          <t>SetIOSignals returns Good. Subsequent GetIOSignals returns the updated signal value. Physical IO state on device reflects the sent signal.</t>
        </is>
      </c>
      <c r="G9" s="61" t="inlineStr">
        <is>
          <t>Good</t>
        </is>
      </c>
      <c r="H9" s="61" t="inlineStr">
        <is>
          <t>Good</t>
        </is>
      </c>
      <c r="I9" s="61" t="n"/>
      <c r="J9" s="61" t="inlineStr">
        <is>
          <t>OPC 40450-1 Section 7.4 SetIOSignals</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GetIOSignals with invalid ProductInstanceUri returns error</t>
        </is>
      </c>
      <c r="E11" s="69" t="n"/>
      <c r="F11" s="69" t="n"/>
      <c r="G11" s="69" t="n"/>
      <c r="H11" s="69" t="n"/>
      <c r="I11" s="69" t="inlineStr">
        <is>
          <t>n</t>
        </is>
      </c>
      <c r="J11" s="69" t="inlineStr">
        <is>
          <t>OPC 40450-1 Section 11 (CU-75) / Section 7.4</t>
        </is>
      </c>
      <c r="K11" s="69" t="n"/>
    </row>
    <row r="12" ht="25.8" customHeight="1" s="132">
      <c r="A12" s="61" t="n"/>
      <c r="B12" s="61" t="n"/>
      <c r="C12" s="61" t="n">
        <v>1</v>
      </c>
      <c r="D12" s="61" t="inlineStr">
        <is>
          <t>Call GetIOSignals with ProductInstanceUri = "urn:invalid".</t>
        </is>
      </c>
      <c r="E12" s="61" t="inlineStr">
        <is>
          <t>GetIOSignals method available.</t>
        </is>
      </c>
      <c r="F12" s="61" t="inlineStr">
        <is>
          <t>Call Service returns Good; method result code is Uncertain. Status output is 2 (ProductInstanceUri not found). StatusMessage explains the rejected input; no state change is performed.</t>
        </is>
      </c>
      <c r="G12" s="61" t="inlineStr">
        <is>
          <t>Good</t>
        </is>
      </c>
      <c r="H12" s="61" t="inlineStr">
        <is>
          <t>Uncertain; Status=2 output with StatusMessage</t>
        </is>
      </c>
      <c r="I12" s="61" t="n"/>
      <c r="J12" s="61" t="inlineStr">
        <is>
          <t>OPC 40450-1 Section 11 (CU-64) / Section 7.4</t>
        </is>
      </c>
      <c r="K12" s="61" t="n"/>
    </row>
    <row r="13">
      <c r="A13" s="69" t="inlineStr">
        <is>
          <t>n</t>
        </is>
      </c>
      <c r="B13" s="69" t="n">
        <v>2</v>
      </c>
      <c r="C13" s="69" t="n">
        <v>0</v>
      </c>
      <c r="D13" s="69" t="inlineStr">
        <is>
          <t>Verify SetIOSignals with an invalid signal identifier returns error</t>
        </is>
      </c>
      <c r="E13" s="69" t="n"/>
      <c r="F13" s="69" t="n"/>
      <c r="G13" s="69" t="n"/>
      <c r="H13" s="69" t="n"/>
      <c r="I13" s="69" t="inlineStr">
        <is>
          <t>n</t>
        </is>
      </c>
      <c r="J13" s="69" t="inlineStr">
        <is>
          <t>OPC 40450-1 Section 11 (CU-75) / Section 7.4</t>
        </is>
      </c>
      <c r="K13" s="69" t="n"/>
    </row>
    <row r="14" ht="25.8" customHeight="1" s="132">
      <c r="A14" s="61" t="n"/>
      <c r="B14" s="61" t="n"/>
      <c r="C14" s="61" t="n">
        <v>1</v>
      </c>
      <c r="D14" s="61" t="inlineStr">
        <is>
          <t>Call SetIOSignals with a signal entry containing an unknown/invalid SignalId.</t>
        </is>
      </c>
      <c r="E14" s="61" t="inlineStr">
        <is>
          <t>SetIOSignals method available.</t>
        </is>
      </c>
      <c r="F14" s="61" t="inlineStr">
        <is>
          <t>Call Service returns Good; method result code is Uncertain. Status output is 4 (input identifier/entity not found). StatusMessage explains the rejected input; no state change is performed.</t>
        </is>
      </c>
      <c r="G14" s="61" t="inlineStr">
        <is>
          <t>Good</t>
        </is>
      </c>
      <c r="H14" s="61" t="inlineStr">
        <is>
          <t>Uncertain; Status=4 output with StatusMessage</t>
        </is>
      </c>
      <c r="I14" s="61" t="n"/>
      <c r="J14" s="61" t="inlineStr">
        <is>
          <t>OPC 40450-1 Section 7.4</t>
        </is>
      </c>
      <c r="K14" s="61" t="n"/>
    </row>
    <row r="15">
      <c r="A15" s="110" t="inlineStr">
        <is>
          <t>n</t>
        </is>
      </c>
      <c r="B15" s="110" t="n">
        <v>3</v>
      </c>
      <c r="C15" s="110" t="n">
        <v>0</v>
      </c>
      <c r="D15" s="110" t="inlineStr">
        <is>
          <t>Call SetIOSignals with non-existent SignalId</t>
        </is>
      </c>
      <c r="E15" s="110" t="n"/>
      <c r="F15" s="110" t="n"/>
      <c r="G15" s="110" t="n"/>
      <c r="H15" s="110" t="n"/>
      <c r="I15" s="110" t="inlineStr">
        <is>
          <t>n</t>
        </is>
      </c>
      <c r="J15" s="110" t="inlineStr">
        <is>
          <t>OPC 40450-1 Section 11.1 CU-75</t>
        </is>
      </c>
      <c r="K15" s="110" t="n"/>
    </row>
    <row r="16">
      <c r="A16" s="111" t="n"/>
      <c r="B16" s="111" t="n"/>
      <c r="C16" s="111" t="n">
        <v>1</v>
      </c>
      <c r="D16" s="111" t="inlineStr">
        <is>
          <t>Call SetIOSignals with fabricated SignalId.</t>
        </is>
      </c>
      <c r="E16" s="111" t="inlineStr">
        <is>
          <t>Server claims this Conformance Unit; no additional runtime setup is needed for this step.</t>
        </is>
      </c>
      <c r="F16" s="111" t="inlineStr">
        <is>
          <t>Call Service returns Good; method result code is Uncertain. Status output is 4 (input identifier/entity not found). StatusMessage explains the rejected input; no state change is performed.</t>
        </is>
      </c>
      <c r="G16" s="111" t="inlineStr">
        <is>
          <t>Good</t>
        </is>
      </c>
      <c r="H16" s="111" t="inlineStr">
        <is>
          <t>Uncertain; Status=4 output with StatusMessage</t>
        </is>
      </c>
      <c r="I16" s="111" t="n"/>
      <c r="J16" s="111" t="inlineStr">
        <is>
          <t>OPC 40450-1 Section 11.1 CU-75</t>
        </is>
      </c>
      <c r="K16" s="111" t="inlineStr">
        <is>
          <t>Requirement source: OPC 40450-1 Section 9.9 - SignalId must exist.</t>
        </is>
      </c>
    </row>
    <row r="17">
      <c r="A17" s="110" t="inlineStr">
        <is>
          <t>n</t>
        </is>
      </c>
      <c r="B17" s="110" t="n">
        <v>4</v>
      </c>
      <c r="C17" s="110" t="n">
        <v>0</v>
      </c>
      <c r="D17" s="110" t="inlineStr">
        <is>
          <t>Call SetIOSignals on a non-writable INPUT signal.</t>
        </is>
      </c>
      <c r="E17" s="110" t="n"/>
      <c r="F17" s="110" t="n"/>
      <c r="G17" s="110" t="n"/>
      <c r="H17" s="110" t="n"/>
      <c r="I17" s="110" t="inlineStr">
        <is>
          <t>n</t>
        </is>
      </c>
      <c r="J17" s="110" t="inlineStr">
        <is>
          <t>OPC 40450-1 Section 11.1 CU-75</t>
        </is>
      </c>
      <c r="K17" s="110" t="n"/>
    </row>
    <row r="18">
      <c r="A18" s="111" t="n"/>
      <c r="B18" s="111" t="n"/>
      <c r="C18" s="111" t="n">
        <v>1</v>
      </c>
      <c r="D18" s="111" t="inlineStr">
        <is>
          <t>Call SetIOSignals targeting INPUT signal.</t>
        </is>
      </c>
      <c r="E18" s="111" t="inlineStr">
        <is>
          <t>Server claims this Conformance Unit; no additional runtime setup is needed for this step.</t>
        </is>
      </c>
      <c r="F18" s="111" t="inlineStr">
        <is>
          <t>Call Service returns Good; method result code is Uncertain. Status output is 5 (invalid input). StatusMessage explains the rejected input; no state change is performed.</t>
        </is>
      </c>
      <c r="G18" s="111" t="inlineStr">
        <is>
          <t>Good</t>
        </is>
      </c>
      <c r="H18" s="111" t="inlineStr">
        <is>
          <t>Uncertain; Status=5 output with StatusMessage</t>
        </is>
      </c>
      <c r="I18" s="111" t="n"/>
      <c r="J18" s="111" t="inlineStr">
        <is>
          <t>OPC 40450-1 Section 11.1 CU-75</t>
        </is>
      </c>
      <c r="K18" s="111" t="inlineStr">
        <is>
          <t>Requirement source: OPC 40450-1 Section 9.9 - INPUT signals are not writable through SetIOSignals.</t>
        </is>
      </c>
    </row>
    <row r="19">
      <c r="A19" s="110" t="inlineStr">
        <is>
          <t>n</t>
        </is>
      </c>
      <c r="B19" s="110" t="n">
        <v>5</v>
      </c>
      <c r="C19" s="110" t="n">
        <v>0</v>
      </c>
      <c r="D19" s="110" t="inlineStr">
        <is>
          <t>Call GetIOSignals with empty SignalId filter</t>
        </is>
      </c>
      <c r="E19" s="110" t="n"/>
      <c r="F19" s="110" t="n"/>
      <c r="G19" s="110" t="n"/>
      <c r="H19" s="110" t="n"/>
      <c r="I19" s="110" t="inlineStr">
        <is>
          <t>n</t>
        </is>
      </c>
      <c r="J19" s="110" t="inlineStr">
        <is>
          <t>OPC 40450-1 Section 11.1 CU-75</t>
        </is>
      </c>
      <c r="K19" s="110" t="n"/>
    </row>
    <row r="20">
      <c r="A20" s="111" t="n"/>
      <c r="B20" s="111" t="n"/>
      <c r="C20" s="111" t="n">
        <v>1</v>
      </c>
      <c r="D20" s="111" t="inlineStr">
        <is>
          <t>Call GetIOSignals with empty filter.</t>
        </is>
      </c>
      <c r="E20" s="111" t="inlineStr">
        <is>
          <t>Server claims this Conformance Unit; no additional runtime setup is needed for this step.</t>
        </is>
      </c>
      <c r="F20" s="111" t="inlineStr">
        <is>
          <t>Call Service returns Good; method result code is Uncertain. Status output is 5 (invalid input). StatusMessage explains the rejected input; no state change is performed.</t>
        </is>
      </c>
      <c r="G20" s="111" t="inlineStr">
        <is>
          <t>Good</t>
        </is>
      </c>
      <c r="H20" s="111" t="inlineStr">
        <is>
          <t>Uncertain; Status=5 output with StatusMessage</t>
        </is>
      </c>
      <c r="I20" s="111" t="n"/>
      <c r="J20" s="111" t="inlineStr">
        <is>
          <t>OPC 40450-1 Section 11.1 CU-75</t>
        </is>
      </c>
      <c r="K20" s="111" t="inlineStr">
        <is>
          <t>Requirement source: OPC 40450-1 Section 9.9 - Empty filter behavior.</t>
        </is>
      </c>
    </row>
  </sheetData>
  <mergeCells count="2">
    <mergeCell ref="A1:K1"/>
    <mergeCell ref="C2:J2"/>
  </mergeCells>
  <pageMargins left="0.75" right="0.75" top="1" bottom="1" header="0.5" footer="0.5"/>
</worksheet>
</file>

<file path=xl/worksheets/sheet82.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CU-76: IJT Get Error Information</t>
        </is>
      </c>
    </row>
    <row r="2" ht="20.05" customHeight="1" s="132">
      <c r="A2" s="75">
        <f>HYPERLINK("#'Home'!A1","⌂ Home")</f>
        <v/>
      </c>
      <c r="C2" s="150" t="inlineStr">
        <is>
          <t>CU-76 — IJT Get Error Information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GetErrorInformation method exists with correct signature</t>
        </is>
      </c>
      <c r="E4" s="67" t="n"/>
      <c r="F4" s="67" t="n"/>
      <c r="G4" s="67" t="n"/>
      <c r="H4" s="67" t="n"/>
      <c r="I4" s="67" t="inlineStr">
        <is>
          <t>n</t>
        </is>
      </c>
      <c r="J4" s="67" t="inlineStr">
        <is>
          <t>OPC 40450-1 Section 11 (CU-76) / Section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GetErrorInformation node. Inspect arguments.</t>
        </is>
      </c>
      <c r="E5" s="61" t="inlineStr">
        <is>
          <t>JoiningSystem with MethodSet.</t>
        </is>
      </c>
      <c r="F5" s="61" t="inlineStr">
        <is>
          <t>GetErrorInformation node found. NodeClass = Method. InputArguments: ProductInstanceUri (String, optional). OutputArguments: Errors[] (array of ErrorInformationDataType).</t>
        </is>
      </c>
      <c r="G5" s="61" t="inlineStr">
        <is>
          <t>Good</t>
        </is>
      </c>
      <c r="H5" s="61" t="inlineStr">
        <is>
          <t>Good</t>
        </is>
      </c>
      <c r="I5" s="61" t="n"/>
      <c r="J5" s="61" t="inlineStr">
        <is>
          <t>OPC 40450-1 Section 7.4 GetErrorInformation</t>
        </is>
      </c>
      <c r="K5" s="61" t="n"/>
    </row>
    <row r="6">
      <c r="A6" s="67" t="inlineStr">
        <is>
          <t>y</t>
        </is>
      </c>
      <c r="B6" s="67" t="n">
        <v>2</v>
      </c>
      <c r="C6" s="67" t="n">
        <v>0</v>
      </c>
      <c r="D6" s="67" t="inlineStr">
        <is>
          <t>Verify GetErrorInformation returns empty array when no active errors</t>
        </is>
      </c>
      <c r="E6" s="67" t="n"/>
      <c r="F6" s="67" t="n"/>
      <c r="G6" s="67" t="n"/>
      <c r="H6" s="67" t="n"/>
      <c r="I6" s="67" t="inlineStr">
        <is>
          <t>n</t>
        </is>
      </c>
      <c r="J6" s="67" t="inlineStr">
        <is>
          <t>OPC 40450-1 Section 11 (CU-76) / Section 7.4</t>
        </is>
      </c>
      <c r="K6" s="67" t="n"/>
    </row>
    <row r="7" ht="25.8" customHeight="1" s="132">
      <c r="A7" s="61" t="n"/>
      <c r="B7" s="61" t="n"/>
      <c r="C7" s="61" t="n">
        <v>1</v>
      </c>
      <c r="D7" s="61" t="inlineStr">
        <is>
          <t>Call GetErrorInformation when device is in normal operation with no active errors.</t>
        </is>
      </c>
      <c r="E7" s="61" t="inlineStr">
        <is>
          <t>Device in normal operating state, no active errors.</t>
        </is>
      </c>
      <c r="F7" s="61" t="inlineStr">
        <is>
          <t>Returns Good. Errors[] output argument is an empty array. Service does not return Bad status for zero errors.</t>
        </is>
      </c>
      <c r="G7" s="61" t="inlineStr">
        <is>
          <t>Good</t>
        </is>
      </c>
      <c r="H7" s="61" t="inlineStr">
        <is>
          <t>Good</t>
        </is>
      </c>
      <c r="I7" s="61" t="n"/>
      <c r="J7" s="61" t="inlineStr">
        <is>
          <t>OPC 40450-1 Section 7.4 GetErrorInformation</t>
        </is>
      </c>
      <c r="K7" s="61" t="n"/>
    </row>
    <row r="8">
      <c r="A8" s="67" t="inlineStr">
        <is>
          <t>n</t>
        </is>
      </c>
      <c r="B8" s="67" t="n">
        <v>3</v>
      </c>
      <c r="C8" s="67" t="n">
        <v>0</v>
      </c>
      <c r="D8" s="67" t="inlineStr">
        <is>
          <t>Verify GetErrorInformation returns error details during an active fault</t>
        </is>
      </c>
      <c r="E8" s="67" t="n"/>
      <c r="F8" s="67" t="n"/>
      <c r="G8" s="67" t="n"/>
      <c r="H8" s="67" t="n"/>
      <c r="I8" s="67" t="inlineStr">
        <is>
          <t>n</t>
        </is>
      </c>
      <c r="J8" s="67" t="inlineStr">
        <is>
          <t>OPC 40450-1 Section 11 (CU-76) / Section 7.4</t>
        </is>
      </c>
      <c r="K8" s="67" t="inlineStr">
        <is>
          <t>CTT=n: requires a real device fault condition</t>
        </is>
      </c>
    </row>
    <row r="9" ht="51.6" customHeight="1" s="132">
      <c r="A9" s="61" t="n"/>
      <c r="B9" s="61" t="n"/>
      <c r="C9" s="61" t="n">
        <v>1</v>
      </c>
      <c r="D9" s="61" t="inlineStr">
        <is>
          <t>Trigger a device error condition. Call GetErrorInformation.</t>
        </is>
      </c>
      <c r="E9" s="61" t="inlineStr">
        <is>
          <t>Device with at least one active error/fault condition.</t>
        </is>
      </c>
      <c r="F9" s="61" t="inlineStr">
        <is>
          <t>Returns Good. Errors[] array contains at least one ErrorInformationDataType. Each entry has: ErrorType (Byte, 0-6), ErrorCode (String or Int32), ErrorMessage (LocalizedText). Fields are non-null.</t>
        </is>
      </c>
      <c r="G9" s="61" t="inlineStr">
        <is>
          <t>Good</t>
        </is>
      </c>
      <c r="H9" s="61" t="inlineStr">
        <is>
          <t>Good</t>
        </is>
      </c>
      <c r="I9" s="61" t="n"/>
      <c r="J9" s="61" t="inlineStr">
        <is>
          <t>OPC 40450-1 Section 10 Table 224 ErrorInformationDataType</t>
        </is>
      </c>
      <c r="K9" s="61" t="n"/>
    </row>
    <row r="10" ht="25.8" customHeight="1" s="132">
      <c r="A10" s="67" t="inlineStr">
        <is>
          <t>y</t>
        </is>
      </c>
      <c r="B10" s="67" t="n">
        <v>4</v>
      </c>
      <c r="C10" s="67" t="n">
        <v>0</v>
      </c>
      <c r="D10" s="67" t="inlineStr">
        <is>
          <t>Verify ErrorInformationDataType mandatory fields are present in each error entry</t>
        </is>
      </c>
      <c r="E10" s="67" t="n"/>
      <c r="F10" s="67" t="n"/>
      <c r="G10" s="67" t="n"/>
      <c r="H10" s="67" t="n"/>
      <c r="I10" s="67" t="inlineStr">
        <is>
          <t>n</t>
        </is>
      </c>
      <c r="J10" s="67" t="inlineStr">
        <is>
          <t>OPC 40450-1 Section 11 (CU-76) / Section 7.4</t>
        </is>
      </c>
      <c r="K10" s="67" t="n"/>
    </row>
    <row r="11" ht="51.6" customHeight="1" s="132">
      <c r="A11" s="61" t="n"/>
      <c r="B11" s="61" t="n"/>
      <c r="C11" s="61" t="n">
        <v>1</v>
      </c>
      <c r="D11" s="61" t="inlineStr">
        <is>
          <t>Retrieve error information when at least one error is active. Inspect each ErrorInformationDataType entry.</t>
        </is>
      </c>
      <c r="E11" s="61" t="inlineStr">
        <is>
          <t>GetErrorInformation returning at least one error entry.</t>
        </is>
      </c>
      <c r="F11" s="61" t="inlineStr">
        <is>
          <t>Each ErrorInformationDataType has: ErrorType in range [0,6] (0=UNDEFINED,1=OTHER,2=HARDWARE,3=PROCESS,4=OPERATOR,5=SYSTEM,6=SAFETY), ErrorMessage is non-null LocalizedText. ErrorCode is optional but if present is non-empty.</t>
        </is>
      </c>
      <c r="G11" s="61" t="inlineStr">
        <is>
          <t>Good</t>
        </is>
      </c>
      <c r="H11" s="61" t="inlineStr">
        <is>
          <t>Good</t>
        </is>
      </c>
      <c r="I11" s="61" t="n"/>
      <c r="J11" s="61" t="inlineStr">
        <is>
          <t>OPC 40450-1 Section 10 Table 224</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GetErrorInformation with invalid ProductInstanceUri returns error</t>
        </is>
      </c>
      <c r="E13" s="69" t="n"/>
      <c r="F13" s="69" t="n"/>
      <c r="G13" s="69" t="n"/>
      <c r="H13" s="69" t="n"/>
      <c r="I13" s="69" t="inlineStr">
        <is>
          <t>n</t>
        </is>
      </c>
      <c r="J13" s="69" t="inlineStr">
        <is>
          <t>OPC 40450-1 Section 11 (CU-76) / Section 7.4</t>
        </is>
      </c>
      <c r="K13" s="69" t="n"/>
    </row>
    <row r="14" ht="25.8" customHeight="1" s="132">
      <c r="A14" s="61" t="n"/>
      <c r="B14" s="61" t="n"/>
      <c r="C14" s="61" t="n">
        <v>1</v>
      </c>
      <c r="D14" s="61" t="inlineStr">
        <is>
          <t>Call GetErrorInformation with ProductInstanceUri = "urn:does:not:exist".</t>
        </is>
      </c>
      <c r="E14" s="61" t="inlineStr">
        <is>
          <t>GetErrorInformation method available.</t>
        </is>
      </c>
      <c r="F14" s="61" t="inlineStr">
        <is>
          <t>Call Service returns Good; method result code is Uncertain. Status output is 4 (input identifier/entity not found). StatusMessage explains the rejected input; no state change is performed.</t>
        </is>
      </c>
      <c r="G14" s="61" t="inlineStr">
        <is>
          <t>Good</t>
        </is>
      </c>
      <c r="H14" s="61" t="inlineStr">
        <is>
          <t>Uncertain; Status=4 output with StatusMessage</t>
        </is>
      </c>
      <c r="I14" s="61" t="n"/>
      <c r="J14" s="61" t="inlineStr">
        <is>
          <t>OPC 40450-1 Section 11 (CU-64) / Section 7.4</t>
        </is>
      </c>
      <c r="K14" s="61" t="n"/>
    </row>
    <row r="15">
      <c r="A15" s="110" t="inlineStr">
        <is>
          <t>n</t>
        </is>
      </c>
      <c r="B15" s="110" t="n">
        <v>2</v>
      </c>
      <c r="C15" s="110" t="n">
        <v>0</v>
      </c>
      <c r="D15" s="110" t="inlineStr">
        <is>
          <t>Call GetErrorInformation with non-existent ErrorId</t>
        </is>
      </c>
      <c r="E15" s="110" t="n"/>
      <c r="F15" s="110" t="n"/>
      <c r="G15" s="110" t="n"/>
      <c r="H15" s="110" t="n"/>
      <c r="I15" s="110" t="inlineStr">
        <is>
          <t>n</t>
        </is>
      </c>
      <c r="J15" s="110" t="inlineStr">
        <is>
          <t>OPC 40450-1 Section 11.1 CU-76</t>
        </is>
      </c>
      <c r="K15" s="110" t="n"/>
    </row>
    <row r="16">
      <c r="A16" s="111" t="n"/>
      <c r="B16" s="111" t="n"/>
      <c r="C16" s="111" t="n">
        <v>1</v>
      </c>
      <c r="D16" s="111" t="inlineStr">
        <is>
          <t>Call with fabricated ErrorId.</t>
        </is>
      </c>
      <c r="E16" s="111" t="inlineStr">
        <is>
          <t>Server claims this Conformance Unit; no additional runtime setup is needed for this step.</t>
        </is>
      </c>
      <c r="F16" s="111" t="inlineStr">
        <is>
          <t>Call Service returns Good; method result code is Uncertain. Status output is 4 (input identifier/entity not found). StatusMessage explains the rejected input; no state change is performed.</t>
        </is>
      </c>
      <c r="G16" s="111" t="inlineStr">
        <is>
          <t>Good</t>
        </is>
      </c>
      <c r="H16" s="111" t="inlineStr">
        <is>
          <t>Uncertain; Status=4 output with StatusMessage</t>
        </is>
      </c>
      <c r="I16" s="111" t="n"/>
      <c r="J16" s="111" t="inlineStr">
        <is>
          <t>OPC 40450-1 Section 11.1 CU-76</t>
        </is>
      </c>
      <c r="K16" s="111" t="inlineStr">
        <is>
          <t>Requirement source: OPC 40450-1 Section 9.10 - ErrorId must exist.</t>
        </is>
      </c>
    </row>
    <row r="17">
      <c r="A17" s="110" t="inlineStr">
        <is>
          <t>n</t>
        </is>
      </c>
      <c r="B17" s="110" t="n">
        <v>3</v>
      </c>
      <c r="C17" s="110" t="n">
        <v>0</v>
      </c>
      <c r="D17" s="110" t="inlineStr">
        <is>
          <t>Call GetErrorInformation with empty ErrorId string</t>
        </is>
      </c>
      <c r="E17" s="110" t="n"/>
      <c r="F17" s="110" t="n"/>
      <c r="G17" s="110" t="n"/>
      <c r="H17" s="110" t="n"/>
      <c r="I17" s="110" t="inlineStr">
        <is>
          <t>n</t>
        </is>
      </c>
      <c r="J17" s="110" t="inlineStr">
        <is>
          <t>OPC 40450-1 Section 11.1 CU-76</t>
        </is>
      </c>
      <c r="K17" s="110" t="n"/>
    </row>
    <row r="18" ht="25.8" customHeight="1" s="132">
      <c r="A18" s="111" t="n"/>
      <c r="B18" s="111" t="n"/>
      <c r="C18" s="111" t="n">
        <v>1</v>
      </c>
      <c r="D18" s="111" t="inlineStr">
        <is>
          <t>Call with ErrorId=''.</t>
        </is>
      </c>
      <c r="E18" s="111" t="inlineStr">
        <is>
          <t>Server claims this Conformance Unit; no additional runtime setup is needed for this step.</t>
        </is>
      </c>
      <c r="F18" s="111" t="inlineStr">
        <is>
          <t>Call Service returns Good; method result code is Uncertain. Status output is 5 (invalid input). StatusMessage explains the rejected input; no state change is performed.</t>
        </is>
      </c>
      <c r="G18" s="111" t="inlineStr">
        <is>
          <t>Good</t>
        </is>
      </c>
      <c r="H18" s="111" t="inlineStr">
        <is>
          <t>Uncertain; Status=5 output with StatusMessage</t>
        </is>
      </c>
      <c r="I18" s="111" t="n"/>
      <c r="J18" s="111" t="inlineStr">
        <is>
          <t>OPC 40450-1 Section 11.1 CU-76</t>
        </is>
      </c>
      <c r="K18" s="111" t="inlineStr">
        <is>
          <t>Requirement source: OPC 40450-1 Section 9.10 - Empty string invalid.</t>
        </is>
      </c>
    </row>
    <row r="19">
      <c r="A19" s="110" t="inlineStr">
        <is>
          <t>n</t>
        </is>
      </c>
      <c r="B19" s="110" t="n">
        <v>4</v>
      </c>
      <c r="C19" s="110" t="n">
        <v>0</v>
      </c>
      <c r="D19" s="110" t="inlineStr">
        <is>
          <t>Verify GetErrorInformation returns ErrorType and ErrorMessage</t>
        </is>
      </c>
      <c r="E19" s="110" t="n"/>
      <c r="F19" s="110" t="n"/>
      <c r="G19" s="110" t="n"/>
      <c r="H19" s="110" t="n"/>
      <c r="I19" s="110" t="inlineStr">
        <is>
          <t>n</t>
        </is>
      </c>
      <c r="J19" s="110" t="inlineStr">
        <is>
          <t>OPC 40450-1 Section 11.1 CU-76</t>
        </is>
      </c>
      <c r="K19" s="110" t="n"/>
    </row>
    <row r="20" ht="25.8" customHeight="1" s="132">
      <c r="A20" s="111" t="n"/>
      <c r="B20" s="111" t="n"/>
      <c r="C20" s="111" t="n">
        <v>1</v>
      </c>
      <c r="D20" s="111" t="inlineStr">
        <is>
          <t>Call with valid ErrorId.</t>
        </is>
      </c>
      <c r="E20" s="111" t="inlineStr">
        <is>
          <t>Server claims this Conformance Unit; no additional runtime setup is needed for this step.</t>
        </is>
      </c>
      <c r="F20" s="111" t="inlineStr">
        <is>
          <t>ErrorType != UNDEFINED(0). ErrorMessage is non-null LocalizedText.</t>
        </is>
      </c>
      <c r="G20" s="111" t="inlineStr">
        <is>
          <t>Good</t>
        </is>
      </c>
      <c r="H20" s="111" t="n"/>
      <c r="I20" s="111" t="n"/>
      <c r="J20" s="111" t="inlineStr">
        <is>
          <t>OPC 40450-1 Section 11.1 CU-76</t>
        </is>
      </c>
      <c r="K20" s="111" t="inlineStr">
        <is>
          <t>Requirement source: OPC 40450-1 Section 9.10 - Mandatory output fields.</t>
        </is>
      </c>
    </row>
  </sheetData>
  <mergeCells count="2">
    <mergeCell ref="A1:K1"/>
    <mergeCell ref="C2:J2"/>
  </mergeCells>
  <pageMargins left="0.75" right="0.75" top="1" bottom="1" header="0.5" footer="0.5"/>
</worksheet>
</file>

<file path=xl/worksheets/sheet83.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CU-77: IJT Execute Operation</t>
        </is>
      </c>
    </row>
    <row r="2" ht="20.05" customHeight="1" s="132">
      <c r="A2" s="75">
        <f>HYPERLINK("#'Home'!A1","⌂ Home")</f>
        <v/>
      </c>
      <c r="C2" s="150" t="inlineStr">
        <is>
          <t>CU-77 — IJT Execute Operation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ExecuteOperation method exists with OperationId input</t>
        </is>
      </c>
      <c r="E4" s="67" t="n"/>
      <c r="F4" s="67" t="n"/>
      <c r="G4" s="67" t="n"/>
      <c r="H4" s="67" t="n"/>
      <c r="I4" s="67" t="inlineStr">
        <is>
          <t>n</t>
        </is>
      </c>
      <c r="J4" s="67" t="inlineStr">
        <is>
          <t>OPC 40450-1 Section 11 (CU-77) / Section 7.4</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JoiningSystem/MethodSet. Verify ExecuteOperation node. Inspect InputArguments.</t>
        </is>
      </c>
      <c r="E5" s="61" t="inlineStr">
        <is>
          <t>JoiningSystem with MethodSet accessible.</t>
        </is>
      </c>
      <c r="F5" s="61" t="inlineStr">
        <is>
          <t>ExecuteOperation node found. NodeClass = Method. InputArguments: OperationId or OperationCode (String or Int32), ProductInstanceUri (String, optional). OutputArguments: operation result status.</t>
        </is>
      </c>
      <c r="G5" s="61" t="inlineStr">
        <is>
          <t>Good</t>
        </is>
      </c>
      <c r="H5" s="61" t="inlineStr">
        <is>
          <t>Good</t>
        </is>
      </c>
      <c r="I5" s="61" t="n"/>
      <c r="J5" s="61" t="inlineStr">
        <is>
          <t>OPC 40450-1 Section 7.4 ExecuteOperation</t>
        </is>
      </c>
      <c r="K5" s="61" t="n"/>
    </row>
    <row r="6">
      <c r="A6" s="67" t="inlineStr">
        <is>
          <t>n</t>
        </is>
      </c>
      <c r="B6" s="67" t="n">
        <v>2</v>
      </c>
      <c r="C6" s="67" t="n">
        <v>0</v>
      </c>
      <c r="D6" s="67" t="inlineStr">
        <is>
          <t>Verify ExecuteOperation with a valid OperationId succeeds</t>
        </is>
      </c>
      <c r="E6" s="67" t="n"/>
      <c r="F6" s="67" t="n"/>
      <c r="G6" s="67" t="n"/>
      <c r="H6" s="67" t="n"/>
      <c r="I6" s="67" t="inlineStr">
        <is>
          <t>n</t>
        </is>
      </c>
      <c r="J6" s="67" t="inlineStr">
        <is>
          <t>OPC 40450-1 Section 11 (CU-77) / Section 7.4</t>
        </is>
      </c>
      <c r="K6" s="67" t="inlineStr">
        <is>
          <t>CTT=n: triggers physical device operation</t>
        </is>
      </c>
    </row>
    <row r="7" ht="25.8" customHeight="1" s="132">
      <c r="A7" s="61" t="n"/>
      <c r="B7" s="61" t="n"/>
      <c r="C7" s="61" t="n">
        <v>1</v>
      </c>
      <c r="D7" s="61" t="inlineStr">
        <is>
          <t>Call ExecuteOperation with a known valid OperationId supported by the device.</t>
        </is>
      </c>
      <c r="E7" s="61" t="inlineStr">
        <is>
          <t>Device with at least one defined OperationId. Device in a state that allows the operation.</t>
        </is>
      </c>
      <c r="F7" s="61" t="inlineStr">
        <is>
          <t>Returns Good. The specified operation is executed on the device. Device transitions to the expected state following the operation.</t>
        </is>
      </c>
      <c r="G7" s="61" t="inlineStr">
        <is>
          <t>Good</t>
        </is>
      </c>
      <c r="H7" s="61" t="inlineStr">
        <is>
          <t>Good</t>
        </is>
      </c>
      <c r="I7" s="61" t="n"/>
      <c r="J7" s="61" t="inlineStr">
        <is>
          <t>OPC 40450-1 Section 7.4 ExecuteOperation</t>
        </is>
      </c>
      <c r="K7" s="61" t="n"/>
    </row>
    <row r="8">
      <c r="A8" s="67" t="inlineStr">
        <is>
          <t>y</t>
        </is>
      </c>
      <c r="B8" s="67" t="n">
        <v>3</v>
      </c>
      <c r="C8" s="67" t="n">
        <v>0</v>
      </c>
      <c r="D8" s="67" t="inlineStr">
        <is>
          <t>Verify ExecuteOperation uses CU-64 ProductInstanceUri semantics</t>
        </is>
      </c>
      <c r="E8" s="67" t="n"/>
      <c r="F8" s="67" t="n"/>
      <c r="G8" s="67" t="n"/>
      <c r="H8" s="67" t="n"/>
      <c r="I8" s="67" t="inlineStr">
        <is>
          <t>n</t>
        </is>
      </c>
      <c r="J8" s="67" t="inlineStr">
        <is>
          <t>OPC 40450-1 Section 11 (CU-77) / Section 7.4</t>
        </is>
      </c>
      <c r="K8" s="67" t="n"/>
    </row>
    <row r="9" ht="38.7" customHeight="1" s="132">
      <c r="A9" s="61" t="n"/>
      <c r="B9" s="61" t="n"/>
      <c r="C9" s="61" t="n">
        <v>1</v>
      </c>
      <c r="D9" s="61" t="inlineStr">
        <is>
          <t>Call ExecuteOperation with empty ProductInstanceUri. Then call with explicit ProductInstanceUri of the same asset.</t>
        </is>
      </c>
      <c r="E9" s="61" t="inlineStr">
        <is>
          <t>ExecuteOperation available. CU-64 compliant server.</t>
        </is>
      </c>
      <c r="F9" s="61" t="inlineStr">
        <is>
          <t>Both calls behave identically — same operation executed on the same asset. Per CU-64: empty ProductInstanceUri = server's own asset.</t>
        </is>
      </c>
      <c r="G9" s="61" t="inlineStr">
        <is>
          <t>Good</t>
        </is>
      </c>
      <c r="H9" s="61" t="inlineStr">
        <is>
          <t>Good</t>
        </is>
      </c>
      <c r="I9" s="61" t="n"/>
      <c r="J9" s="61" t="inlineStr">
        <is>
          <t>OPC 40450-1 Section 11 (CU-64) / Section 11 (CU-77)</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ExecuteOperation with invalid OperationId returns Uncertain/Status=5</t>
        </is>
      </c>
      <c r="E11" s="69" t="n"/>
      <c r="F11" s="69" t="n"/>
      <c r="G11" s="69" t="n"/>
      <c r="H11" s="69" t="n"/>
      <c r="I11" s="69" t="inlineStr">
        <is>
          <t>n</t>
        </is>
      </c>
      <c r="J11" s="69" t="inlineStr">
        <is>
          <t>OPC 40450-1 Section 11 (CU-77) / Section 7.4</t>
        </is>
      </c>
      <c r="K11" s="69" t="n"/>
    </row>
    <row r="12" ht="25.8" customHeight="1" s="132">
      <c r="A12" s="61" t="n"/>
      <c r="B12" s="61" t="n"/>
      <c r="C12" s="61" t="n">
        <v>1</v>
      </c>
      <c r="D12" s="61" t="inlineStr">
        <is>
          <t>Call ExecuteOperation with OperationId = "INVALID_OP_XYZ999".</t>
        </is>
      </c>
      <c r="E12" s="61" t="inlineStr">
        <is>
          <t>ExecuteOperation method available.</t>
        </is>
      </c>
      <c r="F12" s="61" t="inlineStr">
        <is>
          <t>Call Service returns Good; method result code is Uncertain. Status output is 5 (invalid input). StatusMessage explains the rejected input; no state change is performed.</t>
        </is>
      </c>
      <c r="G12" s="61" t="inlineStr">
        <is>
          <t>Good</t>
        </is>
      </c>
      <c r="H12" s="61" t="inlineStr">
        <is>
          <t>Uncertain; Status=5 output with StatusMessage</t>
        </is>
      </c>
      <c r="I12" s="61" t="n"/>
      <c r="J12" s="61" t="inlineStr">
        <is>
          <t>OPC 40450-1 Section 7.4</t>
        </is>
      </c>
      <c r="K12" s="61" t="n"/>
    </row>
    <row r="13">
      <c r="A13" s="69" t="inlineStr">
        <is>
          <t>n</t>
        </is>
      </c>
      <c r="B13" s="69" t="n">
        <v>2</v>
      </c>
      <c r="C13" s="69" t="n">
        <v>0</v>
      </c>
      <c r="D13" s="69" t="inlineStr">
        <is>
          <t>Verify ExecuteOperation when device is not in valid state returns error</t>
        </is>
      </c>
      <c r="E13" s="69" t="n"/>
      <c r="F13" s="69" t="n"/>
      <c r="G13" s="69" t="n"/>
      <c r="H13" s="69" t="n"/>
      <c r="I13" s="69" t="inlineStr">
        <is>
          <t>n</t>
        </is>
      </c>
      <c r="J13" s="69" t="inlineStr">
        <is>
          <t>OPC 40450-1 Section 11 (CU-77) / Section 7.4</t>
        </is>
      </c>
      <c r="K13" s="69" t="inlineStr">
        <is>
          <t>CTT=n: requires specific device state</t>
        </is>
      </c>
    </row>
    <row r="14" ht="25.8" customHeight="1" s="132">
      <c r="A14" s="61" t="n"/>
      <c r="B14" s="61" t="n"/>
      <c r="C14" s="61" t="n">
        <v>1</v>
      </c>
      <c r="D14" s="61" t="inlineStr">
        <is>
          <t>Call ExecuteOperation for an operation that requires a precondition (e.g. tool connected) when that precondition is not met.</t>
        </is>
      </c>
      <c r="E14" s="61" t="inlineStr">
        <is>
          <t>Device in a state where the specified operation is not valid.</t>
        </is>
      </c>
      <c r="F14" s="61" t="inlineStr">
        <is>
          <t>Call Service returns Good; method result code is Uncertain. Status output is 1 (generic not OK/application state). StatusMessage explains the rejected input; no state change is performed.</t>
        </is>
      </c>
      <c r="G14" s="61" t="inlineStr">
        <is>
          <t>Good</t>
        </is>
      </c>
      <c r="H14" s="61" t="inlineStr">
        <is>
          <t>Uncertain; Status=1 output with StatusMessage</t>
        </is>
      </c>
      <c r="I14" s="61" t="n"/>
      <c r="J14" s="61" t="inlineStr">
        <is>
          <t>OPC 40450-1 Section 7.4</t>
        </is>
      </c>
      <c r="K14" s="61" t="n"/>
    </row>
    <row r="15">
      <c r="A15" s="110" t="inlineStr">
        <is>
          <t>n</t>
        </is>
      </c>
      <c r="B15" s="110" t="n">
        <v>3</v>
      </c>
      <c r="C15" s="110" t="n">
        <v>0</v>
      </c>
      <c r="D15" s="110" t="inlineStr">
        <is>
          <t>Call ExecuteOperation with invalid OperationName</t>
        </is>
      </c>
      <c r="E15" s="110" t="n"/>
      <c r="F15" s="110" t="n"/>
      <c r="G15" s="110" t="n"/>
      <c r="H15" s="110" t="n"/>
      <c r="I15" s="110" t="inlineStr">
        <is>
          <t>n</t>
        </is>
      </c>
      <c r="J15" s="110" t="inlineStr">
        <is>
          <t>OPC 40450-1 Section 11.1 CU-77</t>
        </is>
      </c>
      <c r="K15" s="110" t="n"/>
    </row>
    <row r="16" ht="25.8" customHeight="1" s="132">
      <c r="A16" s="111" t="n"/>
      <c r="B16" s="111" t="n"/>
      <c r="C16" s="111" t="n">
        <v>1</v>
      </c>
      <c r="D16" s="111" t="inlineStr">
        <is>
          <t>Call ExecuteOperation with OperationName='INVALID_OP'.</t>
        </is>
      </c>
      <c r="E16" s="111" t="inlineStr">
        <is>
          <t>Server claims this Conformance Unit; no additional runtime setup is needed for this step.</t>
        </is>
      </c>
      <c r="F16" s="111" t="inlineStr">
        <is>
          <t>Call Service returns Good; method result code is Uncertain. Status output is 4 (input identifier/entity not found). StatusMessage explains the rejected input; no state change is performed.</t>
        </is>
      </c>
      <c r="G16" s="111" t="inlineStr">
        <is>
          <t>Good</t>
        </is>
      </c>
      <c r="H16" s="111" t="inlineStr">
        <is>
          <t>Uncertain; Status=4 output with StatusMessage</t>
        </is>
      </c>
      <c r="I16" s="111" t="n"/>
      <c r="J16" s="111" t="inlineStr">
        <is>
          <t>OPC 40450-1 Section 11.1 CU-77</t>
        </is>
      </c>
      <c r="K16" s="111" t="inlineStr">
        <is>
          <t>Requirement source: OPC 40450-1 Section 9.11 - Unknown operation name.</t>
        </is>
      </c>
    </row>
    <row r="17">
      <c r="A17" s="110" t="inlineStr">
        <is>
          <t>n</t>
        </is>
      </c>
      <c r="B17" s="110" t="n">
        <v>4</v>
      </c>
      <c r="C17" s="110" t="n">
        <v>0</v>
      </c>
      <c r="D17" s="110" t="inlineStr">
        <is>
          <t>Call ExecuteOperation while same operation in progress</t>
        </is>
      </c>
      <c r="E17" s="110" t="n"/>
      <c r="F17" s="110" t="n"/>
      <c r="G17" s="110" t="n"/>
      <c r="H17" s="110" t="n"/>
      <c r="I17" s="110" t="inlineStr">
        <is>
          <t>n</t>
        </is>
      </c>
      <c r="J17" s="110" t="inlineStr">
        <is>
          <t>OPC 40450-1 Section 11.1 CU-77</t>
        </is>
      </c>
      <c r="K17" s="110" t="n"/>
    </row>
    <row r="18">
      <c r="A18" s="111" t="n"/>
      <c r="B18" s="111" t="n"/>
      <c r="C18" s="111" t="n">
        <v>1</v>
      </c>
      <c r="D18" s="111" t="inlineStr">
        <is>
          <t>Start operation. Call ExecuteOperation again.</t>
        </is>
      </c>
      <c r="E18" s="111" t="inlineStr">
        <is>
          <t>Server claims this Conformance Unit; no additional runtime setup is needed for this step.</t>
        </is>
      </c>
      <c r="F18" s="111" t="inlineStr">
        <is>
          <t>Call Service returns Good; method result code is Uncertain when the requested state transition is not accepted. Status output is 1 (generic not OK/application state). StatusMessage explains the state precondition; no unintended state change is performed.</t>
        </is>
      </c>
      <c r="G18" s="111" t="inlineStr">
        <is>
          <t>Good</t>
        </is>
      </c>
      <c r="H18" s="111" t="inlineStr">
        <is>
          <t>Uncertain; Status=1 output with StatusMessage</t>
        </is>
      </c>
      <c r="I18" s="111" t="n"/>
      <c r="J18" s="111" t="inlineStr">
        <is>
          <t>OPC 40450-1 Section 11.1 CU-77</t>
        </is>
      </c>
      <c r="K18" s="111" t="inlineStr">
        <is>
          <t>Requirement source: OPC 40450-1 Section 9.11 - Concurrent operations.</t>
        </is>
      </c>
    </row>
    <row r="19">
      <c r="A19" s="110" t="inlineStr">
        <is>
          <t>n</t>
        </is>
      </c>
      <c r="B19" s="110" t="n">
        <v>5</v>
      </c>
      <c r="C19" s="110" t="n">
        <v>0</v>
      </c>
      <c r="D19" s="110" t="inlineStr">
        <is>
          <t>Call ExecuteOperation without execute rights</t>
        </is>
      </c>
      <c r="E19" s="110" t="n"/>
      <c r="F19" s="110" t="n"/>
      <c r="G19" s="110" t="n"/>
      <c r="H19" s="110" t="n"/>
      <c r="I19" s="110" t="inlineStr">
        <is>
          <t>n</t>
        </is>
      </c>
      <c r="J19" s="110" t="inlineStr">
        <is>
          <t>OPC 40450-1 Section 11.1 CU-77</t>
        </is>
      </c>
      <c r="K19" s="110" t="n"/>
    </row>
    <row r="20" ht="25.8" customHeight="1" s="132">
      <c r="A20" s="111" t="n"/>
      <c r="B20" s="111" t="n"/>
      <c r="C20" s="111" t="n">
        <v>1</v>
      </c>
      <c r="D20" s="111" t="inlineStr">
        <is>
          <t>Call from a restricted user session without execute-operation rights.</t>
        </is>
      </c>
      <c r="E20" s="111" t="inlineStr">
        <is>
          <t>Server claims this Conformance Unit; no additional runtime setup is needed for this step.</t>
        </is>
      </c>
      <c r="F20" s="111" t="inlineStr">
        <is>
          <t>Call Service returns Good; method result code is Bad_UserAccessDenied. No state change is performed and Status output is not used for this access-denied case.</t>
        </is>
      </c>
      <c r="G20" s="111" t="inlineStr">
        <is>
          <t>Good</t>
        </is>
      </c>
      <c r="H20" s="111" t="inlineStr">
        <is>
          <t>Bad_UserAccessDenied</t>
        </is>
      </c>
      <c r="I20" s="111" t="n"/>
      <c r="J20" s="111" t="inlineStr">
        <is>
          <t>OPC 40450-1 Section 11.1 CU-77</t>
        </is>
      </c>
      <c r="K20" s="111" t="inlineStr">
        <is>
          <t>Requirement source: OPC 10000-4 Section 5.11.2 - Insufficient rights.</t>
        </is>
      </c>
    </row>
  </sheetData>
  <mergeCells count="2">
    <mergeCell ref="A1:K1"/>
    <mergeCell ref="C2:J2"/>
  </mergeCells>
  <pageMargins left="0.75" right="0.75" top="1" bottom="1" header="0.5" footer="0.5"/>
</worksheet>
</file>

<file path=xl/worksheets/sheet84.xml><?xml version="1.0" encoding="utf-8"?>
<worksheet xmlns="http://schemas.openxmlformats.org/spreadsheetml/2006/main">
  <sheetPr codeName="Sheet7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CU-78: Event Payload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CU-78 — Event Payload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triggered event is of type JoiningSystemEventType (or sub-type)</t>
        </is>
      </c>
      <c r="E4" s="58" t="n"/>
      <c r="F4" s="58" t="n"/>
      <c r="G4" s="58" t="n"/>
      <c r="H4" s="58" t="n"/>
      <c r="I4" s="58" t="inlineStr">
        <is>
          <t>n</t>
        </is>
      </c>
      <c r="J4" s="58" t="inlineStr">
        <is>
          <t>OPC 40450-1 Section 11.1 CU-78</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on the server. Set EventFilter to receive all events. Trigger any server-side event (e.g., connect asset, run joining). Inspect the EventType field of all received events.</t>
        </is>
      </c>
      <c r="E5" s="61" t="inlineStr">
        <is>
          <t>OPC UA session established. Server exposes at least one JoiningSystemEventType instance. Client can create a monitored item subscription with EventFilter.</t>
        </is>
      </c>
      <c r="F5" s="61" t="inlineStr">
        <is>
          <t>All received events have EventType NodeId equal to JoiningSystemEventType or a sub-type of it. EventType field is non-null.</t>
        </is>
      </c>
      <c r="G5" s="61" t="inlineStr">
        <is>
          <t>Good</t>
        </is>
      </c>
      <c r="H5" s="61" t="inlineStr">
        <is>
          <t>EventType = JoiningSystemEventType or sub-type; non-null NodeId confirmed</t>
        </is>
      </c>
      <c r="I5" s="61" t="n"/>
      <c r="J5" s="61" t="inlineStr">
        <is>
          <t>OPC 40450-1 Section 11.1 CU-78</t>
        </is>
      </c>
      <c r="K5" s="62" t="n"/>
    </row>
    <row r="6">
      <c r="A6" s="70" t="inlineStr">
        <is>
          <t>y</t>
        </is>
      </c>
      <c r="B6" s="71" t="n">
        <v>2</v>
      </c>
      <c r="C6" s="72" t="n">
        <v>0</v>
      </c>
      <c r="D6" s="72" t="inlineStr">
        <is>
          <t>Verify JoiningTechnology DataType is LocalizedText when present in event payload</t>
        </is>
      </c>
      <c r="E6" s="72" t="n"/>
      <c r="F6" s="72" t="n"/>
      <c r="G6" s="72" t="n"/>
      <c r="H6" s="72" t="n"/>
      <c r="I6" s="72" t="inlineStr">
        <is>
          <t>n</t>
        </is>
      </c>
      <c r="J6" s="72" t="inlineStr">
        <is>
          <t>OPC 40450-1 Section 11.1 CU-78</t>
        </is>
      </c>
      <c r="K6" s="73" t="n"/>
    </row>
    <row r="7" ht="51.6" customHeight="1" s="132">
      <c r="A7" s="61" t="n"/>
      <c r="B7" s="61" t="n"/>
      <c r="C7" s="61" t="n">
        <v>1</v>
      </c>
      <c r="D7" s="61" t="inlineStr">
        <is>
          <t>If JoiningTechnology field is present in event payload: read its value and verify DataType = LocalizedText. Do not apply numeric/enum/non-zero semantics.</t>
        </is>
      </c>
      <c r="E7" s="61" t="inlineStr">
        <is>
          <t>Active event subscription. At least one JoiningSystemEventType event received.</t>
        </is>
      </c>
      <c r="F7" s="61" t="inlineStr">
        <is>
          <t>If JoiningTechnology is present: DataType = LocalizedText. If Text is non-empty, it is a human-readable joining technology label (e.g., "Tightening", "Gluing"). If absent, event is still valid. Do not assert non-zero or numeric semantics.</t>
        </is>
      </c>
      <c r="G7" s="61" t="inlineStr">
        <is>
          <t>Good</t>
        </is>
      </c>
      <c r="H7" s="61" t="inlineStr">
        <is>
          <t>If present: JoiningTechnology DataType=LocalizedText; human-readable text value</t>
        </is>
      </c>
      <c r="I7" s="61" t="n"/>
      <c r="J7" s="61" t="inlineStr">
        <is>
          <t>OPC 40450-1 Section 11.1 CU-78</t>
        </is>
      </c>
      <c r="K7" s="61" t="n"/>
    </row>
    <row r="8">
      <c r="A8" s="67" t="inlineStr">
        <is>
          <t>y</t>
        </is>
      </c>
      <c r="B8" s="67" t="n">
        <v>3</v>
      </c>
      <c r="C8" s="67" t="n">
        <v>0</v>
      </c>
      <c r="D8" s="67" t="inlineStr">
        <is>
          <t>Verify event payload contains EventText (LocalizedText, non-empty)</t>
        </is>
      </c>
      <c r="E8" s="67" t="n"/>
      <c r="F8" s="67" t="n"/>
      <c r="G8" s="67" t="n"/>
      <c r="H8" s="67" t="n"/>
      <c r="I8" s="67" t="inlineStr">
        <is>
          <t>n</t>
        </is>
      </c>
      <c r="J8" s="67" t="inlineStr">
        <is>
          <t>OPC 40450-1 Section 11.1 CU-78</t>
        </is>
      </c>
      <c r="K8" s="67" t="n"/>
    </row>
    <row r="9" ht="51.6" customHeight="1" s="132">
      <c r="A9" s="61" t="n"/>
      <c r="B9" s="61" t="n"/>
      <c r="C9" s="61" t="n">
        <v>1</v>
      </c>
      <c r="D9" s="61" t="inlineStr">
        <is>
          <t>Inspect the EventText field from a received JoiningSystemEventType event. Verify field is of type LocalizedText and the Text property is non-empty.</t>
        </is>
      </c>
      <c r="E9" s="61" t="inlineStr">
        <is>
          <t>At least one JoiningSystemEventType event received from TC#1.</t>
        </is>
      </c>
      <c r="F9" s="61" t="inlineStr">
        <is>
          <t>EventText field is present. DataType = LocalizedText. Text property of LocalizedText is non-empty (length &gt; 0). Locale may be any valid BCP-47 language tag or empty string.</t>
        </is>
      </c>
      <c r="G9" s="61" t="inlineStr">
        <is>
          <t>Good</t>
        </is>
      </c>
      <c r="H9" s="61" t="inlineStr">
        <is>
          <t>EventText.Text non-empty; DataType=LocalizedText confirmed</t>
        </is>
      </c>
      <c r="I9" s="61" t="n"/>
      <c r="J9" s="61" t="inlineStr">
        <is>
          <t>OPC 40450-1 Section 11.1 CU-78</t>
        </is>
      </c>
      <c r="K9" s="61" t="n"/>
    </row>
    <row r="10">
      <c r="A10" s="67" t="inlineStr">
        <is>
          <t>y</t>
        </is>
      </c>
      <c r="B10" s="67" t="n">
        <v>4</v>
      </c>
      <c r="C10" s="67" t="n">
        <v>0</v>
      </c>
      <c r="D10" s="67" t="inlineStr">
        <is>
          <t>Verify EventCode DataType is Int64 when present in event payload</t>
        </is>
      </c>
      <c r="E10" s="67" t="n"/>
      <c r="F10" s="67" t="n"/>
      <c r="G10" s="67" t="n"/>
      <c r="H10" s="67" t="n"/>
      <c r="I10" s="67" t="inlineStr">
        <is>
          <t>n</t>
        </is>
      </c>
      <c r="J10" s="67" t="inlineStr">
        <is>
          <t>OPC 40450-1 Section 11.1 CU-78</t>
        </is>
      </c>
      <c r="K10" s="67" t="n"/>
    </row>
    <row r="11" ht="38.7" customHeight="1" s="132">
      <c r="A11" s="61" t="n"/>
      <c r="B11" s="61" t="n"/>
      <c r="C11" s="61" t="n">
        <v>1</v>
      </c>
      <c r="D11" s="61" t="inlineStr">
        <is>
          <t>If EventCode field is present in a received JoiningSystemEventType event: verify DataType = Int64. Value is a system-specific numeric code; do not assert specific values.</t>
        </is>
      </c>
      <c r="E11" s="61" t="inlineStr">
        <is>
          <t>At least one JoiningSystemEventType event received from TC#1.</t>
        </is>
      </c>
      <c r="F11" s="61" t="inlineStr">
        <is>
          <t>If EventCode is present: DataType = Int64 (system-specific numeric code). Do not require presence, specific integer values, or string labels. If absent, the event is still valid (field is Optional per NodeSet ModellingRule i=80).</t>
        </is>
      </c>
      <c r="G11" s="61" t="inlineStr">
        <is>
          <t>Good</t>
        </is>
      </c>
      <c r="H11" s="61" t="inlineStr">
        <is>
          <t>If present: EventCode DataType=Int64 confirmed; system-specific value</t>
        </is>
      </c>
      <c r="I11" s="61" t="n"/>
      <c r="J11" s="61" t="inlineStr">
        <is>
          <t>OPC 40450-1 Section 11.1 CU-78</t>
        </is>
      </c>
      <c r="K11" s="61" t="n"/>
    </row>
    <row r="12">
      <c r="A12" s="67" t="inlineStr">
        <is>
          <t>y</t>
        </is>
      </c>
      <c r="B12" s="67" t="n">
        <v>5</v>
      </c>
      <c r="C12" s="67" t="n">
        <v>0</v>
      </c>
      <c r="D12" s="67" t="inlineStr">
        <is>
          <t>Verify event SourceNode references the relevant asset or system node</t>
        </is>
      </c>
      <c r="E12" s="67" t="n"/>
      <c r="F12" s="67" t="n"/>
      <c r="G12" s="67" t="n"/>
      <c r="H12" s="67" t="n"/>
      <c r="I12" s="67" t="inlineStr">
        <is>
          <t>n</t>
        </is>
      </c>
      <c r="J12" s="67" t="inlineStr">
        <is>
          <t>OPC 40450-1 Section 11.1 CU-78</t>
        </is>
      </c>
      <c r="K12" s="67" t="n"/>
    </row>
    <row r="13" ht="51.6" customHeight="1" s="132">
      <c r="A13" s="61" t="n"/>
      <c r="B13" s="61" t="n"/>
      <c r="C13" s="61" t="n">
        <v>1</v>
      </c>
      <c r="D13" s="61" t="inlineStr">
        <is>
          <t>Inspect the SourceNode field from a received JoiningSystemEventType event. Browse the SourceNode NodeId in the server address space.</t>
        </is>
      </c>
      <c r="E13" s="61" t="inlineStr">
        <is>
          <t>At least one JoiningSystemEventType event received. SourceNode NodeId known.</t>
        </is>
      </c>
      <c r="F13" s="61" t="inlineStr">
        <is>
          <t>SourceNode is a valid NodeId that exists in the server address space. The node is identifiable as a JoiningSystem, Asset, or related IJT object node. SourceName and SourceNode are consistent.</t>
        </is>
      </c>
      <c r="G13" s="61" t="inlineStr">
        <is>
          <t>Good</t>
        </is>
      </c>
      <c r="H13" s="61" t="inlineStr">
        <is>
          <t>SourceNode NodeId resolves to valid IJT asset/system node</t>
        </is>
      </c>
      <c r="I13" s="61" t="n"/>
      <c r="J13" s="61" t="inlineStr">
        <is>
          <t>OPC 40450-1 Section 11.1 CU-78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events are NOT delivered to client without an active event subscription; verify Good on subscription create with correct EventFilter</t>
        </is>
      </c>
      <c r="E15" s="69" t="n"/>
      <c r="F15" s="69" t="n"/>
      <c r="G15" s="69" t="n"/>
      <c r="H15" s="69" t="n"/>
      <c r="I15" s="69" t="inlineStr">
        <is>
          <t>n</t>
        </is>
      </c>
      <c r="J15" s="69" t="inlineStr">
        <is>
          <t>OPC 40450-1 Section 11.1 CU-78</t>
        </is>
      </c>
      <c r="K15" s="69" t="inlineStr">
        <is>
          <t>CTT=n: requires verifying negative delivery condition</t>
        </is>
      </c>
    </row>
    <row r="16" ht="64.5" customHeight="1" s="132">
      <c r="A16" s="61" t="n"/>
      <c r="B16" s="61" t="n"/>
      <c r="C16" s="61" t="n">
        <v>1</v>
      </c>
      <c r="D16" s="61" t="inlineStr">
        <is>
          <t>Without creating an event subscription, trigger a server-side event. Verify no event notification is received by the client. Then create a subscription with a valid EventFilter (select=JoiningSystemEventType). Verify service result = Good and subsequent events are delivered.</t>
        </is>
      </c>
      <c r="E16" s="61" t="inlineStr">
        <is>
          <t>OPC UA session established. No prior event subscription exists.</t>
        </is>
      </c>
      <c r="F16" s="61" t="inlineStr">
        <is>
          <t>No event notifications received before subscription creation. CreateSubscription + CreateMonitoredItems with correct EventFilter returns Good. Subsequent events of JoiningSystemEventType are delivered after subscription is active.</t>
        </is>
      </c>
      <c r="G16" s="61" t="inlineStr">
        <is>
          <t>Good</t>
        </is>
      </c>
      <c r="H16" s="61" t="inlineStr">
        <is>
          <t>No spurious event delivery; subscription creation confirmed Good; events delivered after activation</t>
        </is>
      </c>
      <c r="I16" s="61" t="n"/>
      <c r="J16" s="61" t="inlineStr">
        <is>
          <t>OPC 40450-1 Section 11.1 CU-78</t>
        </is>
      </c>
      <c r="K16" s="61" t="n"/>
    </row>
    <row r="17">
      <c r="A17" s="110" t="inlineStr">
        <is>
          <t>n</t>
        </is>
      </c>
      <c r="B17" s="110" t="n">
        <v>2</v>
      </c>
      <c r="C17" s="110" t="n">
        <v>0</v>
      </c>
      <c r="D17" s="110" t="inlineStr">
        <is>
          <t>Verify JoiningSystemEventContent.EventCode is Int64 type</t>
        </is>
      </c>
      <c r="E17" s="110" t="n"/>
      <c r="F17" s="110" t="n"/>
      <c r="G17" s="110" t="n"/>
      <c r="H17" s="110" t="n"/>
      <c r="I17" s="110" t="inlineStr">
        <is>
          <t>n</t>
        </is>
      </c>
      <c r="J17" s="110" t="inlineStr">
        <is>
          <t>OPC 40450-1 Section 11.1 CU-78</t>
        </is>
      </c>
      <c r="K17" s="110" t="n"/>
    </row>
    <row r="18">
      <c r="A18" s="111" t="n"/>
      <c r="B18" s="111" t="n"/>
      <c r="C18" s="111" t="n">
        <v>1</v>
      </c>
      <c r="D18" s="111" t="inlineStr">
        <is>
          <t>Read DataType of EventCode field in JoiningSystemEventContent.</t>
        </is>
      </c>
      <c r="E18" s="111" t="inlineStr">
        <is>
          <t>Server claims this Conformance Unit; no additional runtime setup is needed for this step.</t>
        </is>
      </c>
      <c r="F18" s="111" t="inlineStr">
        <is>
          <t>DataType is Int64 (i=8).</t>
        </is>
      </c>
      <c r="G18" s="111" t="inlineStr">
        <is>
          <t>Good</t>
        </is>
      </c>
      <c r="H18" s="111" t="n"/>
      <c r="I18" s="111" t="n"/>
      <c r="J18" s="111" t="inlineStr">
        <is>
          <t>OPC 40450-1 Section 11.1 CU-78</t>
        </is>
      </c>
      <c r="K18" s="111" t="inlineStr">
        <is>
          <t>Requirement source: OPC 40450-1 Section 11 - EventCode is Int64.</t>
        </is>
      </c>
    </row>
    <row r="19">
      <c r="A19" s="110" t="inlineStr">
        <is>
          <t>n</t>
        </is>
      </c>
      <c r="B19" s="110" t="n">
        <v>3</v>
      </c>
      <c r="C19" s="110" t="n">
        <v>0</v>
      </c>
      <c r="D19" s="110" t="inlineStr">
        <is>
          <t>Verify JoiningSystemEventContent.EventText is LocalizedText</t>
        </is>
      </c>
      <c r="E19" s="110" t="n"/>
      <c r="F19" s="110" t="n"/>
      <c r="G19" s="110" t="n"/>
      <c r="H19" s="110" t="n"/>
      <c r="I19" s="110" t="inlineStr">
        <is>
          <t>n</t>
        </is>
      </c>
      <c r="J19" s="110" t="inlineStr">
        <is>
          <t>OPC 40450-1 Section 11.1 CU-78</t>
        </is>
      </c>
      <c r="K19" s="110" t="n"/>
    </row>
    <row r="20">
      <c r="A20" s="111" t="n"/>
      <c r="B20" s="111" t="n"/>
      <c r="C20" s="111" t="n">
        <v>1</v>
      </c>
      <c r="D20" s="111" t="inlineStr">
        <is>
          <t>Read DataType of EventText field.</t>
        </is>
      </c>
      <c r="E20" s="111" t="inlineStr">
        <is>
          <t>Server claims this Conformance Unit; no additional runtime setup is needed for this step.</t>
        </is>
      </c>
      <c r="F20" s="111" t="inlineStr">
        <is>
          <t>DataType is LocalizedText (i=21).</t>
        </is>
      </c>
      <c r="G20" s="111" t="inlineStr">
        <is>
          <t>Good</t>
        </is>
      </c>
      <c r="H20" s="111" t="n"/>
      <c r="I20" s="111" t="n"/>
      <c r="J20" s="111" t="inlineStr">
        <is>
          <t>OPC 40450-1 Section 11.1 CU-78</t>
        </is>
      </c>
      <c r="K20" s="111" t="inlineStr">
        <is>
          <t>Requirement source: OPC 40450-1 Section 11 - EventText is LocalizedText.</t>
        </is>
      </c>
    </row>
    <row r="21">
      <c r="A21" s="110" t="inlineStr">
        <is>
          <t>n</t>
        </is>
      </c>
      <c r="B21" s="110" t="n">
        <v>4</v>
      </c>
      <c r="C21" s="110" t="n">
        <v>0</v>
      </c>
      <c r="D21" s="110" t="inlineStr">
        <is>
          <t>Verify event contains JoiningSystemEventContent payload</t>
        </is>
      </c>
      <c r="E21" s="110" t="n"/>
      <c r="F21" s="110" t="n"/>
      <c r="G21" s="110" t="n"/>
      <c r="H21" s="110" t="n"/>
      <c r="I21" s="110" t="inlineStr">
        <is>
          <t>n</t>
        </is>
      </c>
      <c r="J21" s="110" t="inlineStr">
        <is>
          <t>OPC 40450-1 Section 11.1 CU-78</t>
        </is>
      </c>
      <c r="K21" s="110" t="n"/>
    </row>
    <row r="22" ht="25.8" customHeight="1" s="132">
      <c r="A22" s="111" t="n"/>
      <c r="B22" s="111" t="n"/>
      <c r="C22" s="111" t="n">
        <v>1</v>
      </c>
      <c r="D22" s="111" t="inlineStr">
        <is>
          <t>Subscribe to JoiningSystemEventType. Trigger event. Inspect payload.</t>
        </is>
      </c>
      <c r="E22" s="111" t="inlineStr">
        <is>
          <t>Server claims this Conformance Unit; no additional runtime setup is needed for this step.</t>
        </is>
      </c>
      <c r="F22" s="111" t="inlineStr">
        <is>
          <t>JoiningSystemEventContent is non-null in received event.</t>
        </is>
      </c>
      <c r="G22" s="111" t="inlineStr">
        <is>
          <t>Good</t>
        </is>
      </c>
      <c r="H22" s="111" t="n"/>
      <c r="I22" s="111" t="n"/>
      <c r="J22" s="111" t="inlineStr">
        <is>
          <t>OPC 40450-1 Section 11.1 CU-78</t>
        </is>
      </c>
      <c r="K22" s="111" t="inlineStr">
        <is>
          <t>Requirement source: OPC 40450-1 Section 11 - JoiningSystemEventContent must be non-null.</t>
        </is>
      </c>
    </row>
  </sheetData>
  <mergeCells count="2">
    <mergeCell ref="A1:K1"/>
    <mergeCell ref="C2:J2"/>
  </mergeCells>
  <pageMargins left="0.7" right="0.7" top="0.75" bottom="0.75" header="0.3" footer="0.3"/>
</worksheet>
</file>

<file path=xl/worksheets/sheet85.xml><?xml version="1.0" encoding="utf-8"?>
<worksheet xmlns="http://schemas.openxmlformats.org/spreadsheetml/2006/main">
  <sheetPr codeName="Sheet72">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CU-79: Event Condition Classes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CU-79 — Event Condition Classes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contains ConditionClassId (NodeId, non-null)</t>
        </is>
      </c>
      <c r="E4" s="58" t="n"/>
      <c r="F4" s="58" t="n"/>
      <c r="G4" s="58" t="n"/>
      <c r="H4" s="58" t="n"/>
      <c r="I4" s="58" t="inlineStr">
        <is>
          <t>n</t>
        </is>
      </c>
      <c r="J4" s="58" t="inlineStr">
        <is>
          <t>OPC 40450-1 Section 11.1 CU-79</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Receive a JoiningSystemEventType event. Inspect the ConditionClassId field in the event payload.</t>
        </is>
      </c>
      <c r="E5" s="61" t="inlineStr">
        <is>
          <t>OPC UA session. Active event subscription for JoiningSystemEventType. At least one event received.</t>
        </is>
      </c>
      <c r="F5" s="61" t="inlineStr">
        <is>
          <t>ConditionClassId field is present in the event payload. DataType = NodeId. Value is non-null. NodeId references a valid EventType in the address space.</t>
        </is>
      </c>
      <c r="G5" s="61" t="inlineStr">
        <is>
          <t>Good</t>
        </is>
      </c>
      <c r="H5" s="61" t="inlineStr">
        <is>
          <t>ConditionClassId present; NodeId non-null; resolves in address space</t>
        </is>
      </c>
      <c r="I5" s="61" t="n"/>
      <c r="J5" s="61" t="inlineStr">
        <is>
          <t>OPC 40450-1 Section 11.1 CU-79</t>
        </is>
      </c>
      <c r="K5" s="62" t="n"/>
    </row>
    <row r="6" ht="25.8" customHeight="1" s="132">
      <c r="A6" s="70" t="inlineStr">
        <is>
          <t>y</t>
        </is>
      </c>
      <c r="B6" s="71" t="n">
        <v>2</v>
      </c>
      <c r="C6" s="72" t="n">
        <v>0</v>
      </c>
      <c r="D6" s="72" t="inlineStr">
        <is>
          <t>Verify event payload contains ConditionClassName (LocalizedText, non-empty)</t>
        </is>
      </c>
      <c r="E6" s="72" t="n"/>
      <c r="F6" s="72" t="n"/>
      <c r="G6" s="72" t="n"/>
      <c r="H6" s="72" t="n"/>
      <c r="I6" s="72" t="inlineStr">
        <is>
          <t>n</t>
        </is>
      </c>
      <c r="J6" s="72" t="inlineStr">
        <is>
          <t>OPC 40450-1 Section 11.1 CU-79</t>
        </is>
      </c>
      <c r="K6" s="73" t="n"/>
    </row>
    <row r="7" ht="51.6" customHeight="1" s="132">
      <c r="A7" s="61" t="n"/>
      <c r="B7" s="61" t="n"/>
      <c r="C7" s="61" t="n">
        <v>1</v>
      </c>
      <c r="D7" s="61" t="inlineStr">
        <is>
          <t>From the same event received in TC#1, inspect the ConditionClassName field.</t>
        </is>
      </c>
      <c r="E7" s="61" t="inlineStr">
        <is>
          <t>JoiningSystemEventType event received with ConditionClassId confirmed.</t>
        </is>
      </c>
      <c r="F7" s="61" t="inlineStr">
        <is>
          <t>ConditionClassName field is present. DataType = LocalizedText. Text property is non-empty. ConditionClassName corresponds to the human-readable name of ConditionClassId.</t>
        </is>
      </c>
      <c r="G7" s="61" t="inlineStr">
        <is>
          <t>Good</t>
        </is>
      </c>
      <c r="H7" s="61" t="inlineStr">
        <is>
          <t>ConditionClassName.Text non-empty; consistent with ConditionClassId</t>
        </is>
      </c>
      <c r="I7" s="61" t="n"/>
      <c r="J7" s="61" t="inlineStr">
        <is>
          <t>OPC 40450-1 Section 11.1 CU-79</t>
        </is>
      </c>
      <c r="K7" s="61" t="n"/>
    </row>
    <row r="8">
      <c r="A8" s="67" t="inlineStr">
        <is>
          <t>y</t>
        </is>
      </c>
      <c r="B8" s="67" t="n">
        <v>3</v>
      </c>
      <c r="C8" s="67" t="n">
        <v>0</v>
      </c>
      <c r="D8" s="67" t="inlineStr">
        <is>
          <t>Verify event payload contains ConditionSubClassId (NodeId, may be null)</t>
        </is>
      </c>
      <c r="E8" s="67" t="n"/>
      <c r="F8" s="67" t="n"/>
      <c r="G8" s="67" t="n"/>
      <c r="H8" s="67" t="n"/>
      <c r="I8" s="67" t="inlineStr">
        <is>
          <t>n</t>
        </is>
      </c>
      <c r="J8" s="67" t="inlineStr">
        <is>
          <t>OPC 40450-1 Section 11.1 CU-79</t>
        </is>
      </c>
      <c r="K8" s="67" t="n"/>
    </row>
    <row r="9" ht="51.6" customHeight="1" s="132">
      <c r="A9" s="61" t="n"/>
      <c r="B9" s="61" t="n"/>
      <c r="C9" s="61" t="n">
        <v>1</v>
      </c>
      <c r="D9" s="61" t="inlineStr">
        <is>
          <t>Inspect the ConditionSubClassId field from a received JoiningSystemEventType event.</t>
        </is>
      </c>
      <c r="E9" s="61" t="inlineStr">
        <is>
          <t>JoiningSystemEventType event received.</t>
        </is>
      </c>
      <c r="F9" s="61" t="inlineStr">
        <is>
          <t>ConditionSubClassId field is present in the event payload. DataType = NodeId array (or single NodeId). Value may be null/empty if no sub-class is defined — this is valid per OPC UA ConditionType rules.</t>
        </is>
      </c>
      <c r="G9" s="61" t="inlineStr">
        <is>
          <t>Good</t>
        </is>
      </c>
      <c r="H9" s="61" t="inlineStr">
        <is>
          <t>ConditionSubClassId field present; null or valid NodeId both acceptable</t>
        </is>
      </c>
      <c r="I9" s="61" t="n"/>
      <c r="J9" s="61" t="inlineStr">
        <is>
          <t>OPC 40450-1 Section 11.1 CU-79</t>
        </is>
      </c>
      <c r="K9" s="61" t="n"/>
    </row>
    <row r="10" ht="25.8" customHeight="1" s="132">
      <c r="A10" s="67" t="inlineStr">
        <is>
          <t>y</t>
        </is>
      </c>
      <c r="B10" s="67" t="n">
        <v>4</v>
      </c>
      <c r="C10" s="67" t="n">
        <v>0</v>
      </c>
      <c r="D10" s="67" t="inlineStr">
        <is>
          <t>Verify event payload contains ConditionSubClassName (LocalizedText, may be empty)</t>
        </is>
      </c>
      <c r="E10" s="67" t="n"/>
      <c r="F10" s="67" t="n"/>
      <c r="G10" s="67" t="n"/>
      <c r="H10" s="67" t="n"/>
      <c r="I10" s="67" t="inlineStr">
        <is>
          <t>n</t>
        </is>
      </c>
      <c r="J10" s="67" t="inlineStr">
        <is>
          <t>OPC 40450-1 Section 11.1 CU-79</t>
        </is>
      </c>
      <c r="K10" s="67" t="n"/>
    </row>
    <row r="11" ht="64.5" customHeight="1" s="132">
      <c r="A11" s="61" t="n"/>
      <c r="B11" s="61" t="n"/>
      <c r="C11" s="61" t="n">
        <v>1</v>
      </c>
      <c r="D11" s="61" t="inlineStr">
        <is>
          <t>Inspect the ConditionSubClassName field from a received JoiningSystemEventType event.</t>
        </is>
      </c>
      <c r="E11" s="61" t="inlineStr">
        <is>
          <t>JoiningSystemEventType event received.</t>
        </is>
      </c>
      <c r="F11" s="61" t="inlineStr">
        <is>
          <t>ConditionSubClassName field is present. DataType = LocalizedText array (or single LocalizedText). Value may be empty if ConditionSubClassId is null — this is valid. If ConditionSubClassId is non-null, ConditionSubClassName must be non-empty.</t>
        </is>
      </c>
      <c r="G11" s="61" t="inlineStr">
        <is>
          <t>Good</t>
        </is>
      </c>
      <c r="H11" s="61" t="inlineStr">
        <is>
          <t>ConditionSubClassName present; empty acceptable when ConditionSubClassId is null</t>
        </is>
      </c>
      <c r="I11" s="61" t="n"/>
      <c r="J11" s="61" t="inlineStr">
        <is>
          <t>OPC 40450-1 Section 11.1 CU-79</t>
        </is>
      </c>
      <c r="K11" s="61" t="n"/>
    </row>
    <row r="12" ht="25.8" customHeight="1" s="132">
      <c r="A12" s="67" t="inlineStr">
        <is>
          <t>y</t>
        </is>
      </c>
      <c r="B12" s="67" t="n">
        <v>5</v>
      </c>
      <c r="C12" s="67" t="n">
        <v>0</v>
      </c>
      <c r="D12" s="67" t="inlineStr">
        <is>
          <t>Verify ConditionClassId references a valid EventType node in address space</t>
        </is>
      </c>
      <c r="E12" s="67" t="n"/>
      <c r="F12" s="67" t="n"/>
      <c r="G12" s="67" t="n"/>
      <c r="H12" s="67" t="n"/>
      <c r="I12" s="67" t="inlineStr">
        <is>
          <t>n</t>
        </is>
      </c>
      <c r="J12" s="67" t="inlineStr">
        <is>
          <t>OPC 40450-1 Section 11.1 CU-79</t>
        </is>
      </c>
      <c r="K12" s="67" t="n"/>
    </row>
    <row r="13" ht="64.5" customHeight="1" s="132">
      <c r="A13" s="61" t="n"/>
      <c r="B13" s="61" t="n"/>
      <c r="C13" s="61" t="n">
        <v>1</v>
      </c>
      <c r="D13" s="61" t="inlineStr">
        <is>
          <t>Take the ConditionClassId NodeId from TC#1. Browse/read the referenced node in the server address space. Verify its NodeClass and TypeDefinition.</t>
        </is>
      </c>
      <c r="E13" s="61" t="inlineStr">
        <is>
          <t>ConditionClassId NodeId obtained from TC#1.</t>
        </is>
      </c>
      <c r="F13" s="61" t="inlineStr">
        <is>
          <t>The node referenced by ConditionClassId exists in the address space. NodeClass = ObjectType (it is an EventType or ConditionType sub-type). The node is accessible via Browse with BrowseDirection=Both.</t>
        </is>
      </c>
      <c r="G13" s="61" t="inlineStr">
        <is>
          <t>Good</t>
        </is>
      </c>
      <c r="H13" s="61" t="inlineStr">
        <is>
          <t>ConditionClassId node found; NodeClass=ObjectType; accessible in address space</t>
        </is>
      </c>
      <c r="I13" s="61" t="n"/>
      <c r="J13" s="61" t="inlineStr">
        <is>
          <t>OPC 40450-1 Section 11.1 CU-79</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Filter events by invalid ConditionClassId; verify no events received or appropriate filter error</t>
        </is>
      </c>
      <c r="E15" s="69" t="n"/>
      <c r="F15" s="69" t="n"/>
      <c r="G15" s="69" t="n"/>
      <c r="H15" s="69" t="n"/>
      <c r="I15" s="69" t="inlineStr">
        <is>
          <t>n</t>
        </is>
      </c>
      <c r="J15" s="69" t="inlineStr">
        <is>
          <t>OPC 40450-1 Section 11.1 CU-79</t>
        </is>
      </c>
      <c r="K15" s="69" t="inlineStr">
        <is>
          <t>CTT=n: requires invalid-input testing</t>
        </is>
      </c>
    </row>
    <row r="16" ht="64.5" customHeight="1" s="132">
      <c r="A16" s="61" t="n"/>
      <c r="B16" s="61" t="n"/>
      <c r="C16" s="61" t="n">
        <v>1</v>
      </c>
      <c r="D16" s="61" t="inlineStr">
        <is>
          <t>Create an event subscription with an EventFilter that specifies an invalid/non-existent ConditionClassId NodeId (e.g., ns=99;i=99999). Trigger server events. Verify behavior.</t>
        </is>
      </c>
      <c r="E16" s="61" t="inlineStr">
        <is>
          <t>OPC UA session. Server can be triggered to generate JoiningSystemEventType events.</t>
        </is>
      </c>
      <c r="F16" s="61" t="inlineStr">
        <is>
          <t>Either: (a) no events are delivered to the subscription (filter correctly excludes all events), or (b) CreateMonitoredItems returns a filter result with a filter-related StatusCode. Service-level result is Good (subscription created), but events may not be delivered.</t>
        </is>
      </c>
      <c r="G16" s="61" t="inlineStr">
        <is>
          <t>Good</t>
        </is>
      </c>
      <c r="H16" s="61" t="inlineStr">
        <is>
          <t>No events delivered for invalid ConditionClassId filter, or filter error result returned</t>
        </is>
      </c>
      <c r="I16" s="61" t="n"/>
      <c r="J16" s="61" t="inlineStr">
        <is>
          <t>OPC 40450-1 Section 11.1 CU-79</t>
        </is>
      </c>
      <c r="K16" s="61" t="n"/>
    </row>
    <row r="17">
      <c r="A17" s="110" t="inlineStr">
        <is>
          <t>n</t>
        </is>
      </c>
      <c r="B17" s="110" t="n">
        <v>2</v>
      </c>
      <c r="C17" s="110" t="n">
        <v>0</v>
      </c>
      <c r="D17" s="110" t="inlineStr">
        <is>
          <t>Verify ConditionClass property is set in event (not null)</t>
        </is>
      </c>
      <c r="E17" s="110" t="n"/>
      <c r="F17" s="110" t="n"/>
      <c r="G17" s="110" t="n"/>
      <c r="H17" s="110" t="n"/>
      <c r="I17" s="110" t="inlineStr">
        <is>
          <t>n</t>
        </is>
      </c>
      <c r="J17" s="110" t="inlineStr">
        <is>
          <t>OPC 40450-1 Section 11.1 CU-79</t>
        </is>
      </c>
      <c r="K17" s="110" t="n"/>
    </row>
    <row r="18" ht="25.8" customHeight="1" s="132">
      <c r="A18" s="111" t="n"/>
      <c r="B18" s="111" t="n"/>
      <c r="C18" s="111" t="n">
        <v>1</v>
      </c>
      <c r="D18" s="111" t="inlineStr">
        <is>
          <t>Receive an IJT event. Read ConditionClass property.</t>
        </is>
      </c>
      <c r="E18" s="111" t="inlineStr">
        <is>
          <t>Server claims this Conformance Unit; no additional runtime setup is needed for this step.</t>
        </is>
      </c>
      <c r="F18" s="111" t="inlineStr">
        <is>
          <t>ConditionClass is a non-null NodeId.</t>
        </is>
      </c>
      <c r="G18" s="111" t="inlineStr">
        <is>
          <t>Good</t>
        </is>
      </c>
      <c r="H18" s="111" t="n"/>
      <c r="I18" s="111" t="n"/>
      <c r="J18" s="111" t="inlineStr">
        <is>
          <t>OPC 40450-1 Section 11.1 CU-79</t>
        </is>
      </c>
      <c r="K18" s="111" t="inlineStr">
        <is>
          <t>Requirement source: OPC 40450-1 Section 11 - ConditionClass identifies condition category.</t>
        </is>
      </c>
    </row>
    <row r="19">
      <c r="A19" s="110" t="inlineStr">
        <is>
          <t>n</t>
        </is>
      </c>
      <c r="B19" s="110" t="n">
        <v>3</v>
      </c>
      <c r="C19" s="110" t="n">
        <v>0</v>
      </c>
      <c r="D19" s="110" t="inlineStr">
        <is>
          <t>Verify at least 12 ConditionClass types defined in namespace</t>
        </is>
      </c>
      <c r="E19" s="110" t="n"/>
      <c r="F19" s="110" t="n"/>
      <c r="G19" s="110" t="n"/>
      <c r="H19" s="110" t="n"/>
      <c r="I19" s="110" t="inlineStr">
        <is>
          <t>n</t>
        </is>
      </c>
      <c r="J19" s="110" t="inlineStr">
        <is>
          <t>OPC 40450-1 Section 11.1 CU-79</t>
        </is>
      </c>
      <c r="K19" s="110" t="n"/>
    </row>
    <row r="20">
      <c r="A20" s="111" t="n"/>
      <c r="B20" s="111" t="n"/>
      <c r="C20" s="111" t="n">
        <v>1</v>
      </c>
      <c r="D20" s="111" t="inlineStr">
        <is>
          <t>Browse IJT namespace for ConditionClass type nodes.</t>
        </is>
      </c>
      <c r="E20" s="111" t="inlineStr">
        <is>
          <t>Server claims this Conformance Unit; no additional runtime setup is needed for this step.</t>
        </is>
      </c>
      <c r="F20" s="111" t="inlineStr">
        <is>
          <t>Count of ConditionClass types &gt;= 12.</t>
        </is>
      </c>
      <c r="G20" s="111" t="inlineStr">
        <is>
          <t>Good</t>
        </is>
      </c>
      <c r="H20" s="111" t="n"/>
      <c r="I20" s="111" t="n"/>
      <c r="J20" s="111" t="inlineStr">
        <is>
          <t>OPC 40450-1 Section 11.1 CU-79</t>
        </is>
      </c>
      <c r="K20" s="111" t="inlineStr">
        <is>
          <t>Requirement source: OPC 40450-1 Section 11 - Spec defines 12+ condition classes.</t>
        </is>
      </c>
    </row>
    <row r="21">
      <c r="A21" s="110" t="inlineStr">
        <is>
          <t>n</t>
        </is>
      </c>
      <c r="B21" s="110" t="n">
        <v>4</v>
      </c>
      <c r="C21" s="110" t="n">
        <v>0</v>
      </c>
      <c r="D21" s="110" t="inlineStr">
        <is>
          <t>Verify invalid ConditionClass NodeId causes filter rejection</t>
        </is>
      </c>
      <c r="E21" s="110" t="n"/>
      <c r="F21" s="110" t="n"/>
      <c r="G21" s="110" t="n"/>
      <c r="H21" s="110" t="n"/>
      <c r="I21" s="110" t="inlineStr">
        <is>
          <t>n</t>
        </is>
      </c>
      <c r="J21" s="110" t="inlineStr">
        <is>
          <t>OPC 40450-1 Section 11.1 CU-79</t>
        </is>
      </c>
      <c r="K21" s="110" t="n"/>
    </row>
    <row r="22">
      <c r="A22" s="111" t="n"/>
      <c r="B22" s="111" t="n"/>
      <c r="C22" s="111" t="n">
        <v>1</v>
      </c>
      <c r="D22" s="111" t="inlineStr">
        <is>
          <t>Subscribe with EventFilter using fabricated ConditionClass NodeId.</t>
        </is>
      </c>
      <c r="E22" s="111" t="inlineStr">
        <is>
          <t>Server claims this Conformance Unit; no additional runtime setup is needed for this step.</t>
        </is>
      </c>
      <c r="F22" s="111" t="inlineStr">
        <is>
          <t>No events received or subscription filter returns error.</t>
        </is>
      </c>
      <c r="G22" s="111" t="inlineStr">
        <is>
          <t>Good</t>
        </is>
      </c>
      <c r="H22" s="111" t="n"/>
      <c r="I22" s="111" t="n"/>
      <c r="J22" s="111" t="inlineStr">
        <is>
          <t>OPC 40450-1 Section 11.1 CU-79</t>
        </is>
      </c>
      <c r="K22" s="111" t="inlineStr">
        <is>
          <t>Requirement source: OPC 10000-4 Section 5.12.1 - Invalid filter.</t>
        </is>
      </c>
    </row>
  </sheetData>
  <mergeCells count="2">
    <mergeCell ref="A1:K1"/>
    <mergeCell ref="C2:J2"/>
  </mergeCells>
  <pageMargins left="0.7" right="0.7" top="0.75" bottom="0.75" header="0.3" footer="0.3"/>
</worksheet>
</file>

<file path=xl/worksheets/sheet86.xml><?xml version="1.0" encoding="utf-8"?>
<worksheet xmlns="http://schemas.openxmlformats.org/spreadsheetml/2006/main">
  <sheetPr codeName="Sheet7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CU-80: Asset Connection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CU-80 — Asset Connection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event generated on asset connect</t>
        </is>
      </c>
      <c r="E4" s="58" t="n"/>
      <c r="F4" s="58" t="n"/>
      <c r="G4" s="58" t="n"/>
      <c r="H4" s="58" t="n"/>
      <c r="I4" s="58" t="inlineStr">
        <is>
          <t>n</t>
        </is>
      </c>
      <c r="J4" s="58" t="inlineStr">
        <is>
          <t>OPC 40450-1 Section 11.1 CU-80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on the server node. Connect a physical asset (or simulate asset connect via server mechanism). Wait for event notification.</t>
        </is>
      </c>
      <c r="E5" s="89" t="inlineStr">
        <is>
          <t>OPC UA session. Active event subscription for JoiningSystemEventType. At least one asset capable of being connected to the system.</t>
        </is>
      </c>
      <c r="F5" s="89" t="inlineStr">
        <is>
          <t>A JoiningSystemEventType event (or sub-type) is received within a reasonable timeout after asset connect. Event identity proven by timing, event type, and SourceNode. If EventCode is present, it is system-specific Int64.</t>
        </is>
      </c>
      <c r="G5" s="89" t="inlineStr">
        <is>
          <t>Good</t>
        </is>
      </c>
      <c r="H5" s="89" t="inlineStr">
        <is>
          <t>JoiningSystemEventType event received on asset connect; timing and SourceNode confirmed</t>
        </is>
      </c>
      <c r="I5" s="89" t="n"/>
      <c r="J5" s="89" t="inlineStr">
        <is>
          <t>OPC 40450-1 Section 11.1 CU-80</t>
        </is>
      </c>
      <c r="K5" s="90" t="n"/>
      <c r="L5" s="27" t="n"/>
      <c r="M5" s="28" t="n"/>
      <c r="N5" s="28" t="n"/>
    </row>
    <row r="6" ht="26.1" customHeight="1" s="132">
      <c r="A6" s="56" t="inlineStr">
        <is>
          <t>y</t>
        </is>
      </c>
      <c r="B6" s="57" t="n">
        <v>2</v>
      </c>
      <c r="C6" s="58" t="n">
        <v>0</v>
      </c>
      <c r="D6" s="58" t="inlineStr">
        <is>
          <t>Verify JoiningSystemEventType event generated on asset disconnect</t>
        </is>
      </c>
      <c r="E6" s="58" t="n"/>
      <c r="F6" s="58" t="n"/>
      <c r="G6" s="58" t="n"/>
      <c r="H6" s="58" t="n"/>
      <c r="I6" s="58" t="inlineStr">
        <is>
          <t>n</t>
        </is>
      </c>
      <c r="J6" s="58" t="inlineStr">
        <is>
          <t>OPC 40450-1 Section 11.1 CU-80</t>
        </is>
      </c>
      <c r="K6" s="74" t="n"/>
      <c r="L6" s="27" t="n"/>
      <c r="M6" s="28" t="n"/>
      <c r="N6" s="28" t="n"/>
    </row>
    <row r="7" ht="26.1" customHeight="1" s="132">
      <c r="A7" s="87" t="n"/>
      <c r="B7" s="88" t="n"/>
      <c r="C7" s="89" t="n">
        <v>1</v>
      </c>
      <c r="D7" s="89" t="inlineStr">
        <is>
          <t>With an asset currently connected, disconnect it (physical or simulated). Wait for event notification from the active subscription.</t>
        </is>
      </c>
      <c r="E7" s="89" t="inlineStr">
        <is>
          <t>Active event subscription. Asset currently connected and verified from TC#1.</t>
        </is>
      </c>
      <c r="F7" s="89" t="inlineStr">
        <is>
          <t>A JoiningSystemEventType event (or sub-type) is received within a reasonable timeout after asset disconnect. Event identity proven by timing, event type, and SourceNode. If EventCode is present, it is system-specific Int64.</t>
        </is>
      </c>
      <c r="G7" s="89" t="inlineStr">
        <is>
          <t>Good</t>
        </is>
      </c>
      <c r="H7" s="89" t="inlineStr">
        <is>
          <t>JoiningSystemEventType event received on asset disconnect; timing and SourceNode confirmed</t>
        </is>
      </c>
      <c r="I7" s="89" t="n"/>
      <c r="J7" s="89" t="inlineStr">
        <is>
          <t>OPC 40450-1 Section 11.1 CU-80</t>
        </is>
      </c>
      <c r="K7" s="90" t="n"/>
      <c r="L7" s="27" t="n"/>
      <c r="M7" s="28" t="n"/>
      <c r="N7" s="28" t="n"/>
    </row>
    <row r="8" ht="39" customHeight="1" s="132">
      <c r="A8" s="56" t="inlineStr">
        <is>
          <t>y</t>
        </is>
      </c>
      <c r="B8" s="57" t="n">
        <v>3</v>
      </c>
      <c r="C8" s="58" t="n">
        <v>0</v>
      </c>
      <c r="D8" s="58" t="inlineStr">
        <is>
          <t>Verify event SourceNode equals the connected/disconnected asset NodeId</t>
        </is>
      </c>
      <c r="E8" s="58" t="n"/>
      <c r="F8" s="58" t="n"/>
      <c r="G8" s="58" t="n"/>
      <c r="H8" s="58" t="n"/>
      <c r="I8" s="58" t="inlineStr">
        <is>
          <t>n</t>
        </is>
      </c>
      <c r="J8" s="58" t="inlineStr">
        <is>
          <t>OPC 40450-1 Section 11.1 CU-80</t>
        </is>
      </c>
      <c r="K8" s="74" t="n"/>
      <c r="L8" s="27" t="n"/>
      <c r="M8" s="28" t="n"/>
      <c r="N8" s="28" t="n"/>
    </row>
    <row r="9" ht="51.6" customHeight="1" s="132">
      <c r="A9" s="87" t="n"/>
      <c r="B9" s="88" t="n"/>
      <c r="C9" s="89" t="n">
        <v>1</v>
      </c>
      <c r="D9" s="89" t="inlineStr">
        <is>
          <t>From the events received in TC#1 and TC#2, inspect the SourceNode field. Compare SourceNode NodeId against the known NodeId of the connected/disconnected asset.</t>
        </is>
      </c>
      <c r="E9" s="89" t="inlineStr">
        <is>
          <t>Asset connect/disconnect events received in TC#1 and TC#2. Asset NodeId known.</t>
        </is>
      </c>
      <c r="F9" s="89" t="inlineStr">
        <is>
          <t>SourceNode NodeId in the event equals the NodeId of the asset that was connected or disconnected. SourceNode is consistent across the connect and disconnect events for the same asset.</t>
        </is>
      </c>
      <c r="G9" s="89" t="inlineStr">
        <is>
          <t>Good</t>
        </is>
      </c>
      <c r="H9" s="89" t="inlineStr">
        <is>
          <t>SourceNode NodeId matches asset NodeId for connect and disconnect events</t>
        </is>
      </c>
      <c r="I9" s="89" t="n"/>
      <c r="J9" s="89" t="inlineStr">
        <is>
          <t>OPC 40450-1 Section 11.1 CU-80</t>
        </is>
      </c>
      <c r="K9" s="90" t="n"/>
      <c r="L9" s="27" t="n"/>
      <c r="M9" s="28" t="n"/>
      <c r="N9" s="28" t="n"/>
    </row>
    <row r="10" ht="39" customHeight="1" s="132">
      <c r="A10" s="56" t="inlineStr">
        <is>
          <t>n</t>
        </is>
      </c>
      <c r="B10" s="57" t="n">
        <v>4</v>
      </c>
      <c r="C10" s="58" t="n">
        <v>0</v>
      </c>
      <c r="D10" s="58" t="inlineStr">
        <is>
          <t>[Optional helper — event JoiningTechnology is Optional per NodeSet; no CU-80 text mandates presence] JoiningTechnology matching when present</t>
        </is>
      </c>
      <c r="E10" s="58" t="n"/>
      <c r="F10" s="58" t="n"/>
      <c r="G10" s="58" t="n"/>
      <c r="H10" s="58" t="n"/>
      <c r="I10" s="58" t="inlineStr">
        <is>
          <t>n</t>
        </is>
      </c>
      <c r="J10" s="58" t="inlineStr">
        <is>
          <t>OPC 40450-1 Section 11.1 CU-80</t>
        </is>
      </c>
      <c r="K10" s="74" t="n"/>
      <c r="L10" s="27" t="n"/>
      <c r="M10" s="28" t="n"/>
      <c r="N10" s="28" t="n"/>
    </row>
    <row r="11" ht="64.5" customHeight="1" s="132">
      <c r="A11" s="87" t="n"/>
      <c r="B11" s="88" t="n"/>
      <c r="C11" s="89" t="n">
        <v>1</v>
      </c>
      <c r="D11" s="89" t="inlineStr">
        <is>
          <t>[Optional helper] If JoiningTechnology is present in the asset connect event payload: read it. Also read JoiningTechnology from the asset node.</t>
        </is>
      </c>
      <c r="E11" s="89" t="inlineStr">
        <is>
          <t>Asset connect event received. Asset node accessible for direct attribute read.</t>
        </is>
      </c>
      <c r="F11" s="89" t="inlineStr">
        <is>
          <t>[Optional helper expected result] If JoiningTechnology is present in event payload: value matches the JoiningTechnology read from the asset node. Both are LocalizedText. Do not assert non-zero numeric semantics.</t>
        </is>
      </c>
      <c r="G11" s="89" t="inlineStr">
        <is>
          <t>Good</t>
        </is>
      </c>
      <c r="H11" s="89" t="inlineStr">
        <is>
          <t>[Optional helper] If present: event JoiningTechnology matches asset JoiningTechnology</t>
        </is>
      </c>
      <c r="I11" s="89" t="n"/>
      <c r="J11" s="89" t="inlineStr">
        <is>
          <t>OPC 40450-1 Section 11.1 CU-80</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JoiningSystemEventType generated on abnormal asset disconnect (power loss)</t>
        </is>
      </c>
      <c r="E13" s="97" t="n"/>
      <c r="F13" s="97" t="n"/>
      <c r="G13" s="97" t="n"/>
      <c r="H13" s="97" t="n"/>
      <c r="I13" s="97" t="inlineStr">
        <is>
          <t>n</t>
        </is>
      </c>
      <c r="J13" s="97" t="inlineStr">
        <is>
          <t>OPC 40450-1 Section 11.1 CU-80</t>
        </is>
      </c>
      <c r="K13" s="98" t="inlineStr">
        <is>
          <t>CTT=n: requires simulated hardware failure or power-loss scenario</t>
        </is>
      </c>
      <c r="L13" s="27" t="n"/>
      <c r="M13" s="28" t="n"/>
      <c r="N13" s="28" t="n"/>
    </row>
    <row r="14" ht="64.5" customHeight="1" s="132">
      <c r="A14" s="87" t="n"/>
      <c r="B14" s="88" t="n"/>
      <c r="C14" s="89" t="n">
        <v>1</v>
      </c>
      <c r="D14" s="89" t="inlineStr">
        <is>
          <t>Simulate an abnormal/uncontrolled asset disconnect (e.g., cut power to tool, network cable removal, or equivalent hardware simulation). Wait for event notification from the active subscription.</t>
        </is>
      </c>
      <c r="E14" s="89" t="inlineStr">
        <is>
          <t>Active event subscription. Asset connected. Ability to simulate uncontrolled disconnect.</t>
        </is>
      </c>
      <c r="F14" s="89" t="inlineStr">
        <is>
          <t>A JoiningSystemEventType event is generated even for abnormal disconnect. EventCode indicates disconnect or fault condition (e.g., ASSET_DISCONNECTED, ASSET_FAULT, or equivalent). Server does not hang or fail to deliver any further events after the abnormal disconnect.</t>
        </is>
      </c>
      <c r="G14" s="89" t="inlineStr">
        <is>
          <t>Good</t>
        </is>
      </c>
      <c r="H14" s="89" t="inlineStr">
        <is>
          <t>Event generated on abnormal disconnect; appropriate EventCode for fault disconnect</t>
        </is>
      </c>
      <c r="I14" s="89" t="n"/>
      <c r="J14" s="89" t="inlineStr">
        <is>
          <t>OPC 40450-1 Section 11.1 CU-80</t>
        </is>
      </c>
      <c r="K14" s="90" t="n"/>
      <c r="L14" s="27" t="n"/>
      <c r="M14" s="28" t="n"/>
      <c r="N14" s="28" t="n"/>
    </row>
    <row r="15">
      <c r="A15" s="112" t="inlineStr">
        <is>
          <t>n</t>
        </is>
      </c>
      <c r="B15" s="113" t="n">
        <v>2</v>
      </c>
      <c r="C15" s="114" t="n">
        <v>0</v>
      </c>
      <c r="D15" s="114" t="inlineStr">
        <is>
          <t>Verify AssetConnectedConditionClassType event on connect</t>
        </is>
      </c>
      <c r="E15" s="114" t="n"/>
      <c r="F15" s="114" t="n"/>
      <c r="G15" s="114" t="n"/>
      <c r="H15" s="114" t="n"/>
      <c r="I15" s="114" t="inlineStr">
        <is>
          <t>n</t>
        </is>
      </c>
      <c r="J15" s="114" t="inlineStr">
        <is>
          <t>OPC 40450-1 Section 11.1 CU-80</t>
        </is>
      </c>
      <c r="K15" s="115" t="n"/>
      <c r="L15" s="27" t="n"/>
      <c r="M15" s="28" t="n"/>
      <c r="N15" s="28" t="n"/>
    </row>
    <row r="16">
      <c r="A16" s="116" t="n"/>
      <c r="B16" s="117" t="n"/>
      <c r="C16" s="118" t="n">
        <v>1</v>
      </c>
      <c r="D16" s="118" t="inlineStr">
        <is>
          <t>Trigger asset connection. Check for event.</t>
        </is>
      </c>
      <c r="E16" s="118" t="inlineStr">
        <is>
          <t>Server claims this Conformance Unit; no additional runtime setup is needed for this step.</t>
        </is>
      </c>
      <c r="F16" s="118" t="inlineStr">
        <is>
          <t>AssetConnectedConditionClassType event received.</t>
        </is>
      </c>
      <c r="G16" s="118" t="inlineStr">
        <is>
          <t>Good</t>
        </is>
      </c>
      <c r="H16" s="118" t="n"/>
      <c r="I16" s="118" t="n"/>
      <c r="J16" s="118" t="inlineStr">
        <is>
          <t>OPC 40450-1 Section 11.1 CU-80</t>
        </is>
      </c>
      <c r="K16" s="119" t="inlineStr">
        <is>
          <t>Requirement source: OPC 40450-1 Section 11 - Connection event expected.</t>
        </is>
      </c>
    </row>
    <row r="17" customFormat="1" s="138">
      <c r="A17" s="112" t="inlineStr">
        <is>
          <t>n</t>
        </is>
      </c>
      <c r="B17" s="110" t="n">
        <v>3</v>
      </c>
      <c r="C17" s="110" t="n">
        <v>0</v>
      </c>
      <c r="D17" s="110" t="inlineStr">
        <is>
          <t>Verify AssetDisconnectedConditionClassType event on disconnect</t>
        </is>
      </c>
      <c r="E17" s="110" t="n"/>
      <c r="F17" s="110" t="n"/>
      <c r="G17" s="110" t="n"/>
      <c r="H17" s="110" t="n"/>
      <c r="I17" s="110" t="inlineStr">
        <is>
          <t>n</t>
        </is>
      </c>
      <c r="J17" s="110" t="inlineStr">
        <is>
          <t>OPC 40450-1 Section 11.1 CU-80</t>
        </is>
      </c>
      <c r="K17" s="115" t="n"/>
    </row>
    <row r="18">
      <c r="A18" s="120" t="n"/>
      <c r="B18" s="121" t="n"/>
      <c r="C18" s="122" t="n">
        <v>1</v>
      </c>
      <c r="D18" s="122" t="inlineStr">
        <is>
          <t>Trigger asset disconnection. Check for event.</t>
        </is>
      </c>
      <c r="E18" s="122" t="inlineStr">
        <is>
          <t>Server claims this Conformance Unit; no additional runtime setup is needed for this step.</t>
        </is>
      </c>
      <c r="F18" s="122" t="inlineStr">
        <is>
          <t>AssetDisconnectedConditionClassType event received.</t>
        </is>
      </c>
      <c r="G18" s="122" t="inlineStr">
        <is>
          <t>Good</t>
        </is>
      </c>
      <c r="H18" s="122" t="n"/>
      <c r="I18" s="122" t="n"/>
      <c r="J18" s="122" t="inlineStr">
        <is>
          <t>OPC 40450-1 Section 11.1 CU-80</t>
        </is>
      </c>
      <c r="K18" s="123" t="inlineStr">
        <is>
          <t>Requirement source: OPC 40450-1 Section 11 - Disconnection event expected.</t>
        </is>
      </c>
    </row>
    <row r="19">
      <c r="A19" s="110" t="inlineStr">
        <is>
          <t>n</t>
        </is>
      </c>
      <c r="B19" s="110" t="n">
        <v>4</v>
      </c>
      <c r="C19" s="110" t="n">
        <v>0</v>
      </c>
      <c r="D19" s="110" t="inlineStr">
        <is>
          <t>Verify event AssociatedEntities includes asset identifier</t>
        </is>
      </c>
      <c r="E19" s="110" t="n"/>
      <c r="F19" s="110" t="n"/>
      <c r="G19" s="110" t="n"/>
      <c r="H19" s="110" t="n"/>
      <c r="I19" s="110" t="inlineStr">
        <is>
          <t>n</t>
        </is>
      </c>
      <c r="J19" s="110" t="inlineStr">
        <is>
          <t>OPC 40450-1 Section 11.1 CU-80</t>
        </is>
      </c>
      <c r="K19" s="110" t="n"/>
    </row>
    <row r="20" ht="25.8" customHeight="1" s="132">
      <c r="A20" s="111" t="n"/>
      <c r="B20" s="111" t="n"/>
      <c r="C20" s="111" t="n">
        <v>1</v>
      </c>
      <c r="D20" s="111" t="inlineStr">
        <is>
          <t>Receive connection event. Check AssociatedEntities.</t>
        </is>
      </c>
      <c r="E20" s="111" t="inlineStr">
        <is>
          <t>Server claims this Conformance Unit; no additional runtime setup is needed for this step.</t>
        </is>
      </c>
      <c r="F20" s="111" t="inlineStr">
        <is>
          <t>AssociatedEntities contains entry with correct EntityType and EntityId.</t>
        </is>
      </c>
      <c r="G20" s="111" t="inlineStr">
        <is>
          <t>Good</t>
        </is>
      </c>
      <c r="H20" s="111" t="n"/>
      <c r="I20" s="111" t="n"/>
      <c r="J20" s="111" t="inlineStr">
        <is>
          <t>OPC 40450-1 Section 11.1 CU-80</t>
        </is>
      </c>
      <c r="K20" s="111" t="inlineStr">
        <is>
          <t>Requirement source: OPC 40450-1 Section 11 - Event must reference asset.</t>
        </is>
      </c>
    </row>
  </sheetData>
  <mergeCells count="2">
    <mergeCell ref="A1:K1"/>
    <mergeCell ref="C2:J2"/>
  </mergeCells>
  <pageMargins left="0.7" right="0.7" top="0.75" bottom="0.75" header="0.3" footer="0.3"/>
</worksheet>
</file>

<file path=xl/worksheets/sheet87.xml><?xml version="1.0" encoding="utf-8"?>
<worksheet xmlns="http://schemas.openxmlformats.org/spreadsheetml/2006/main">
  <sheetPr codeName="Sheet7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CU-81: Asset Connection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CU-81 — Asset Connection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generated on IsConnected toggle True→False</t>
        </is>
      </c>
      <c r="E4" s="58" t="n"/>
      <c r="F4" s="58" t="n"/>
      <c r="G4" s="58" t="n"/>
      <c r="H4" s="58" t="n"/>
      <c r="I4" s="58" t="inlineStr">
        <is>
          <t>n</t>
        </is>
      </c>
      <c r="J4" s="58" t="inlineStr">
        <is>
          <t>OPC 40450-1 Section 11.1 CU-81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Write IsConnected=False to the asset Parameters.IsConnected node (or perform physical disconnect). Wait for event notification.</t>
        </is>
      </c>
      <c r="E5" s="89" t="inlineStr">
        <is>
          <t>OPC UA session. Active event subscription. Asset IsConnected currently = True.</t>
        </is>
      </c>
      <c r="F5" s="89" t="inlineStr">
        <is>
          <t>A JoiningSystemEventType event is received after IsConnected changes from True to False. Event identity proven by timing and IsConnected state change. If EventCode is present, it is system-specific Int64. Event Timestamp is close to the write time.</t>
        </is>
      </c>
      <c r="G5" s="89" t="inlineStr">
        <is>
          <t>Good</t>
        </is>
      </c>
      <c r="H5" s="89" t="inlineStr">
        <is>
          <t>Event received on IsConnected True→False transition; timing and state change confirmed</t>
        </is>
      </c>
      <c r="I5" s="89" t="n"/>
      <c r="J5" s="89" t="inlineStr">
        <is>
          <t>OPC 40450-1 Section 11.1 CU-81</t>
        </is>
      </c>
      <c r="K5" s="90" t="n"/>
      <c r="L5" s="27" t="n"/>
      <c r="M5" s="28" t="n"/>
      <c r="N5" s="28" t="n"/>
    </row>
    <row r="6" ht="26.1" customHeight="1" s="132">
      <c r="A6" s="56" t="inlineStr">
        <is>
          <t>y</t>
        </is>
      </c>
      <c r="B6" s="57" t="n">
        <v>2</v>
      </c>
      <c r="C6" s="58" t="n">
        <v>0</v>
      </c>
      <c r="D6" s="58" t="inlineStr">
        <is>
          <t>Verify JoiningSystemEventType event generated on IsConnected toggle False→True</t>
        </is>
      </c>
      <c r="E6" s="58" t="n"/>
      <c r="F6" s="58" t="n"/>
      <c r="G6" s="58" t="n"/>
      <c r="H6" s="58" t="n"/>
      <c r="I6" s="58" t="inlineStr">
        <is>
          <t>n</t>
        </is>
      </c>
      <c r="J6" s="58" t="inlineStr">
        <is>
          <t>OPC 40450-1 Section 11.1 CU-81</t>
        </is>
      </c>
      <c r="K6" s="74" t="n"/>
      <c r="L6" s="27" t="n"/>
      <c r="M6" s="28" t="n"/>
      <c r="N6" s="28" t="n"/>
    </row>
    <row r="7" ht="26.1" customHeight="1" s="132">
      <c r="A7" s="87" t="n"/>
      <c r="B7" s="88" t="n"/>
      <c r="C7" s="89" t="n">
        <v>1</v>
      </c>
      <c r="D7" s="89" t="inlineStr">
        <is>
          <t>Reconnect the asset or write IsConnected=True to the asset node. Wait for event notification from the active subscription.</t>
        </is>
      </c>
      <c r="E7" s="89" t="inlineStr">
        <is>
          <t>Active event subscription. Asset IsConnected currently = False (from TC#1).</t>
        </is>
      </c>
      <c r="F7" s="89" t="inlineStr">
        <is>
          <t>A JoiningSystemEventType event is received after IsConnected changes from False to True. Event identity proven by timing and IsConnected state change. If EventCode is present, it is system-specific Int64. Event Timestamp is close to the state change time.</t>
        </is>
      </c>
      <c r="G7" s="89" t="inlineStr">
        <is>
          <t>Good</t>
        </is>
      </c>
      <c r="H7" s="89" t="inlineStr">
        <is>
          <t>Event received on IsConnected False→True transition; timing and state change confirmed</t>
        </is>
      </c>
      <c r="I7" s="89" t="n"/>
      <c r="J7" s="89" t="inlineStr">
        <is>
          <t>OPC 40450-1 Section 11.1 CU-81</t>
        </is>
      </c>
      <c r="K7" s="90" t="n"/>
      <c r="L7" s="27" t="n"/>
      <c r="M7" s="28" t="n"/>
      <c r="N7" s="28" t="n"/>
    </row>
    <row r="8" ht="39" customHeight="1" s="132">
      <c r="A8" s="56" t="inlineStr">
        <is>
          <t>y</t>
        </is>
      </c>
      <c r="B8" s="57" t="n">
        <v>3</v>
      </c>
      <c r="C8" s="58" t="n">
        <v>0</v>
      </c>
      <c r="D8" s="58" t="inlineStr">
        <is>
          <t>Verify event Severity field is non-zero</t>
        </is>
      </c>
      <c r="E8" s="58" t="n"/>
      <c r="F8" s="58" t="n"/>
      <c r="G8" s="58" t="n"/>
      <c r="H8" s="58" t="n"/>
      <c r="I8" s="58" t="inlineStr">
        <is>
          <t>n</t>
        </is>
      </c>
      <c r="J8" s="58" t="inlineStr">
        <is>
          <t>OPC 40450-1 Section 11.1 CU-81</t>
        </is>
      </c>
      <c r="K8" s="74" t="n"/>
      <c r="L8" s="27" t="n"/>
      <c r="M8" s="28" t="n"/>
      <c r="N8" s="28" t="n"/>
    </row>
    <row r="9" ht="38.7" customHeight="1" s="132">
      <c r="A9" s="87" t="n"/>
      <c r="B9" s="88" t="n"/>
      <c r="C9" s="89" t="n">
        <v>1</v>
      </c>
      <c r="D9" s="89" t="inlineStr">
        <is>
          <t>From the connection state events received in TC#1 and TC#2, inspect the Severity field of each event.</t>
        </is>
      </c>
      <c r="E9" s="89" t="inlineStr">
        <is>
          <t>Connection state events received.</t>
        </is>
      </c>
      <c r="F9" s="89" t="inlineStr">
        <is>
          <t>Severity field is present and non-zero in each event. Valid range for OPC UA Severity is 1–1000. Server assigns an appropriate severity for connection state changes.</t>
        </is>
      </c>
      <c r="G9" s="89" t="inlineStr">
        <is>
          <t>Good</t>
        </is>
      </c>
      <c r="H9" s="89" t="inlineStr">
        <is>
          <t>Severity field non-zero (1–1000) confirmed in connection state events</t>
        </is>
      </c>
      <c r="I9" s="89" t="n"/>
      <c r="J9" s="89" t="inlineStr">
        <is>
          <t>OPC 40450-1 Section 11.1 CU-81</t>
        </is>
      </c>
      <c r="K9" s="90" t="n"/>
      <c r="L9" s="27" t="n"/>
      <c r="M9" s="28" t="n"/>
      <c r="N9" s="28" t="n"/>
    </row>
    <row r="10" ht="39" customHeight="1" s="132">
      <c r="A10" s="56" t="inlineStr">
        <is>
          <t>y</t>
        </is>
      </c>
      <c r="B10" s="57" t="n">
        <v>4</v>
      </c>
      <c r="C10" s="58" t="n">
        <v>0</v>
      </c>
      <c r="D10" s="58" t="inlineStr">
        <is>
          <t>Verify IsConnected attribute value matches event state after event received</t>
        </is>
      </c>
      <c r="E10" s="58" t="n"/>
      <c r="F10" s="58" t="n"/>
      <c r="G10" s="58" t="n"/>
      <c r="H10" s="58" t="n"/>
      <c r="I10" s="58" t="inlineStr">
        <is>
          <t>n</t>
        </is>
      </c>
      <c r="J10" s="58" t="inlineStr">
        <is>
          <t>OPC 40450-1 Section 11.1 CU-81</t>
        </is>
      </c>
      <c r="K10" s="74" t="n"/>
      <c r="L10" s="27" t="n"/>
      <c r="M10" s="28" t="n"/>
      <c r="N10" s="28" t="n"/>
    </row>
    <row r="11" ht="51.6" customHeight="1" s="132">
      <c r="A11" s="87" t="n"/>
      <c r="B11" s="88" t="n"/>
      <c r="C11" s="89" t="n">
        <v>1</v>
      </c>
      <c r="D11" s="89" t="inlineStr">
        <is>
          <t>After receiving the connection state event from TC#1 (disconnect event), read the IsConnected attribute from the asset node directly.</t>
        </is>
      </c>
      <c r="E11" s="89" t="inlineStr">
        <is>
          <t>Connection state event received. Asset node accessible.</t>
        </is>
      </c>
      <c r="F11" s="89" t="inlineStr">
        <is>
          <t>IsConnected attribute value matches the state indicated in the event. For disconnect event: IsConnected = False. For connect event (TC#2): IsConnected = True. No race condition between event and attribute update.</t>
        </is>
      </c>
      <c r="G11" s="89" t="inlineStr">
        <is>
          <t>Good</t>
        </is>
      </c>
      <c r="H11" s="89" t="inlineStr">
        <is>
          <t>IsConnected attribute matches event-indicated state after event delivery</t>
        </is>
      </c>
      <c r="I11" s="89" t="n"/>
      <c r="J11" s="89" t="inlineStr">
        <is>
          <t>OPC 40450-1 Section 11.1 CU-81</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write IsConnected=True for physically disconnected asset returns error</t>
        </is>
      </c>
      <c r="E13" s="97" t="n"/>
      <c r="F13" s="97" t="n"/>
      <c r="G13" s="97" t="n"/>
      <c r="H13" s="97" t="n"/>
      <c r="I13" s="97" t="inlineStr">
        <is>
          <t>n</t>
        </is>
      </c>
      <c r="J13" s="97" t="inlineStr">
        <is>
          <t>OPC 40450-1 Section 11.1 CU-81</t>
        </is>
      </c>
      <c r="K13" s="98" t="inlineStr">
        <is>
          <t>CTT=n: requires testing invalid state write</t>
        </is>
      </c>
      <c r="L13" s="27" t="n"/>
      <c r="M13" s="28" t="n"/>
      <c r="N13" s="28" t="n"/>
    </row>
    <row r="14" ht="51.6" customHeight="1" s="132">
      <c r="A14" s="87" t="n"/>
      <c r="B14" s="88" t="n"/>
      <c r="C14" s="89" t="n">
        <v>1</v>
      </c>
      <c r="D14" s="89" t="inlineStr">
        <is>
          <t>With a physically disconnected asset (IsConnected=False), attempt to write IsConnected=True via OPC UA WriteRequest.</t>
        </is>
      </c>
      <c r="E14" s="89" t="inlineStr">
        <is>
          <t>Asset physically disconnected. OPC UA session with write permissions.</t>
        </is>
      </c>
      <c r="F14" s="89" t="inlineStr">
        <is>
          <t>Write Service dispatch succeeds. OperationResults for IsConnected contains Bad_InvalidState, Bad_NotWritable, or Bad_UserAccessDenied. IsConnected remains False after the rejected write. No spurious connection event is generated.</t>
        </is>
      </c>
      <c r="G14" s="89" t="inlineStr">
        <is>
          <t>Good</t>
        </is>
      </c>
      <c r="H14" s="89" t="inlineStr">
        <is>
          <t>Bad_InvalidState / Bad_NotWritable / Bad_UserAccessDenied; IsConnected remains False; no spurious event generated</t>
        </is>
      </c>
      <c r="I14" s="89" t="n"/>
      <c r="J14" s="89" t="inlineStr">
        <is>
          <t>OPC 40450-1 Section 11.1 CU-81</t>
        </is>
      </c>
      <c r="K14" s="90" t="n"/>
      <c r="L14" s="27" t="n"/>
      <c r="M14" s="28" t="n"/>
      <c r="N14" s="28" t="n"/>
    </row>
    <row r="15">
      <c r="A15" s="112" t="inlineStr">
        <is>
          <t>n</t>
        </is>
      </c>
      <c r="B15" s="113" t="n">
        <v>2</v>
      </c>
      <c r="C15" s="114" t="n">
        <v>0</v>
      </c>
      <c r="D15" s="114" t="inlineStr">
        <is>
          <t>Verify event SourceNode matches specific asset NodeId</t>
        </is>
      </c>
      <c r="E15" s="114" t="n"/>
      <c r="F15" s="114" t="n"/>
      <c r="G15" s="114" t="n"/>
      <c r="H15" s="114" t="n"/>
      <c r="I15" s="114" t="inlineStr">
        <is>
          <t>n</t>
        </is>
      </c>
      <c r="J15" s="114" t="inlineStr">
        <is>
          <t>OPC 40450-1 Section 11.1 CU-81</t>
        </is>
      </c>
      <c r="K15" s="115" t="n"/>
      <c r="L15" s="27" t="n"/>
      <c r="M15" s="28" t="n"/>
      <c r="N15" s="28" t="n"/>
    </row>
    <row r="16" ht="25.8" customHeight="1" s="132">
      <c r="A16" s="116" t="n"/>
      <c r="B16" s="117" t="n"/>
      <c r="C16" s="118" t="n">
        <v>1</v>
      </c>
      <c r="D16" s="118" t="inlineStr">
        <is>
          <t>Receive connection state event. Read SourceNode. Compare with asset NodeId.</t>
        </is>
      </c>
      <c r="E16" s="118" t="inlineStr">
        <is>
          <t>Server claims this Conformance Unit; no additional runtime setup is needed for this step.</t>
        </is>
      </c>
      <c r="F16" s="118" t="inlineStr">
        <is>
          <t>SourceNode is asset instance, not JoiningSystem.</t>
        </is>
      </c>
      <c r="G16" s="118" t="inlineStr">
        <is>
          <t>Good</t>
        </is>
      </c>
      <c r="H16" s="118" t="n"/>
      <c r="I16" s="118" t="n"/>
      <c r="J16" s="118" t="inlineStr">
        <is>
          <t>OPC 40450-1 Section 11.1 CU-81</t>
        </is>
      </c>
      <c r="K16" s="119" t="inlineStr">
        <is>
          <t>Requirement source: OPC 10000-5 - SourceNode is event source.</t>
        </is>
      </c>
    </row>
    <row r="17" customFormat="1" s="138">
      <c r="A17" s="112" t="inlineStr">
        <is>
          <t>n</t>
        </is>
      </c>
      <c r="B17" s="110" t="n">
        <v>3</v>
      </c>
      <c r="C17" s="110" t="n">
        <v>0</v>
      </c>
      <c r="D17" s="110" t="inlineStr">
        <is>
          <t>Verify event Severity is non-zero</t>
        </is>
      </c>
      <c r="E17" s="110" t="n"/>
      <c r="F17" s="110" t="n"/>
      <c r="G17" s="110" t="n"/>
      <c r="H17" s="110" t="n"/>
      <c r="I17" s="110" t="inlineStr">
        <is>
          <t>n</t>
        </is>
      </c>
      <c r="J17" s="110" t="inlineStr">
        <is>
          <t>OPC 40450-1 Section 11.1 CU-81</t>
        </is>
      </c>
      <c r="K17" s="115" t="n"/>
    </row>
    <row r="18">
      <c r="A18" s="120" t="n"/>
      <c r="B18" s="121" t="n"/>
      <c r="C18" s="122" t="n">
        <v>1</v>
      </c>
      <c r="D18" s="122" t="inlineStr">
        <is>
          <t>Read Severity from connection state event.</t>
        </is>
      </c>
      <c r="E18" s="122" t="inlineStr">
        <is>
          <t>Server claims this Conformance Unit; no additional runtime setup is needed for this step.</t>
        </is>
      </c>
      <c r="F18" s="122" t="inlineStr">
        <is>
          <t>Severity &gt; 0.</t>
        </is>
      </c>
      <c r="G18" s="122" t="inlineStr">
        <is>
          <t>Good</t>
        </is>
      </c>
      <c r="H18" s="122" t="n"/>
      <c r="I18" s="122" t="n"/>
      <c r="J18" s="122" t="inlineStr">
        <is>
          <t>OPC 40450-1 Section 11.1 CU-81</t>
        </is>
      </c>
      <c r="K18" s="123" t="inlineStr">
        <is>
          <t>Requirement source: OPC 10000-5 - Severity must be 1-1000.</t>
        </is>
      </c>
    </row>
    <row r="19">
      <c r="A19" s="110" t="inlineStr">
        <is>
          <t>n</t>
        </is>
      </c>
      <c r="B19" s="110" t="n">
        <v>4</v>
      </c>
      <c r="C19" s="110" t="n">
        <v>0</v>
      </c>
      <c r="D19" s="110" t="inlineStr">
        <is>
          <t>Verify correct event filtering by ConditionClass</t>
        </is>
      </c>
      <c r="E19" s="110" t="n"/>
      <c r="F19" s="110" t="n"/>
      <c r="G19" s="110" t="n"/>
      <c r="H19" s="110" t="n"/>
      <c r="I19" s="110" t="inlineStr">
        <is>
          <t>n</t>
        </is>
      </c>
      <c r="J19" s="110" t="inlineStr">
        <is>
          <t>OPC 40450-1 Section 11.1 CU-81</t>
        </is>
      </c>
      <c r="K19" s="110" t="n"/>
    </row>
    <row r="20" ht="25.8" customHeight="1" s="132">
      <c r="A20" s="111" t="n"/>
      <c r="B20" s="111" t="n"/>
      <c r="C20" s="111" t="n">
        <v>1</v>
      </c>
      <c r="D20" s="111" t="inlineStr">
        <is>
          <t>Subscribe for AssetConnectedConditionClass only. Trigger connect and disconnect.</t>
        </is>
      </c>
      <c r="E20" s="111" t="inlineStr">
        <is>
          <t>Server claims this Conformance Unit; no additional runtime setup is needed for this step.</t>
        </is>
      </c>
      <c r="F20" s="111" t="inlineStr">
        <is>
          <t>Only AssetConnected events received. No AssetDisconnected events.</t>
        </is>
      </c>
      <c r="G20" s="111" t="inlineStr">
        <is>
          <t>Good</t>
        </is>
      </c>
      <c r="H20" s="111" t="n"/>
      <c r="I20" s="111" t="n"/>
      <c r="J20" s="111" t="inlineStr">
        <is>
          <t>OPC 40450-1 Section 11.1 CU-81</t>
        </is>
      </c>
      <c r="K20" s="111" t="inlineStr">
        <is>
          <t>Requirement source: OPC 10000-4 Section 5.12.1 - Filter by ConditionClass.</t>
        </is>
      </c>
    </row>
  </sheetData>
  <mergeCells count="2">
    <mergeCell ref="A1:K1"/>
    <mergeCell ref="C2:J2"/>
  </mergeCells>
  <pageMargins left="0.7" right="0.7" top="0.75" bottom="0.75" header="0.3" footer="0.3"/>
</worksheet>
</file>

<file path=xl/worksheets/sheet88.xml><?xml version="1.0" encoding="utf-8"?>
<worksheet xmlns="http://schemas.openxmlformats.org/spreadsheetml/2006/main">
  <sheetPr codeName="Sheet7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CU-82: Asset Enable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CU-82 — Asset Enable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event generated on EnableAsset call</t>
        </is>
      </c>
      <c r="E4" s="58" t="n"/>
      <c r="F4" s="58" t="n"/>
      <c r="G4" s="58" t="n"/>
      <c r="H4" s="58" t="n"/>
      <c r="I4" s="58" t="inlineStr">
        <is>
          <t>n</t>
        </is>
      </c>
      <c r="J4" s="58" t="inlineStr">
        <is>
          <t>OPC 40450-1 Section 11.1 CU-82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EnableAsset method on the asset node. Wait for event notification.</t>
        </is>
      </c>
      <c r="E5" s="89" t="inlineStr">
        <is>
          <t>OPC UA session. Active event subscription for JoiningSystemEventType. Asset currently disabled (IsEnabled=False). EnableAsset method available and Executable=True.</t>
        </is>
      </c>
      <c r="F5" s="89" t="inlineStr">
        <is>
          <t>A JoiningSystemEventType event is received after EnableAsset call. Event identity proven by timing, event type, and EnableAsset returning Good. If EventCode is present, it is system-specific Int64.</t>
        </is>
      </c>
      <c r="G5" s="89" t="inlineStr">
        <is>
          <t>Good</t>
        </is>
      </c>
      <c r="H5" s="89" t="inlineStr">
        <is>
          <t>JoiningSystemEventType event received after EnableAsset; method returned Good</t>
        </is>
      </c>
      <c r="I5" s="89" t="n"/>
      <c r="J5" s="89" t="inlineStr">
        <is>
          <t>OPC 40450-1 Section 11.1 CU-82</t>
        </is>
      </c>
      <c r="K5" s="90" t="n"/>
      <c r="L5" s="27" t="n"/>
      <c r="M5" s="28" t="n"/>
      <c r="N5" s="28" t="n"/>
    </row>
    <row r="6" ht="26.1" customHeight="1" s="132">
      <c r="A6" s="56" t="inlineStr">
        <is>
          <t>y</t>
        </is>
      </c>
      <c r="B6" s="57" t="n">
        <v>2</v>
      </c>
      <c r="C6" s="58" t="n">
        <v>0</v>
      </c>
      <c r="D6" s="58" t="inlineStr">
        <is>
          <t>Verify JoiningSystemEventType event generated on asset disable</t>
        </is>
      </c>
      <c r="E6" s="58" t="n"/>
      <c r="F6" s="58" t="n"/>
      <c r="G6" s="58" t="n"/>
      <c r="H6" s="58" t="n"/>
      <c r="I6" s="58" t="inlineStr">
        <is>
          <t>n</t>
        </is>
      </c>
      <c r="J6" s="58" t="inlineStr">
        <is>
          <t>OPC 40450-1 Section 11.1 CU-82</t>
        </is>
      </c>
      <c r="K6" s="74" t="n"/>
      <c r="L6" s="27" t="n"/>
      <c r="M6" s="28" t="n"/>
      <c r="N6" s="28" t="n"/>
    </row>
    <row r="7" ht="26.1" customHeight="1" s="132">
      <c r="A7" s="87" t="n"/>
      <c r="B7" s="88" t="n"/>
      <c r="C7" s="89" t="n">
        <v>1</v>
      </c>
      <c r="D7" s="89" t="inlineStr">
        <is>
          <t>Call DisableAsset method (or equivalent disable mechanism) on the asset. Wait for event notification from the active subscription.</t>
        </is>
      </c>
      <c r="E7" s="89" t="inlineStr">
        <is>
          <t>Active event subscription. Asset currently enabled (from TC#1). DisableAsset method available and Executable=True.</t>
        </is>
      </c>
      <c r="F7" s="89" t="inlineStr">
        <is>
          <t>A JoiningSystemEventType event is received after disable operation. Event identity proven by timing, event type, and disable method returning Good. If EventCode is present, it is system-specific Int64.</t>
        </is>
      </c>
      <c r="G7" s="89" t="inlineStr">
        <is>
          <t>Good</t>
        </is>
      </c>
      <c r="H7" s="89" t="inlineStr">
        <is>
          <t>JoiningSystemEventType event received after disable; method returned Good</t>
        </is>
      </c>
      <c r="I7" s="89" t="n"/>
      <c r="J7" s="89" t="inlineStr">
        <is>
          <t>OPC 40450-1 Section 11.1 CU-82</t>
        </is>
      </c>
      <c r="K7" s="90" t="n"/>
      <c r="L7" s="27" t="n"/>
      <c r="M7" s="28" t="n"/>
      <c r="N7" s="28" t="n"/>
    </row>
    <row r="8" ht="39" customHeight="1" s="132">
      <c r="A8" s="56" t="inlineStr">
        <is>
          <t>y</t>
        </is>
      </c>
      <c r="B8" s="57" t="n">
        <v>3</v>
      </c>
      <c r="C8" s="58" t="n">
        <v>0</v>
      </c>
      <c r="D8" s="58" t="inlineStr">
        <is>
          <t>Verify event SourceNode equals the enabled/disabled asset NodeId</t>
        </is>
      </c>
      <c r="E8" s="58" t="n"/>
      <c r="F8" s="58" t="n"/>
      <c r="G8" s="58" t="n"/>
      <c r="H8" s="58" t="n"/>
      <c r="I8" s="58" t="inlineStr">
        <is>
          <t>n</t>
        </is>
      </c>
      <c r="J8" s="58" t="inlineStr">
        <is>
          <t>OPC 40450-1 Section 11.1 CU-82</t>
        </is>
      </c>
      <c r="K8" s="74" t="n"/>
      <c r="L8" s="27" t="n"/>
      <c r="M8" s="28" t="n"/>
      <c r="N8" s="28" t="n"/>
    </row>
    <row r="9" ht="38.7" customHeight="1" s="132">
      <c r="A9" s="87" t="n"/>
      <c r="B9" s="88" t="n"/>
      <c r="C9" s="89" t="n">
        <v>1</v>
      </c>
      <c r="D9" s="89" t="inlineStr">
        <is>
          <t>From enable and disable events in TC#1 and TC#2, inspect the SourceNode field. Compare against the known NodeId of the asset.</t>
        </is>
      </c>
      <c r="E9" s="89" t="inlineStr">
        <is>
          <t>Enable/disable events received. Asset NodeId known.</t>
        </is>
      </c>
      <c r="F9" s="89" t="inlineStr">
        <is>
          <t>SourceNode in both enable and disable events matches the NodeId of the targeted asset. SourceNode is consistent across enable and disable events for the same asset.</t>
        </is>
      </c>
      <c r="G9" s="89" t="inlineStr">
        <is>
          <t>Good</t>
        </is>
      </c>
      <c r="H9" s="89" t="inlineStr">
        <is>
          <t>SourceNode NodeId matches targeted asset NodeId</t>
        </is>
      </c>
      <c r="I9" s="89" t="n"/>
      <c r="J9" s="89" t="inlineStr">
        <is>
          <t>OPC 40450-1 Section 11.1 CU-82</t>
        </is>
      </c>
      <c r="K9" s="90" t="n"/>
      <c r="L9" s="27" t="n"/>
      <c r="M9" s="28" t="n"/>
      <c r="N9" s="28" t="n"/>
    </row>
    <row r="10" ht="39" customHeight="1" s="132">
      <c r="A10" s="56" t="inlineStr">
        <is>
          <t>y</t>
        </is>
      </c>
      <c r="B10" s="57" t="n">
        <v>4</v>
      </c>
      <c r="C10" s="58" t="n">
        <v>0</v>
      </c>
      <c r="D10" s="58" t="inlineStr">
        <is>
          <t>Verify IsEnabled attribute reflects new state after enable/disable event</t>
        </is>
      </c>
      <c r="E10" s="58" t="n"/>
      <c r="F10" s="58" t="n"/>
      <c r="G10" s="58" t="n"/>
      <c r="H10" s="58" t="n"/>
      <c r="I10" s="58" t="inlineStr">
        <is>
          <t>n</t>
        </is>
      </c>
      <c r="J10" s="58" t="inlineStr">
        <is>
          <t>OPC 40450-1 Section 11.1 CU-82</t>
        </is>
      </c>
      <c r="K10" s="74" t="n"/>
      <c r="L10" s="27" t="n"/>
      <c r="M10" s="28" t="n"/>
      <c r="N10" s="28" t="n"/>
    </row>
    <row r="11" ht="51.6" customHeight="1" s="132">
      <c r="A11" s="87" t="n"/>
      <c r="B11" s="88" t="n"/>
      <c r="C11" s="89" t="n">
        <v>1</v>
      </c>
      <c r="D11" s="89" t="inlineStr">
        <is>
          <t>After receiving the enable event (TC#1), read IsEnabled from the asset node. After receiving the disable event (TC#2), read IsEnabled again.</t>
        </is>
      </c>
      <c r="E11" s="89" t="inlineStr">
        <is>
          <t>Enable and disable events received. Asset node IsEnabled attribute accessible.</t>
        </is>
      </c>
      <c r="F11" s="89" t="inlineStr">
        <is>
          <t>IsEnabled = True after enable event. IsEnabled = False after disable event. Attribute is consistent with the event-reported state.</t>
        </is>
      </c>
      <c r="G11" s="89" t="inlineStr">
        <is>
          <t>Good</t>
        </is>
      </c>
      <c r="H11" s="89" t="inlineStr">
        <is>
          <t>IsEnabled=True after enable event; IsEnabled=False after disable event</t>
        </is>
      </c>
      <c r="I11" s="89" t="n"/>
      <c r="J11" s="89" t="inlineStr">
        <is>
          <t>OPC 40450-1 Section 11.1 CU-82</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EnableAsset on already-enabled asset is idempotent (Good, no duplicate event)</t>
        </is>
      </c>
      <c r="E13" s="97" t="n"/>
      <c r="F13" s="97" t="n"/>
      <c r="G13" s="97" t="n"/>
      <c r="H13" s="97" t="n"/>
      <c r="I13" s="97" t="inlineStr">
        <is>
          <t>n</t>
        </is>
      </c>
      <c r="J13" s="97" t="inlineStr">
        <is>
          <t>OPC 40450-1 Section 11.1 CU-82</t>
        </is>
      </c>
      <c r="K13" s="98" t="inlineStr">
        <is>
          <t>CTT=n: requires testing idempotent method call</t>
        </is>
      </c>
      <c r="L13" s="27" t="n"/>
      <c r="M13" s="28" t="n"/>
      <c r="N13" s="28" t="n"/>
    </row>
    <row r="14" ht="51.6" customHeight="1" s="132">
      <c r="A14" s="87" t="n"/>
      <c r="B14" s="88" t="n"/>
      <c r="C14" s="89" t="n">
        <v>1</v>
      </c>
      <c r="D14" s="89" t="inlineStr">
        <is>
          <t>With the asset already in enabled state (IsEnabled=True), call EnableAsset again. Monitor event subscription for duplicate events.</t>
        </is>
      </c>
      <c r="E14" s="89" t="inlineStr">
        <is>
          <t>Active event subscription. Asset IsEnabled=True confirmed.</t>
        </is>
      </c>
      <c r="F14" s="89" t="inlineStr">
        <is>
          <t>EnableAsset returns Good (idempotent behavior). No duplicate ASSET_ENABLED event is generated (or server may generate one — both behaviors are acceptable per spec; verify per implementation). IsEnabled remains True.</t>
        </is>
      </c>
      <c r="G14" s="89" t="inlineStr">
        <is>
          <t>Good</t>
        </is>
      </c>
      <c r="H14" s="89" t="inlineStr">
        <is>
          <t>Good returned; IsEnabled unchanged (True); no harmful side-effect</t>
        </is>
      </c>
      <c r="I14" s="89" t="n"/>
      <c r="J14" s="89" t="inlineStr">
        <is>
          <t>OPC 40450-1 Section 11.1 CU-82</t>
        </is>
      </c>
      <c r="K14" s="90" t="n"/>
      <c r="L14" s="27" t="n"/>
      <c r="M14" s="28" t="n"/>
      <c r="N14" s="28" t="n"/>
    </row>
    <row r="15">
      <c r="A15" s="112" t="inlineStr">
        <is>
          <t>n</t>
        </is>
      </c>
      <c r="B15" s="113" t="n">
        <v>2</v>
      </c>
      <c r="C15" s="114" t="n">
        <v>0</v>
      </c>
      <c r="D15" s="114" t="inlineStr">
        <is>
          <t>Verify AssetEnabledConditionClassType event on EnableTool</t>
        </is>
      </c>
      <c r="E15" s="114" t="n"/>
      <c r="F15" s="114" t="n"/>
      <c r="G15" s="114" t="n"/>
      <c r="H15" s="114" t="n"/>
      <c r="I15" s="114" t="inlineStr">
        <is>
          <t>n</t>
        </is>
      </c>
      <c r="J15" s="114" t="inlineStr">
        <is>
          <t>OPC 40450-1 Section 11.1 CU-82</t>
        </is>
      </c>
      <c r="K15" s="115" t="n"/>
      <c r="L15" s="27" t="n"/>
      <c r="M15" s="28" t="n"/>
      <c r="N15" s="28" t="n"/>
    </row>
    <row r="16">
      <c r="A16" s="116" t="n"/>
      <c r="B16" s="117" t="n"/>
      <c r="C16" s="118" t="n">
        <v>1</v>
      </c>
      <c r="D16" s="118" t="inlineStr">
        <is>
          <t>Subscribe events. Call EnableTool.</t>
        </is>
      </c>
      <c r="E16" s="118" t="inlineStr">
        <is>
          <t>Server claims this Conformance Unit; no additional runtime setup is needed for this step.</t>
        </is>
      </c>
      <c r="F16" s="118" t="inlineStr">
        <is>
          <t>AssetEnabledConditionClassType event received.</t>
        </is>
      </c>
      <c r="G16" s="118" t="inlineStr">
        <is>
          <t>Good</t>
        </is>
      </c>
      <c r="H16" s="118" t="n"/>
      <c r="I16" s="118" t="n"/>
      <c r="J16" s="118" t="inlineStr">
        <is>
          <t>OPC 40450-1 Section 11.1 CU-82</t>
        </is>
      </c>
      <c r="K16" s="119" t="inlineStr">
        <is>
          <t>Requirement source: OPC 40450-1 Section 11 - Enable event expected.</t>
        </is>
      </c>
    </row>
    <row r="17" customFormat="1" s="138">
      <c r="A17" s="112" t="inlineStr">
        <is>
          <t>n</t>
        </is>
      </c>
      <c r="B17" s="110" t="n">
        <v>3</v>
      </c>
      <c r="C17" s="110" t="n">
        <v>0</v>
      </c>
      <c r="D17" s="110" t="inlineStr">
        <is>
          <t>Verify AssetDisabledConditionClassType event on disable</t>
        </is>
      </c>
      <c r="E17" s="110" t="n"/>
      <c r="F17" s="110" t="n"/>
      <c r="G17" s="110" t="n"/>
      <c r="H17" s="110" t="n"/>
      <c r="I17" s="110" t="inlineStr">
        <is>
          <t>n</t>
        </is>
      </c>
      <c r="J17" s="110" t="inlineStr">
        <is>
          <t>OPC 40450-1 Section 11.1 CU-82</t>
        </is>
      </c>
      <c r="K17" s="115" t="n"/>
    </row>
    <row r="18">
      <c r="A18" s="120" t="n"/>
      <c r="B18" s="121" t="n"/>
      <c r="C18" s="122" t="n">
        <v>1</v>
      </c>
      <c r="D18" s="122" t="inlineStr">
        <is>
          <t>Subscribe events. Disable tool.</t>
        </is>
      </c>
      <c r="E18" s="122" t="inlineStr">
        <is>
          <t>Server claims this Conformance Unit; no additional runtime setup is needed for this step.</t>
        </is>
      </c>
      <c r="F18" s="122" t="inlineStr">
        <is>
          <t>AssetDisabledConditionClassType event received.</t>
        </is>
      </c>
      <c r="G18" s="122" t="inlineStr">
        <is>
          <t>Good</t>
        </is>
      </c>
      <c r="H18" s="122" t="n"/>
      <c r="I18" s="122" t="n"/>
      <c r="J18" s="122" t="inlineStr">
        <is>
          <t>OPC 40450-1 Section 11.1 CU-82</t>
        </is>
      </c>
      <c r="K18" s="123" t="inlineStr">
        <is>
          <t>Requirement source: OPC 40450-1 Section 11 - Disable event expected.</t>
        </is>
      </c>
    </row>
    <row r="19">
      <c r="A19" s="110" t="inlineStr">
        <is>
          <t>n</t>
        </is>
      </c>
      <c r="B19" s="110" t="n">
        <v>4</v>
      </c>
      <c r="C19" s="110" t="n">
        <v>0</v>
      </c>
      <c r="D19" s="110" t="inlineStr">
        <is>
          <t>Verify event payload includes asset ProductInstanceUri</t>
        </is>
      </c>
      <c r="E19" s="110" t="n"/>
      <c r="F19" s="110" t="n"/>
      <c r="G19" s="110" t="n"/>
      <c r="H19" s="110" t="n"/>
      <c r="I19" s="110" t="inlineStr">
        <is>
          <t>n</t>
        </is>
      </c>
      <c r="J19" s="110" t="inlineStr">
        <is>
          <t>OPC 40450-1 Section 11.1 CU-82</t>
        </is>
      </c>
      <c r="K19" s="110" t="n"/>
    </row>
    <row r="20">
      <c r="A20" s="111" t="n"/>
      <c r="B20" s="111" t="n"/>
      <c r="C20" s="111" t="n">
        <v>1</v>
      </c>
      <c r="D20" s="111" t="inlineStr">
        <is>
          <t>Receive event. Check AssociatedEntities for ASSET entry.</t>
        </is>
      </c>
      <c r="E20" s="111" t="inlineStr">
        <is>
          <t>Server claims this Conformance Unit; no additional runtime setup is needed for this step.</t>
        </is>
      </c>
      <c r="F20" s="111" t="inlineStr">
        <is>
          <t>ASSET entry with correct EntityId matching ProductInstanceUri.</t>
        </is>
      </c>
      <c r="G20" s="111" t="inlineStr">
        <is>
          <t>Good</t>
        </is>
      </c>
      <c r="H20" s="111" t="n"/>
      <c r="I20" s="111" t="n"/>
      <c r="J20" s="111" t="inlineStr">
        <is>
          <t>OPC 40450-1 Section 11.1 CU-82</t>
        </is>
      </c>
      <c r="K20" s="111" t="inlineStr">
        <is>
          <t>Requirement source: OPC 40450-1 Section 11 - Event references the asset.</t>
        </is>
      </c>
    </row>
  </sheetData>
  <mergeCells count="2">
    <mergeCell ref="A1:K1"/>
    <mergeCell ref="C2:J2"/>
  </mergeCells>
  <pageMargins left="0.7" right="0.7" top="0.75" bottom="0.75" header="0.3" footer="0.3"/>
</worksheet>
</file>

<file path=xl/worksheets/sheet89.xml><?xml version="1.0" encoding="utf-8"?>
<worksheet xmlns="http://schemas.openxmlformats.org/spreadsheetml/2006/main">
  <sheetPr codeName="Sheet7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CU-83: E Payload Associated Entities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CU-83 — E Payload Associated Entities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AssociatedEntities[] is non-empty for identifier event</t>
        </is>
      </c>
      <c r="E4" s="58" t="n"/>
      <c r="F4" s="58" t="n"/>
      <c r="G4" s="58" t="n"/>
      <c r="H4" s="58" t="n"/>
      <c r="I4" s="58" t="inlineStr">
        <is>
          <t>n</t>
        </is>
      </c>
      <c r="J4" s="58" t="inlineStr">
        <is>
          <t>OPC 40450-1 Section 11.1 CU-83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an identifier-related event (e.g., SendIdentifiers, or system receives identifiers from PLC). Inspect the AssociatedEntities[] array in the event payload.</t>
        </is>
      </c>
      <c r="E5" s="61" t="inlineStr">
        <is>
          <t>OPC UA session. Active event subscription for JoiningSystemEventType. Server capable of generating identifier events with AssociatedEntities.</t>
        </is>
      </c>
      <c r="F5" s="61" t="inlineStr">
        <is>
          <t>AssociatedEntities[] field is present in the event payload. Array is non-empty (at least one EntityDataType entry). DataType of each entry is EntityDataType.</t>
        </is>
      </c>
      <c r="G5" s="61" t="inlineStr">
        <is>
          <t>Good</t>
        </is>
      </c>
      <c r="H5" s="61" t="inlineStr">
        <is>
          <t>AssociatedEntities[] non-empty; at least one EntityDataType confirmed</t>
        </is>
      </c>
      <c r="I5" s="61" t="n"/>
      <c r="J5" s="61" t="inlineStr">
        <is>
          <t>OPC 40450-1 Section 11.1 CU-83</t>
        </is>
      </c>
      <c r="K5" s="62" t="n"/>
    </row>
    <row r="6">
      <c r="A6" s="70" t="inlineStr">
        <is>
          <t>y</t>
        </is>
      </c>
      <c r="B6" s="71" t="n">
        <v>2</v>
      </c>
      <c r="C6" s="72" t="n">
        <v>0</v>
      </c>
      <c r="D6" s="72" t="inlineStr">
        <is>
          <t>Verify each EntityDataType has EntityType and EntityId fields</t>
        </is>
      </c>
      <c r="E6" s="72" t="n"/>
      <c r="F6" s="72" t="n"/>
      <c r="G6" s="72" t="n"/>
      <c r="H6" s="72" t="n"/>
      <c r="I6" s="72" t="inlineStr">
        <is>
          <t>n</t>
        </is>
      </c>
      <c r="J6" s="72" t="inlineStr">
        <is>
          <t>OPC 40450-1 Section 11.1 CU-83</t>
        </is>
      </c>
      <c r="K6" s="73" t="n"/>
    </row>
    <row r="7" ht="51.6" customHeight="1" s="132">
      <c r="A7" s="61" t="n"/>
      <c r="B7" s="61" t="n"/>
      <c r="C7" s="61" t="n">
        <v>1</v>
      </c>
      <c r="D7" s="61" t="inlineStr">
        <is>
          <t>Inspect each element of AssociatedEntities[] from the event in TC#1. For each entry, verify the EntityType and EntityId fields are present.</t>
        </is>
      </c>
      <c r="E7" s="61" t="inlineStr">
        <is>
          <t>AssociatedEntities[] non-empty from TC#1.</t>
        </is>
      </c>
      <c r="F7" s="61" t="inlineStr">
        <is>
          <t>Each EntityDataType entry has mandatory fields: (1) EntityType field of type Int16 with values from OPC 40450-1 Table 226, and (2) EntityId field of type TrimmedString. Optional fields such as Name, Description, EntityOriginId, and IsExternal are validated when present.</t>
        </is>
      </c>
      <c r="G7" s="61" t="inlineStr">
        <is>
          <t>Good</t>
        </is>
      </c>
      <c r="H7" s="61" t="inlineStr">
        <is>
          <t>EntityType and EntityId present in each EntityDataType entry</t>
        </is>
      </c>
      <c r="I7" s="61" t="n"/>
      <c r="J7" s="61" t="inlineStr">
        <is>
          <t>OPC 40450-1 Section 11.1 CU-83</t>
        </is>
      </c>
      <c r="K7" s="61" t="n"/>
    </row>
    <row r="8">
      <c r="A8" s="67" t="inlineStr">
        <is>
          <t>y</t>
        </is>
      </c>
      <c r="B8" s="67" t="n">
        <v>3</v>
      </c>
      <c r="C8" s="67" t="n">
        <v>0</v>
      </c>
      <c r="D8" s="67" t="inlineStr">
        <is>
          <t>Verify EntityType values are valid OPC 40450-1 Table 226 values</t>
        </is>
      </c>
      <c r="E8" s="67" t="n"/>
      <c r="F8" s="67" t="n"/>
      <c r="G8" s="67" t="n"/>
      <c r="H8" s="67" t="n"/>
      <c r="I8" s="67" t="inlineStr">
        <is>
          <t>n</t>
        </is>
      </c>
      <c r="J8" s="67" t="inlineStr">
        <is>
          <t>OPC 40450-1 Section 11.1 CU-83</t>
        </is>
      </c>
      <c r="K8" s="67" t="n"/>
    </row>
    <row r="9" ht="51.6" customHeight="1" s="132">
      <c r="A9" s="61" t="n"/>
      <c r="B9" s="61" t="n"/>
      <c r="C9" s="61" t="n">
        <v>1</v>
      </c>
      <c r="D9" s="61" t="inlineStr">
        <is>
          <t>For each EntityDataType entry, read the EntityType Int16 value. Validate against OPC 40450-1 Table 226.</t>
        </is>
      </c>
      <c r="E9" s="61" t="inlineStr">
        <is>
          <t>AssociatedEntities[] inspected from TC#2.</t>
        </is>
      </c>
      <c r="F9" s="61" t="inlineStr">
        <is>
          <t>Each EntityType value is within the defined range of OPC 40450-1 Table 226. No undefined/out-of-range enum values present. Common valid values include PROGRAM=27, JOB=28, BATCH=29, and PRODUCT=32.</t>
        </is>
      </c>
      <c r="G9" s="61" t="inlineStr">
        <is>
          <t>Good</t>
        </is>
      </c>
      <c r="H9" s="61" t="inlineStr">
        <is>
          <t>All EntityType values valid per OPC 40450-1 Table 226; no out-of-range values</t>
        </is>
      </c>
      <c r="I9" s="61" t="n"/>
      <c r="J9" s="61" t="inlineStr">
        <is>
          <t>OPC 40450-1 Section 11.1 CU-83</t>
        </is>
      </c>
      <c r="K9" s="61" t="n"/>
    </row>
    <row r="10">
      <c r="A10" s="67" t="inlineStr">
        <is>
          <t>y</t>
        </is>
      </c>
      <c r="B10" s="67" t="n">
        <v>4</v>
      </c>
      <c r="C10" s="67" t="n">
        <v>0</v>
      </c>
      <c r="D10" s="67" t="inlineStr">
        <is>
          <t>Verify EntityId is non-empty for each AssociatedEntity</t>
        </is>
      </c>
      <c r="E10" s="67" t="n"/>
      <c r="F10" s="67" t="n"/>
      <c r="G10" s="67" t="n"/>
      <c r="H10" s="67" t="n"/>
      <c r="I10" s="67" t="inlineStr">
        <is>
          <t>n</t>
        </is>
      </c>
      <c r="J10" s="67" t="inlineStr">
        <is>
          <t>OPC 40450-1 Section 11.1 CU-83</t>
        </is>
      </c>
      <c r="K10" s="67" t="n"/>
    </row>
    <row r="11" ht="51.6" customHeight="1" s="132">
      <c r="A11" s="61" t="n"/>
      <c r="B11" s="61" t="n"/>
      <c r="C11" s="61" t="n">
        <v>1</v>
      </c>
      <c r="D11" s="61" t="inlineStr">
        <is>
          <t>For each EntityDataType entry from TC#2, inspect the EntityId TrimmedString field.</t>
        </is>
      </c>
      <c r="E11" s="61" t="inlineStr">
        <is>
          <t>AssociatedEntities[] inspected from TC#2.</t>
        </is>
      </c>
      <c r="F11" s="61" t="inlineStr">
        <is>
          <t>EntityId TrimmedString is non-empty (length &gt; 0) for each EntityDataType entry. EntityId uniquely identifies the entity within the context of EntityType.</t>
        </is>
      </c>
      <c r="G11" s="61" t="inlineStr">
        <is>
          <t>Good</t>
        </is>
      </c>
      <c r="H11" s="61" t="inlineStr">
        <is>
          <t>EntityId non-empty TrimmedString for all EntityDataType entries</t>
        </is>
      </c>
      <c r="I11" s="61" t="n"/>
      <c r="J11" s="61" t="inlineStr">
        <is>
          <t>OPC 40450-1 Section 11.1 CU-83</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AssociatedEntities[] is empty array (not null) for events with no associated entities</t>
        </is>
      </c>
      <c r="E13" s="69" t="n"/>
      <c r="F13" s="69" t="n"/>
      <c r="G13" s="69" t="n"/>
      <c r="H13" s="69" t="n"/>
      <c r="I13" s="69" t="inlineStr">
        <is>
          <t>n</t>
        </is>
      </c>
      <c r="J13" s="69" t="inlineStr">
        <is>
          <t>OPC 40450-1 Section 11.1 CU-83</t>
        </is>
      </c>
      <c r="K13" s="69" t="inlineStr">
        <is>
          <t>CTT=n: requires triggering event type that has no associated entities</t>
        </is>
      </c>
    </row>
    <row r="14" ht="51.6" customHeight="1" s="132">
      <c r="A14" s="61" t="n"/>
      <c r="B14" s="61" t="n"/>
      <c r="C14" s="61" t="n">
        <v>1</v>
      </c>
      <c r="D14" s="61" t="inlineStr">
        <is>
          <t>Trigger a server event that does not involve identifiers or entities (e.g., asset status event, health event). Inspect AssociatedEntities[] in the received event payload.</t>
        </is>
      </c>
      <c r="E14" s="61" t="inlineStr">
        <is>
          <t>Active event subscription. Server generates event type with no expected AssociatedEntities.</t>
        </is>
      </c>
      <c r="F14" s="61" t="inlineStr">
        <is>
          <t>AssociatedEntities[] field is present but is an empty array (length = 0). Field is NOT null/absent — the field must be initialized as empty array per IJT spec. No null reference errors or missing field errors.</t>
        </is>
      </c>
      <c r="G14" s="61" t="inlineStr">
        <is>
          <t>Good</t>
        </is>
      </c>
      <c r="H14" s="61" t="inlineStr">
        <is>
          <t>AssociatedEntities[] = empty array (not null) for non-identifier events</t>
        </is>
      </c>
      <c r="I14" s="61" t="n"/>
      <c r="J14" s="61" t="inlineStr">
        <is>
          <t>OPC 40450-1 Section 11.1 CU-83</t>
        </is>
      </c>
      <c r="K14" s="61" t="n"/>
    </row>
    <row r="15">
      <c r="A15" s="110" t="inlineStr">
        <is>
          <t>n</t>
        </is>
      </c>
      <c r="B15" s="110" t="n">
        <v>2</v>
      </c>
      <c r="C15" s="110" t="n">
        <v>0</v>
      </c>
      <c r="D15" s="110" t="inlineStr">
        <is>
          <t>Verify AssociatedEntities EntityType in valid range (0-42)</t>
        </is>
      </c>
      <c r="E15" s="110" t="n"/>
      <c r="F15" s="110" t="n"/>
      <c r="G15" s="110" t="n"/>
      <c r="H15" s="110" t="n"/>
      <c r="I15" s="110" t="inlineStr">
        <is>
          <t>n</t>
        </is>
      </c>
      <c r="J15" s="110" t="inlineStr">
        <is>
          <t>OPC 40450-1 Section 11.1 CU-83</t>
        </is>
      </c>
      <c r="K15" s="110" t="n"/>
    </row>
    <row r="16">
      <c r="A16" s="111" t="n"/>
      <c r="B16" s="111" t="n"/>
      <c r="C16" s="111" t="n">
        <v>1</v>
      </c>
      <c r="D16" s="111" t="inlineStr">
        <is>
          <t>Read all EntityType values from event AssociatedEntities.</t>
        </is>
      </c>
      <c r="E16" s="111" t="inlineStr">
        <is>
          <t>Server claims this Conformance Unit; no additional runtime setup is needed for this step.</t>
        </is>
      </c>
      <c r="F16" s="111" t="inlineStr">
        <is>
          <t>All EntityType values in 0..42.</t>
        </is>
      </c>
      <c r="G16" s="111" t="inlineStr">
        <is>
          <t>Good</t>
        </is>
      </c>
      <c r="H16" s="111" t="n"/>
      <c r="I16" s="111" t="n"/>
      <c r="J16" s="111" t="inlineStr">
        <is>
          <t>OPC 40450-1 Section 11.1 CU-83</t>
        </is>
      </c>
      <c r="K16" s="111" t="inlineStr">
        <is>
          <t>Requirement source: OPC 40450-1 Table 217 - EntityType range 0-42.</t>
        </is>
      </c>
    </row>
    <row r="17">
      <c r="A17" s="110" t="inlineStr">
        <is>
          <t>n</t>
        </is>
      </c>
      <c r="B17" s="110" t="n">
        <v>3</v>
      </c>
      <c r="C17" s="110" t="n">
        <v>0</v>
      </c>
      <c r="D17" s="110" t="inlineStr">
        <is>
          <t>Verify AssociatedEntities EntityId is non-empty</t>
        </is>
      </c>
      <c r="E17" s="110" t="n"/>
      <c r="F17" s="110" t="n"/>
      <c r="G17" s="110" t="n"/>
      <c r="H17" s="110" t="n"/>
      <c r="I17" s="110" t="inlineStr">
        <is>
          <t>n</t>
        </is>
      </c>
      <c r="J17" s="110" t="inlineStr">
        <is>
          <t>OPC 40450-1 Section 11.1 CU-83</t>
        </is>
      </c>
      <c r="K17" s="110" t="n"/>
    </row>
    <row r="18">
      <c r="A18" s="111" t="n"/>
      <c r="B18" s="111" t="n"/>
      <c r="C18" s="111" t="n">
        <v>1</v>
      </c>
      <c r="D18" s="111" t="inlineStr">
        <is>
          <t>Check EntityId of each AssociatedEntities entry.</t>
        </is>
      </c>
      <c r="E18" s="111" t="inlineStr">
        <is>
          <t>Server claims this Conformance Unit; no additional runtime setup is needed for this step.</t>
        </is>
      </c>
      <c r="F18" s="111" t="inlineStr">
        <is>
          <t>All EntityId values non-null, non-empty.</t>
        </is>
      </c>
      <c r="G18" s="111" t="inlineStr">
        <is>
          <t>Good</t>
        </is>
      </c>
      <c r="H18" s="111" t="n"/>
      <c r="I18" s="111" t="n"/>
      <c r="J18" s="111" t="inlineStr">
        <is>
          <t>OPC 40450-1 Section 11.1 CU-83</t>
        </is>
      </c>
      <c r="K18" s="111" t="inlineStr">
        <is>
          <t>Requirement source: OPC 40450-1 Section 10.3 - EntityId is TrimmedString.</t>
        </is>
      </c>
    </row>
    <row r="19">
      <c r="A19" s="110" t="inlineStr">
        <is>
          <t>n</t>
        </is>
      </c>
      <c r="B19" s="110" t="n">
        <v>4</v>
      </c>
      <c r="C19" s="110" t="n">
        <v>0</v>
      </c>
      <c r="D19" s="110" t="inlineStr">
        <is>
          <t>Verify EntityType=0 (UNDEFINED) not used in production events</t>
        </is>
      </c>
      <c r="E19" s="110" t="n"/>
      <c r="F19" s="110" t="n"/>
      <c r="G19" s="110" t="n"/>
      <c r="H19" s="110" t="n"/>
      <c r="I19" s="110" t="inlineStr">
        <is>
          <t>n</t>
        </is>
      </c>
      <c r="J19" s="110" t="inlineStr">
        <is>
          <t>OPC 40450-1 Section 11.1 CU-83</t>
        </is>
      </c>
      <c r="K19" s="110" t="n"/>
    </row>
    <row r="20">
      <c r="A20" s="111" t="n"/>
      <c r="B20" s="111" t="n"/>
      <c r="C20" s="111" t="n">
        <v>1</v>
      </c>
      <c r="D20" s="111" t="inlineStr">
        <is>
          <t>Inspect events. Check EntityType values.</t>
        </is>
      </c>
      <c r="E20" s="111" t="inlineStr">
        <is>
          <t>Server claims this Conformance Unit; no additional runtime setup is needed for this step.</t>
        </is>
      </c>
      <c r="F20" s="111" t="inlineStr">
        <is>
          <t>No EntityType=0 in production events.</t>
        </is>
      </c>
      <c r="G20" s="111" t="inlineStr">
        <is>
          <t>Good</t>
        </is>
      </c>
      <c r="H20" s="111" t="n"/>
      <c r="I20" s="111" t="n"/>
      <c r="J20" s="111" t="inlineStr">
        <is>
          <t>OPC 40450-1 Section 11.1 CU-83</t>
        </is>
      </c>
      <c r="K20" s="111" t="inlineStr">
        <is>
          <t>Requirement source: OPC 40450-1 Table 217 - UNDEFINED(0) discouraged.</t>
        </is>
      </c>
    </row>
  </sheetData>
  <mergeCells count="2">
    <mergeCell ref="A1:K1"/>
    <mergeCell ref="C2:J2"/>
  </mergeCells>
  <pageMargins left="0.7" right="0.7" top="0.75" bottom="0.75" header="0.3" footer="0.3"/>
</worksheet>
</file>

<file path=xl/worksheets/sheet90.xml><?xml version="1.0" encoding="utf-8"?>
<worksheet xmlns="http://schemas.openxmlformats.org/spreadsheetml/2006/main">
  <sheetPr codeName="Sheet7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CU-84: Event Payload Reported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CU-84 — Event Payload Reported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ReportedValues[] is non-empty for threshold/measurement event</t>
        </is>
      </c>
      <c r="E4" s="58" t="n"/>
      <c r="F4" s="58" t="n"/>
      <c r="G4" s="58" t="n"/>
      <c r="H4" s="58" t="n"/>
      <c r="I4" s="58" t="inlineStr">
        <is>
          <t>n</t>
        </is>
      </c>
      <c r="J4" s="58" t="inlineStr">
        <is>
          <t>OPC 40450-1 Section 11.1 CU-84</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 threshold or measurement-related event (e.g., torque out of range, angle threshold exceeded). Inspect the ReportedValues[] field in the event payload.</t>
        </is>
      </c>
      <c r="E5" s="61" t="inlineStr">
        <is>
          <t>OPC UA session. Active event subscription. Server capable of generating measurement/threshold events with ReportedValues. Device configured with threshold limits.</t>
        </is>
      </c>
      <c r="F5" s="61" t="inlineStr">
        <is>
          <t>ReportedValues[] field is present in the event payload. Array is non-empty (at least one entry). Each entry is of type ReportedValueDataType (or equivalent per IJT spec).</t>
        </is>
      </c>
      <c r="G5" s="61" t="inlineStr">
        <is>
          <t>Good</t>
        </is>
      </c>
      <c r="H5" s="61" t="inlineStr">
        <is>
          <t>ReportedValues[] non-empty; at least one measurement entry confirmed</t>
        </is>
      </c>
      <c r="I5" s="61" t="n"/>
      <c r="J5" s="61" t="inlineStr">
        <is>
          <t>OPC 40450-1 Section 11.1 CU-84</t>
        </is>
      </c>
      <c r="K5" s="62" t="n"/>
    </row>
    <row r="6" ht="25.8" customHeight="1" s="132">
      <c r="A6" s="70" t="inlineStr">
        <is>
          <t>y</t>
        </is>
      </c>
      <c r="B6" s="71" t="n">
        <v>2</v>
      </c>
      <c r="C6" s="72" t="n">
        <v>0</v>
      </c>
      <c r="D6" s="72" t="inlineStr">
        <is>
          <t>Verify each ReportedValues[] entry uses ReportedValueDataType field names and semantics</t>
        </is>
      </c>
      <c r="E6" s="72" t="n"/>
      <c r="F6" s="72" t="n"/>
      <c r="G6" s="72" t="n"/>
      <c r="H6" s="72" t="n"/>
      <c r="I6" s="72" t="inlineStr">
        <is>
          <t>n</t>
        </is>
      </c>
      <c r="J6" s="72" t="inlineStr">
        <is>
          <t>OPC 40450-1 Section 11.1 CU-84</t>
        </is>
      </c>
      <c r="K6" s="73" t="n"/>
    </row>
    <row r="7" ht="64.5" customHeight="1" s="132">
      <c r="A7" s="61" t="n"/>
      <c r="B7" s="61" t="n"/>
      <c r="C7" s="61" t="n">
        <v>1</v>
      </c>
      <c r="D7" s="61" t="inlineStr">
        <is>
          <t>Inspect each element of ReportedValues[] from the event in TC#1. Verify the mandatory fields are present.</t>
        </is>
      </c>
      <c r="E7" s="61" t="inlineStr">
        <is>
          <t>ReportedValues[] non-empty from TC#1.</t>
        </is>
      </c>
      <c r="F7" s="61" t="inlineStr">
        <is>
          <t>Each ReportedValueDataType entry contains CurrentValue (mandatory BaseDataType). PhysicalQuantity, LowLimit, HighLimit, and EngineeringUnits are optional/semantics-dependent; when present, they are valid for the event semantics.</t>
        </is>
      </c>
      <c r="G7" s="61" t="inlineStr">
        <is>
          <t>Good</t>
        </is>
      </c>
      <c r="H7" s="61" t="inlineStr">
        <is>
          <t>CurrentValue present in each ReportedValueDataType entry; optional fields valid when present</t>
        </is>
      </c>
      <c r="I7" s="61" t="n"/>
      <c r="J7" s="61" t="inlineStr">
        <is>
          <t>OPC 40450-1 Section 11.1 CU-84</t>
        </is>
      </c>
      <c r="K7" s="61" t="n"/>
    </row>
    <row r="8">
      <c r="A8" s="67" t="inlineStr">
        <is>
          <t>y</t>
        </is>
      </c>
      <c r="B8" s="67" t="n">
        <v>3</v>
      </c>
      <c r="C8" s="67" t="n">
        <v>0</v>
      </c>
      <c r="D8" s="67" t="inlineStr">
        <is>
          <t>Verify CurrentValue DataType is valid for the reported event value</t>
        </is>
      </c>
      <c r="E8" s="67" t="n"/>
      <c r="F8" s="67" t="n"/>
      <c r="G8" s="67" t="n"/>
      <c r="H8" s="67" t="n"/>
      <c r="I8" s="67" t="inlineStr">
        <is>
          <t>n</t>
        </is>
      </c>
      <c r="J8" s="67" t="inlineStr">
        <is>
          <t>OPC 40450-1 Section 11.1 CU-84</t>
        </is>
      </c>
      <c r="K8" s="67" t="n"/>
    </row>
    <row r="9" ht="51.6" customHeight="1" s="132">
      <c r="A9" s="61" t="n"/>
      <c r="B9" s="61" t="n"/>
      <c r="C9" s="61" t="n">
        <v>1</v>
      </c>
      <c r="D9" s="61" t="inlineStr">
        <is>
          <t>For each ReportedValueDataType entry from TC#2, inspect the DataType and value semantics of CurrentValue.</t>
        </is>
      </c>
      <c r="E9" s="61" t="inlineStr">
        <is>
          <t>ReportedValues[] inspected from TC#2.</t>
        </is>
      </c>
      <c r="F9" s="61" t="inlineStr">
        <is>
          <t>CurrentValue is a valid BaseDataType value for the event semantics (for example Double/Float for numeric threshold values, or another appropriate built-in/structured type for status values). LowLimit and HighLimit, when present, are numeric and coherent with CurrentValue. Do not require CurrentValue to always be Double or Float.</t>
        </is>
      </c>
      <c r="G9" s="61" t="inlineStr">
        <is>
          <t>Good</t>
        </is>
      </c>
      <c r="H9" s="61" t="inlineStr">
        <is>
          <t>CurrentValue DataType valid for all entries; numeric limits valid when present</t>
        </is>
      </c>
      <c r="I9" s="61" t="n"/>
      <c r="J9" s="61" t="inlineStr">
        <is>
          <t>OPC 40450-1 Section 11.1 CU-84</t>
        </is>
      </c>
      <c r="K9" s="61" t="n"/>
    </row>
    <row r="10">
      <c r="A10" s="67" t="inlineStr">
        <is>
          <t>y</t>
        </is>
      </c>
      <c r="B10" s="67" t="n">
        <v>4</v>
      </c>
      <c r="C10" s="67" t="n">
        <v>0</v>
      </c>
      <c r="D10" s="67" t="inlineStr">
        <is>
          <t>Verify EngineeringUnits present on each ReportedValue entry</t>
        </is>
      </c>
      <c r="E10" s="67" t="n"/>
      <c r="F10" s="67" t="n"/>
      <c r="G10" s="67" t="n"/>
      <c r="H10" s="67" t="n"/>
      <c r="I10" s="67" t="inlineStr">
        <is>
          <t>n</t>
        </is>
      </c>
      <c r="J10" s="67" t="inlineStr">
        <is>
          <t>OPC 40450-1 Section 11.1 CU-84</t>
        </is>
      </c>
      <c r="K10" s="67" t="n"/>
    </row>
    <row r="11" ht="64.5" customHeight="1" s="132">
      <c r="A11" s="61" t="n"/>
      <c r="B11" s="61" t="n"/>
      <c r="C11" s="61" t="n">
        <v>1</v>
      </c>
      <c r="D11" s="61" t="inlineStr">
        <is>
          <t>For each ReportedValueDataType entry, check if EngineeringUnits field is present.</t>
        </is>
      </c>
      <c r="E11" s="61" t="inlineStr">
        <is>
          <t>ReportedValues[] inspected from TC#2.</t>
        </is>
      </c>
      <c r="F11" s="61" t="inlineStr">
        <is>
          <t>Each reported process or result value preserves its value, datatype, and timestamp/status metadata. EngineeringUnits are validated when the reported value has physical quantity/unit semantics; do not require EngineeringUnits on every entry.</t>
        </is>
      </c>
      <c r="G11" s="61" t="inlineStr">
        <is>
          <t>Good</t>
        </is>
      </c>
      <c r="H11" s="61" t="inlineStr">
        <is>
          <t>Reported values preserve value/datatype/timestamp/status; EngineeringUnits are correct when applicable</t>
        </is>
      </c>
      <c r="I11" s="61" t="n"/>
      <c r="J11" s="61" t="inlineStr">
        <is>
          <t>OPC 40450-1 Section 11.1 CU-84</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ReportedValues[] is empty array (not null) for non-measurement events</t>
        </is>
      </c>
      <c r="E13" s="69" t="n"/>
      <c r="F13" s="69" t="n"/>
      <c r="G13" s="69" t="n"/>
      <c r="H13" s="69" t="n"/>
      <c r="I13" s="69" t="inlineStr">
        <is>
          <t>n</t>
        </is>
      </c>
      <c r="J13" s="69" t="inlineStr">
        <is>
          <t>OPC 40450-1 Section 11.1 CU-84</t>
        </is>
      </c>
      <c r="K13" s="69" t="inlineStr">
        <is>
          <t>CTT=n: requires triggering non-measurement event type</t>
        </is>
      </c>
    </row>
    <row r="14" ht="51.6" customHeight="1" s="132">
      <c r="A14" s="61" t="n"/>
      <c r="B14" s="61" t="n"/>
      <c r="C14" s="61" t="n">
        <v>1</v>
      </c>
      <c r="D14" s="61" t="inlineStr">
        <is>
          <t>Trigger a server event that does not involve measured values (e.g., asset connection event, identifier event). Inspect ReportedValues[] in the received event payload.</t>
        </is>
      </c>
      <c r="E14" s="61" t="inlineStr">
        <is>
          <t>Active event subscription. Server generates non-measurement event type.</t>
        </is>
      </c>
      <c r="F14" s="61" t="inlineStr">
        <is>
          <t>ReportedValues[] field is present but is an empty array (length = 0). Field is NOT null — must be initialized as empty array per IJT spec. No null reference errors or missing field errors.</t>
        </is>
      </c>
      <c r="G14" s="61" t="inlineStr">
        <is>
          <t>Good</t>
        </is>
      </c>
      <c r="H14" s="61" t="inlineStr">
        <is>
          <t>ReportedValues[] = empty array (not null) for non-measurement events</t>
        </is>
      </c>
      <c r="I14" s="61" t="n"/>
      <c r="J14" s="61" t="inlineStr">
        <is>
          <t>OPC 40450-1 Section 11.1 CU-84</t>
        </is>
      </c>
      <c r="K14" s="61" t="n"/>
    </row>
    <row r="15">
      <c r="A15" s="110" t="inlineStr">
        <is>
          <t>n</t>
        </is>
      </c>
      <c r="B15" s="110" t="n">
        <v>2</v>
      </c>
      <c r="C15" s="110" t="n">
        <v>0</v>
      </c>
      <c r="D15" s="110" t="inlineStr">
        <is>
          <t>Verify ReportedValues CurrentValue is non-null</t>
        </is>
      </c>
      <c r="E15" s="110" t="n"/>
      <c r="F15" s="110" t="n"/>
      <c r="G15" s="110" t="n"/>
      <c r="H15" s="110" t="n"/>
      <c r="I15" s="110" t="inlineStr">
        <is>
          <t>n</t>
        </is>
      </c>
      <c r="J15" s="110" t="inlineStr">
        <is>
          <t>OPC 40450-1 Section 11.1 CU-84</t>
        </is>
      </c>
      <c r="K15" s="110" t="n"/>
    </row>
    <row r="16">
      <c r="A16" s="111" t="n"/>
      <c r="B16" s="111" t="n"/>
      <c r="C16" s="111" t="n">
        <v>1</v>
      </c>
      <c r="D16" s="111" t="inlineStr">
        <is>
          <t>Inspect ReportedValues from event. Read CurrentValue.</t>
        </is>
      </c>
      <c r="E16" s="111" t="inlineStr">
        <is>
          <t>Server claims this Conformance Unit; no additional runtime setup is needed for this step.</t>
        </is>
      </c>
      <c r="F16" s="111" t="inlineStr">
        <is>
          <t>CurrentValue is non-null.</t>
        </is>
      </c>
      <c r="G16" s="111" t="inlineStr">
        <is>
          <t>Good</t>
        </is>
      </c>
      <c r="H16" s="111" t="n"/>
      <c r="I16" s="111" t="n"/>
      <c r="J16" s="111" t="inlineStr">
        <is>
          <t>OPC 40450-1 Section 11.1 CU-84</t>
        </is>
      </c>
      <c r="K16" s="111" t="inlineStr">
        <is>
          <t>Requirement source: OPC 40450-1 Section 11 - CurrentValue is Mandatory.</t>
        </is>
      </c>
    </row>
    <row r="17">
      <c r="A17" s="110" t="inlineStr">
        <is>
          <t>n</t>
        </is>
      </c>
      <c r="B17" s="110" t="n">
        <v>3</v>
      </c>
      <c r="C17" s="110" t="n">
        <v>0</v>
      </c>
      <c r="D17" s="110" t="inlineStr">
        <is>
          <t>Verify LowLimit &lt; HighLimit when both present</t>
        </is>
      </c>
      <c r="E17" s="110" t="n"/>
      <c r="F17" s="110" t="n"/>
      <c r="G17" s="110" t="n"/>
      <c r="H17" s="110" t="n"/>
      <c r="I17" s="110" t="inlineStr">
        <is>
          <t>n</t>
        </is>
      </c>
      <c r="J17" s="110" t="inlineStr">
        <is>
          <t>OPC 40450-1 Section 11.1 CU-84</t>
        </is>
      </c>
      <c r="K17" s="110" t="n"/>
    </row>
    <row r="18">
      <c r="A18" s="111" t="n"/>
      <c r="B18" s="111" t="n"/>
      <c r="C18" s="111" t="n">
        <v>1</v>
      </c>
      <c r="D18" s="111" t="inlineStr">
        <is>
          <t>Read LowLimit and HighLimit from ReportedValues.</t>
        </is>
      </c>
      <c r="E18" s="111" t="inlineStr">
        <is>
          <t>Server claims this Conformance Unit; no additional runtime setup is needed for this step.</t>
        </is>
      </c>
      <c r="F18" s="111" t="inlineStr">
        <is>
          <t>If both present: LowLimit &lt; HighLimit.</t>
        </is>
      </c>
      <c r="G18" s="111" t="inlineStr">
        <is>
          <t>Good</t>
        </is>
      </c>
      <c r="H18" s="111" t="n"/>
      <c r="I18" s="111" t="n"/>
      <c r="J18" s="111" t="inlineStr">
        <is>
          <t>OPC 40450-1 Section 11.1 CU-84</t>
        </is>
      </c>
      <c r="K18" s="111" t="inlineStr">
        <is>
          <t>Requirement source: OPC 40450-1 Section 11 - Limits must be consistent.</t>
        </is>
      </c>
    </row>
    <row r="19">
      <c r="A19" s="110" t="inlineStr">
        <is>
          <t>n</t>
        </is>
      </c>
      <c r="B19" s="110" t="n">
        <v>4</v>
      </c>
      <c r="C19" s="110" t="n">
        <v>0</v>
      </c>
      <c r="D19" s="110" t="inlineStr">
        <is>
          <t>Verify EngineeringUnits present when PhysicalQuantity is set</t>
        </is>
      </c>
      <c r="E19" s="110" t="n"/>
      <c r="F19" s="110" t="n"/>
      <c r="G19" s="110" t="n"/>
      <c r="H19" s="110" t="n"/>
      <c r="I19" s="110" t="inlineStr">
        <is>
          <t>n</t>
        </is>
      </c>
      <c r="J19" s="110" t="inlineStr">
        <is>
          <t>OPC 40450-1 Section 11.1 CU-84</t>
        </is>
      </c>
      <c r="K19" s="110" t="n"/>
    </row>
    <row r="20">
      <c r="A20" s="111" t="n"/>
      <c r="B20" s="111" t="n"/>
      <c r="C20" s="111" t="n">
        <v>1</v>
      </c>
      <c r="D20" s="111" t="inlineStr">
        <is>
          <t>If PhysicalQuantity != 0, read EngineeringUnits.</t>
        </is>
      </c>
      <c r="E20" s="111" t="inlineStr">
        <is>
          <t>Server claims this Conformance Unit; no additional runtime setup is needed for this step.</t>
        </is>
      </c>
      <c r="F20" s="111" t="inlineStr">
        <is>
          <t>EngineeringUnits is non-null EUInformation.</t>
        </is>
      </c>
      <c r="G20" s="111" t="inlineStr">
        <is>
          <t>Good</t>
        </is>
      </c>
      <c r="H20" s="111" t="n"/>
      <c r="I20" s="111" t="n"/>
      <c r="J20" s="111" t="inlineStr">
        <is>
          <t>OPC 40450-1 Section 11.1 CU-84</t>
        </is>
      </c>
      <c r="K20" s="111" t="inlineStr">
        <is>
          <t>Requirement source: OPC 40450-1 Section 11 - EngineeringUnits expected.</t>
        </is>
      </c>
    </row>
  </sheetData>
  <mergeCells count="2">
    <mergeCell ref="A1:K1"/>
    <mergeCell ref="C2:J2"/>
  </mergeCells>
  <pageMargins left="0.7" right="0.7" top="0.75" bottom="0.75" header="0.3" footer="0.3"/>
</worksheet>
</file>

<file path=xl/worksheets/sheet91.xml><?xml version="1.0" encoding="utf-8"?>
<worksheet xmlns="http://schemas.openxmlformats.org/spreadsheetml/2006/main">
  <sheetPr codeName="Sheet7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CU-85: Identifiers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CU-85 — Identifiers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JoiningSystemEventType event generated on SendIdentifiers call</t>
        </is>
      </c>
      <c r="E4" s="58" t="n"/>
      <c r="F4" s="58" t="n"/>
      <c r="G4" s="58" t="n"/>
      <c r="H4" s="58" t="n"/>
      <c r="I4" s="58" t="inlineStr">
        <is>
          <t>n</t>
        </is>
      </c>
      <c r="J4" s="58" t="inlineStr">
        <is>
          <t>OPC 40450-1 Section 11.1 CU-85</t>
        </is>
      </c>
      <c r="K4" s="59" t="inlineStr">
        <is>
          <t>NOTE: Namespace indices (0:,2:,4:,5:) are server-assigned. Resolve from NamespaceArray (ns=0;i=2255). 2:=DI, 4:=Machinery, 5:=Machinery Result (OPC 40001-101).</t>
        </is>
      </c>
    </row>
    <row r="5" ht="64.5" customFormat="1" customHeight="1" s="138">
      <c r="A5" s="60" t="n"/>
      <c r="B5" s="61" t="n"/>
      <c r="C5" s="61" t="n">
        <v>1</v>
      </c>
      <c r="D5" s="61" t="inlineStr">
        <is>
          <t>Create an event subscription. Call SendIdentifiers method with valid identifier data. Wait for event notification.</t>
        </is>
      </c>
      <c r="E5" s="61" t="inlineStr">
        <is>
          <t>OPC UA session. Active event subscription for JoiningSystemEventType. SendIdentifiers method available and Executable=True. Valid AssociatedEntities data prepared.</t>
        </is>
      </c>
      <c r="F5" s="61" t="inlineStr">
        <is>
          <t>A JoiningSystemEventType event is received after SendIdentifiers call. Event identity proven by timing, event type, SourceNode, and SendIdentifiers returning Good. If EventCode is present, it is system-specific Int64.</t>
        </is>
      </c>
      <c r="G5" s="61" t="inlineStr">
        <is>
          <t>Good</t>
        </is>
      </c>
      <c r="H5" s="61" t="inlineStr">
        <is>
          <t>JoiningSystemEventType event received after SendIdentifiers; method returned Good</t>
        </is>
      </c>
      <c r="I5" s="61" t="n"/>
      <c r="J5" s="61" t="inlineStr">
        <is>
          <t>OPC 40450-1 Section 11.1 CU-85</t>
        </is>
      </c>
      <c r="K5" s="62" t="n"/>
    </row>
    <row r="6" ht="25.8" customHeight="1" s="132">
      <c r="A6" s="70" t="inlineStr">
        <is>
          <t>y</t>
        </is>
      </c>
      <c r="B6" s="71" t="n">
        <v>2</v>
      </c>
      <c r="C6" s="72" t="n">
        <v>0</v>
      </c>
      <c r="D6" s="72" t="inlineStr">
        <is>
          <t>Verify event AssociatedEntities[] matches identifiers sent via SendIdentifiers</t>
        </is>
      </c>
      <c r="E6" s="72" t="n"/>
      <c r="F6" s="72" t="n"/>
      <c r="G6" s="72" t="n"/>
      <c r="H6" s="72" t="n"/>
      <c r="I6" s="72" t="inlineStr">
        <is>
          <t>n</t>
        </is>
      </c>
      <c r="J6" s="72" t="inlineStr">
        <is>
          <t>OPC 40450-1 Section 11.1 CU-85</t>
        </is>
      </c>
      <c r="K6" s="73" t="n"/>
    </row>
    <row r="7" ht="51.6" customHeight="1" s="132">
      <c r="A7" s="61" t="n"/>
      <c r="B7" s="61" t="n"/>
      <c r="C7" s="61" t="n">
        <v>1</v>
      </c>
      <c r="D7" s="61" t="inlineStr">
        <is>
          <t>Compare the AssociatedEntities[] in the event received in TC#1 against the identifier data passed to SendIdentifiers.</t>
        </is>
      </c>
      <c r="E7" s="61" t="inlineStr">
        <is>
          <t>IDENTIFIERS_RECEIVED event received from TC#1. Sent identifier data known.</t>
        </is>
      </c>
      <c r="F7" s="61" t="inlineStr">
        <is>
          <t>AssociatedEntities[] in the event matches the identifiers passed to SendIdentifiers. EntityType and EntityId of each entry in the event matches the sent data. No entries missing or added by server.</t>
        </is>
      </c>
      <c r="G7" s="61" t="inlineStr">
        <is>
          <t>Good</t>
        </is>
      </c>
      <c r="H7" s="61" t="inlineStr">
        <is>
          <t>Event AssociatedEntities[] matches sent identifier data exactly</t>
        </is>
      </c>
      <c r="I7" s="61" t="n"/>
      <c r="J7" s="61" t="inlineStr">
        <is>
          <t>OPC 40450-1 Section 11.1 CU-85</t>
        </is>
      </c>
      <c r="K7" s="61" t="n"/>
    </row>
    <row r="8">
      <c r="A8" s="67" t="inlineStr">
        <is>
          <t>y</t>
        </is>
      </c>
      <c r="B8" s="67" t="n">
        <v>3</v>
      </c>
      <c r="C8" s="67" t="n">
        <v>0</v>
      </c>
      <c r="D8" s="67" t="inlineStr">
        <is>
          <t>Verify event SourceNode equals the asset that received the identifiers</t>
        </is>
      </c>
      <c r="E8" s="67" t="n"/>
      <c r="F8" s="67" t="n"/>
      <c r="G8" s="67" t="n"/>
      <c r="H8" s="67" t="n"/>
      <c r="I8" s="67" t="inlineStr">
        <is>
          <t>n</t>
        </is>
      </c>
      <c r="J8" s="67" t="inlineStr">
        <is>
          <t>OPC 40450-1 Section 11.1 CU-85</t>
        </is>
      </c>
      <c r="K8" s="67" t="n"/>
    </row>
    <row r="9" ht="25.8" customHeight="1" s="132">
      <c r="A9" s="61" t="n"/>
      <c r="B9" s="61" t="n"/>
      <c r="C9" s="61" t="n">
        <v>1</v>
      </c>
      <c r="D9" s="61" t="inlineStr">
        <is>
          <t>From the event received in TC#1, inspect the SourceNode field. Compare against the NodeId of the target asset for the SendIdentifiers call.</t>
        </is>
      </c>
      <c r="E9" s="61" t="inlineStr">
        <is>
          <t>IDENTIFIERS_RECEIVED event received. Target asset NodeId known.</t>
        </is>
      </c>
      <c r="F9" s="61" t="inlineStr">
        <is>
          <t>SourceNode in the event matches the NodeId of the asset that was targeted by SendIdentifiers. SourceNode is non-null.</t>
        </is>
      </c>
      <c r="G9" s="61" t="inlineStr">
        <is>
          <t>Good</t>
        </is>
      </c>
      <c r="H9" s="61" t="inlineStr">
        <is>
          <t>SourceNode matches target asset NodeId</t>
        </is>
      </c>
      <c r="I9" s="61" t="n"/>
      <c r="J9" s="61" t="inlineStr">
        <is>
          <t>OPC 40450-1 Section 11.1 CU-85</t>
        </is>
      </c>
      <c r="K9" s="61" t="n"/>
    </row>
    <row r="10">
      <c r="A10" s="67" t="inlineStr">
        <is>
          <t>y</t>
        </is>
      </c>
      <c r="B10" s="67" t="n">
        <v>5</v>
      </c>
      <c r="C10" s="67" t="n">
        <v>0</v>
      </c>
      <c r="D10" s="67" t="inlineStr">
        <is>
          <t>Verify event Timestamp is within 1 second of SendIdentifiers call time</t>
        </is>
      </c>
      <c r="E10" s="67" t="n"/>
      <c r="F10" s="67" t="n"/>
      <c r="G10" s="67" t="n"/>
      <c r="H10" s="67" t="n"/>
      <c r="I10" s="67" t="inlineStr">
        <is>
          <t>n</t>
        </is>
      </c>
      <c r="J10" s="67" t="inlineStr">
        <is>
          <t>OPC 40450-1 Section 11.1 CU-85</t>
        </is>
      </c>
      <c r="K10" s="67" t="n"/>
    </row>
    <row r="11" ht="51.6" customHeight="1" s="132">
      <c r="A11" s="61" t="n"/>
      <c r="B11" s="61" t="n"/>
      <c r="C11" s="61" t="n">
        <v>1</v>
      </c>
      <c r="D11" s="61" t="inlineStr">
        <is>
          <t>Record the client timestamp before and after the SendIdentifiers call. Compare with the event Time field (UtcTime) from the received event.</t>
        </is>
      </c>
      <c r="E11" s="61" t="inlineStr">
        <is>
          <t>IDENTIFIERS_RECEIVED event received from TC#1. Client timestamps recorded.</t>
        </is>
      </c>
      <c r="F11" s="61" t="inlineStr">
        <is>
          <t>Event Time field is within 1 second of the recorded SendIdentifiers call time (accounting for clock skew). Event Time is after the call was issued and not in the future by more than 1s.</t>
        </is>
      </c>
      <c r="G11" s="61" t="inlineStr">
        <is>
          <t>Good</t>
        </is>
      </c>
      <c r="H11" s="61" t="inlineStr">
        <is>
          <t>Event Timestamp within 1 second of SendIdentifiers call; time ordering correct</t>
        </is>
      </c>
      <c r="I11" s="61" t="n"/>
      <c r="J11" s="61" t="inlineStr">
        <is>
          <t>OPC 40450-1 Section 11.1 CU-85</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Uncertain/Status=5 and no identifier event on SendIdentifiers with invalid data</t>
        </is>
      </c>
      <c r="E13" s="69" t="n"/>
      <c r="F13" s="69" t="n"/>
      <c r="G13" s="69" t="n"/>
      <c r="H13" s="69" t="n"/>
      <c r="I13" s="69" t="inlineStr">
        <is>
          <t>n</t>
        </is>
      </c>
      <c r="J13" s="69" t="inlineStr">
        <is>
          <t>OPC 40450-1 Section 11.1 CU-85</t>
        </is>
      </c>
      <c r="K13" s="69" t="inlineStr">
        <is>
          <t>CTT=n: requires sending malformed identifier input</t>
        </is>
      </c>
    </row>
    <row r="14" ht="51.6" customHeight="1" s="132">
      <c r="A14" s="61" t="n"/>
      <c r="B14" s="61" t="n"/>
      <c r="C14" s="61" t="n">
        <v>1</v>
      </c>
      <c r="D14" s="61" t="inlineStr">
        <is>
          <t>Call SendIdentifiers with invalid data (e.g., null EntityId, invalid EntityType enum value, empty AssociatedEntities[]). Monitor event subscription.</t>
        </is>
      </c>
      <c r="E14" s="61" t="inlineStr">
        <is>
          <t>OPC UA session. SendIdentifiers method available.</t>
        </is>
      </c>
      <c r="F14" s="61" t="inlineStr">
        <is>
          <t>SendIdentifiers Call Service returns Good; method result code is Uncertain with Status output 5 for invalid identifier data. No identifier event is generated for the rejected input. Server does not crash or return an unexpected service fault.</t>
        </is>
      </c>
      <c r="G14" s="61" t="inlineStr">
        <is>
          <t>Good</t>
        </is>
      </c>
      <c r="H14" s="61" t="inlineStr">
        <is>
          <t>Uncertain; Status=5 output with StatusMessage; no event generated</t>
        </is>
      </c>
      <c r="I14" s="61" t="n"/>
      <c r="J14" s="61" t="inlineStr">
        <is>
          <t>OPC 40450-1 Section 11.1 CU-85</t>
        </is>
      </c>
      <c r="K14" s="61" t="n"/>
    </row>
    <row r="15">
      <c r="A15" s="110" t="inlineStr">
        <is>
          <t>n</t>
        </is>
      </c>
      <c r="B15" s="110" t="n">
        <v>2</v>
      </c>
      <c r="C15" s="110" t="n">
        <v>0</v>
      </c>
      <c r="D15" s="110" t="inlineStr">
        <is>
          <t>Verify Identifiers event fired after SendIdentifiers</t>
        </is>
      </c>
      <c r="E15" s="110" t="n"/>
      <c r="F15" s="110" t="n"/>
      <c r="G15" s="110" t="n"/>
      <c r="H15" s="110" t="n"/>
      <c r="I15" s="110" t="inlineStr">
        <is>
          <t>n</t>
        </is>
      </c>
      <c r="J15" s="110" t="inlineStr">
        <is>
          <t>OPC 40450-1 Section 11.1 CU-85</t>
        </is>
      </c>
      <c r="K15" s="110" t="n"/>
    </row>
    <row r="16">
      <c r="A16" s="111" t="n"/>
      <c r="B16" s="111" t="n"/>
      <c r="C16" s="111" t="n">
        <v>1</v>
      </c>
      <c r="D16" s="111" t="inlineStr">
        <is>
          <t>Subscribe events. Call SendIdentifiers.</t>
        </is>
      </c>
      <c r="E16" s="111" t="inlineStr">
        <is>
          <t>Server claims this Conformance Unit; no additional runtime setup is needed for this step.</t>
        </is>
      </c>
      <c r="F16" s="111" t="inlineStr">
        <is>
          <t>Identifiers event received.</t>
        </is>
      </c>
      <c r="G16" s="111" t="inlineStr">
        <is>
          <t>Good</t>
        </is>
      </c>
      <c r="H16" s="111" t="n"/>
      <c r="I16" s="111" t="n"/>
      <c r="J16" s="111" t="inlineStr">
        <is>
          <t>OPC 40450-1 Section 11.1 CU-85</t>
        </is>
      </c>
      <c r="K16" s="111" t="inlineStr">
        <is>
          <t>Requirement source: OPC 40450-1 Section 11 - Identifier event expected.</t>
        </is>
      </c>
    </row>
    <row r="17">
      <c r="A17" s="110" t="inlineStr">
        <is>
          <t>n</t>
        </is>
      </c>
      <c r="B17" s="110" t="n">
        <v>3</v>
      </c>
      <c r="C17" s="110" t="n">
        <v>0</v>
      </c>
      <c r="D17" s="110" t="inlineStr">
        <is>
          <t>Verify event AssociatedEntities contains IsExternal=True identifier</t>
        </is>
      </c>
      <c r="E17" s="110" t="n"/>
      <c r="F17" s="110" t="n"/>
      <c r="G17" s="110" t="n"/>
      <c r="H17" s="110" t="n"/>
      <c r="I17" s="110" t="inlineStr">
        <is>
          <t>n</t>
        </is>
      </c>
      <c r="J17" s="110" t="inlineStr">
        <is>
          <t>OPC 40450-1 Section 11.1 CU-85</t>
        </is>
      </c>
      <c r="K17" s="110" t="n"/>
    </row>
    <row r="18">
      <c r="A18" s="111" t="n"/>
      <c r="B18" s="111" t="n"/>
      <c r="C18" s="111" t="n">
        <v>1</v>
      </c>
      <c r="D18" s="111" t="inlineStr">
        <is>
          <t>Read AssociatedEntities from identifier event.</t>
        </is>
      </c>
      <c r="E18" s="111" t="inlineStr">
        <is>
          <t>Server claims this Conformance Unit; no additional runtime setup is needed for this step.</t>
        </is>
      </c>
      <c r="F18" s="111" t="inlineStr">
        <is>
          <t>Associated entity data in the event matches the identifier data sent by the server/client scenario. If the sent associated entity is external, IsExternal is True; otherwise do not require IsExternal=True.</t>
        </is>
      </c>
      <c r="G18" s="111" t="inlineStr">
        <is>
          <t>Good</t>
        </is>
      </c>
      <c r="H18" s="111" t="n"/>
      <c r="I18" s="111" t="n"/>
      <c r="J18" s="111" t="inlineStr">
        <is>
          <t>OPC 40450-1 Section 11.1 CU-85</t>
        </is>
      </c>
      <c r="K18" s="111" t="inlineStr">
        <is>
          <t>Requirement source: associated entity data is validated as reported; IsExternal is asserted only when the sent identifier data marks the entity external.</t>
        </is>
      </c>
    </row>
    <row r="19">
      <c r="A19" s="110" t="inlineStr">
        <is>
          <t>n</t>
        </is>
      </c>
      <c r="B19" s="110" t="n">
        <v>4</v>
      </c>
      <c r="C19" s="110" t="n">
        <v>0</v>
      </c>
      <c r="D19" s="110" t="inlineStr">
        <is>
          <t>Verify Reset event fired after ResetIdentifiers</t>
        </is>
      </c>
      <c r="E19" s="110" t="n"/>
      <c r="F19" s="110" t="n"/>
      <c r="G19" s="110" t="n"/>
      <c r="H19" s="110" t="n"/>
      <c r="I19" s="110" t="inlineStr">
        <is>
          <t>n</t>
        </is>
      </c>
      <c r="J19" s="110" t="inlineStr">
        <is>
          <t>OPC 40450-1 Section 11.1 CU-85</t>
        </is>
      </c>
      <c r="K19" s="110" t="n"/>
    </row>
    <row r="20">
      <c r="A20" s="111" t="n"/>
      <c r="B20" s="111" t="n"/>
      <c r="C20" s="111" t="n">
        <v>1</v>
      </c>
      <c r="D20" s="111" t="inlineStr">
        <is>
          <t>Subscribe events. Call ResetIdentifiers.</t>
        </is>
      </c>
      <c r="E20" s="111" t="inlineStr">
        <is>
          <t>Server claims this Conformance Unit; no additional runtime setup is needed for this step.</t>
        </is>
      </c>
      <c r="F20" s="111" t="inlineStr">
        <is>
          <t>Event received with appropriate ConditionClass.</t>
        </is>
      </c>
      <c r="G20" s="111" t="inlineStr">
        <is>
          <t>Good</t>
        </is>
      </c>
      <c r="H20" s="111" t="n"/>
      <c r="I20" s="111" t="n"/>
      <c r="J20" s="111" t="inlineStr">
        <is>
          <t>OPC 40450-1 Section 11.1 CU-85</t>
        </is>
      </c>
      <c r="K20" s="111" t="inlineStr">
        <is>
          <t>Requirement source: OPC 40450-1 Section 11 - Reset event expected.</t>
        </is>
      </c>
    </row>
  </sheetData>
  <mergeCells count="2">
    <mergeCell ref="A1:K1"/>
    <mergeCell ref="C2:J2"/>
  </mergeCells>
  <pageMargins left="0.7" right="0.7" top="0.75" bottom="0.75" header="0.3" footer="0.3"/>
</worksheet>
</file>

<file path=xl/worksheets/sheet92.xml><?xml version="1.0" encoding="utf-8"?>
<worksheet xmlns="http://schemas.openxmlformats.org/spreadsheetml/2006/main">
  <sheetPr codeName="Sheet7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CU-86: Select Process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CU-86 — Select Process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event generated on SelectJoiningProcess call</t>
        </is>
      </c>
      <c r="E4" s="58" t="n"/>
      <c r="F4" s="58" t="n"/>
      <c r="G4" s="58" t="n"/>
      <c r="H4" s="58" t="n"/>
      <c r="I4" s="58" t="inlineStr">
        <is>
          <t>n</t>
        </is>
      </c>
      <c r="J4" s="58" t="inlineStr">
        <is>
          <t>OPC 40450-1 Section 11.1 CU-86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SelectJoiningProcess(ProductInstanceUri, JoiningProcessIdentification) for a valid joining process. Wait for event notification.</t>
        </is>
      </c>
      <c r="E5" s="89" t="inlineStr">
        <is>
          <t>OPC UA session. Active event subscription for JoiningSystemEventType. SelectJoiningProcess method available and Executable=True. Valid JoiningProcessIdentification available on server.</t>
        </is>
      </c>
      <c r="F5" s="89" t="inlineStr">
        <is>
          <t>A JoiningSystemEventType event is received after SelectJoiningProcess call. Event identity proven by timing, event type, SourceNode, and SelectJoiningProcess returning Good. If EventCode is present, it is system-specific Int64.</t>
        </is>
      </c>
      <c r="G5" s="89" t="inlineStr">
        <is>
          <t>Good</t>
        </is>
      </c>
      <c r="H5" s="89" t="inlineStr">
        <is>
          <t>JoiningSystemEventType event received after SelectJoiningProcess; method returned Good</t>
        </is>
      </c>
      <c r="I5" s="89" t="n"/>
      <c r="J5" s="89" t="inlineStr">
        <is>
          <t>OPC 40450-1 Section 11.1 CU-86</t>
        </is>
      </c>
      <c r="K5" s="90" t="n"/>
      <c r="L5" s="27" t="n"/>
      <c r="M5" s="28" t="n"/>
      <c r="N5" s="28" t="n"/>
    </row>
    <row r="6" ht="26.1" customHeight="1" s="132">
      <c r="A6" s="56" t="inlineStr">
        <is>
          <t>y</t>
        </is>
      </c>
      <c r="B6" s="57" t="n">
        <v>2</v>
      </c>
      <c r="C6" s="58" t="n">
        <v>0</v>
      </c>
      <c r="D6" s="58" t="inlineStr">
        <is>
          <t>Verify event AssociatedEntities[] identifies the selected joining process</t>
        </is>
      </c>
      <c r="E6" s="58" t="n"/>
      <c r="F6" s="58" t="n"/>
      <c r="G6" s="58" t="n"/>
      <c r="H6" s="58" t="n"/>
      <c r="I6" s="58" t="inlineStr">
        <is>
          <t>n</t>
        </is>
      </c>
      <c r="J6" s="58" t="inlineStr">
        <is>
          <t>OPC 40450-1 Section 11.1 CU-86</t>
        </is>
      </c>
      <c r="K6" s="74" t="n"/>
      <c r="L6" s="27" t="n"/>
      <c r="M6" s="28" t="n"/>
      <c r="N6" s="28" t="n"/>
    </row>
    <row r="7" ht="26.1" customHeight="1" s="132">
      <c r="A7" s="87" t="n"/>
      <c r="B7" s="88" t="n"/>
      <c r="C7" s="89" t="n">
        <v>1</v>
      </c>
      <c r="D7" s="89" t="inlineStr">
        <is>
          <t>From the event received in TC#1, inspect AssociatedEntities[] in the event payload.</t>
        </is>
      </c>
      <c r="E7" s="89" t="inlineStr">
        <is>
          <t>PROCESS_SELECTED event received from TC#1.</t>
        </is>
      </c>
      <c r="F7" s="89" t="inlineStr">
        <is>
          <t>AssociatedEntities[] is non-empty. At least one EntityDataType entry identifies the selected joining process. EntityId matches the selected process identifier. EntityType is a valid spec-defined value appropriate for the selected process category (e.g., JOINING_PROCESS=26, PROGRAM=27, JOB=28, or BATCH=29 per OPC 40450-1 Table 226, as applicable).</t>
        </is>
      </c>
      <c r="G7" s="89" t="inlineStr">
        <is>
          <t>Good</t>
        </is>
      </c>
      <c r="H7" s="89" t="inlineStr">
        <is>
          <t>AssociatedEntities contains selected process EntityDataType entry; EntityId matches selected identifier</t>
        </is>
      </c>
      <c r="I7" s="89" t="n"/>
      <c r="J7" s="89" t="inlineStr">
        <is>
          <t>OPC 40450-1 Section 11.1 CU-86</t>
        </is>
      </c>
      <c r="K7" s="90" t="n"/>
      <c r="L7" s="27" t="n"/>
      <c r="M7" s="28" t="n"/>
      <c r="N7" s="28" t="n"/>
    </row>
    <row r="8" ht="39" customHeight="1" s="132">
      <c r="A8" s="56" t="inlineStr">
        <is>
          <t>y</t>
        </is>
      </c>
      <c r="B8" s="57" t="n">
        <v>3</v>
      </c>
      <c r="C8" s="58" t="n">
        <v>0</v>
      </c>
      <c r="D8" s="58" t="inlineStr">
        <is>
          <t>Verify event SourceNode equals the asset or controller node</t>
        </is>
      </c>
      <c r="E8" s="58" t="n"/>
      <c r="F8" s="58" t="n"/>
      <c r="G8" s="58" t="n"/>
      <c r="H8" s="58" t="n"/>
      <c r="I8" s="58" t="inlineStr">
        <is>
          <t>n</t>
        </is>
      </c>
      <c r="J8" s="58" t="inlineStr">
        <is>
          <t>OPC 40450-1 Section 11.1 CU-86</t>
        </is>
      </c>
      <c r="K8" s="74" t="n"/>
      <c r="L8" s="27" t="n"/>
      <c r="M8" s="28" t="n"/>
      <c r="N8" s="28" t="n"/>
    </row>
    <row r="9" ht="38.7" customHeight="1" s="132">
      <c r="A9" s="87" t="n"/>
      <c r="B9" s="88" t="n"/>
      <c r="C9" s="89" t="n">
        <v>1</v>
      </c>
      <c r="D9" s="89" t="inlineStr">
        <is>
          <t>From the event received in TC#1, inspect the SourceNode field.</t>
        </is>
      </c>
      <c r="E9" s="89" t="inlineStr">
        <is>
          <t>PROCESS_SELECTED event received. Asset/controller NodeId known.</t>
        </is>
      </c>
      <c r="F9" s="89" t="inlineStr">
        <is>
          <t>SourceNode in the event matches the NodeId of the asset or joining controller for which the process was selected. SourceNode is non-null.</t>
        </is>
      </c>
      <c r="G9" s="89" t="inlineStr">
        <is>
          <t>Good</t>
        </is>
      </c>
      <c r="H9" s="89" t="inlineStr">
        <is>
          <t>SourceNode matches asset or controller NodeId</t>
        </is>
      </c>
      <c r="I9" s="89" t="n"/>
      <c r="J9" s="89" t="inlineStr">
        <is>
          <t>OPC 40450-1 Section 11.1 CU-86</t>
        </is>
      </c>
      <c r="K9" s="90" t="n"/>
      <c r="L9" s="27" t="n"/>
      <c r="M9" s="28" t="n"/>
      <c r="N9" s="28" t="n"/>
    </row>
    <row r="10" ht="39" customHeight="1" s="132">
      <c r="A10" s="56" t="inlineStr">
        <is>
          <t>y</t>
        </is>
      </c>
      <c r="B10" s="57" t="n">
        <v>5</v>
      </c>
      <c r="C10" s="58" t="n">
        <v>0</v>
      </c>
      <c r="D10" s="58" t="inlineStr">
        <is>
          <t>Verify JoiningSystemEventType event generated on process selection via external HMI</t>
        </is>
      </c>
      <c r="E10" s="58" t="n"/>
      <c r="F10" s="58" t="n"/>
      <c r="G10" s="58" t="n"/>
      <c r="H10" s="58" t="n"/>
      <c r="I10" s="58" t="inlineStr">
        <is>
          <t>n</t>
        </is>
      </c>
      <c r="J10" s="58" t="inlineStr">
        <is>
          <t>OPC 40450-1 Section 11.1 CU-86</t>
        </is>
      </c>
      <c r="K10" s="74" t="n"/>
      <c r="L10" s="27" t="n"/>
      <c r="M10" s="28" t="n"/>
      <c r="N10" s="28" t="n"/>
    </row>
    <row r="11" ht="64.5" customHeight="1" s="132">
      <c r="A11" s="87" t="n"/>
      <c r="B11" s="88" t="n"/>
      <c r="C11" s="89" t="n">
        <v>1</v>
      </c>
      <c r="D11" s="89" t="inlineStr">
        <is>
          <t>Select a joining process via the physical HMI (not OPC UA call). Monitor the active event subscription for a JoiningSystemEventType event triggered by HMI selection.</t>
        </is>
      </c>
      <c r="E11" s="89" t="inlineStr">
        <is>
          <t>Active event subscription. Physical HMI accessible for process selection. Server monitors HMI input and generates events accordingly.</t>
        </is>
      </c>
      <c r="F11" s="89" t="inlineStr">
        <is>
          <t>A JoiningSystemEventType event is generated even when process selection is made via HMI. Event payload contains the same fields as when selected via OPC UA. This verifies the server generates events regardless of selection source. If EventCode is present, it is system-specific Int64.</t>
        </is>
      </c>
      <c r="G11" s="89" t="inlineStr">
        <is>
          <t>Good</t>
        </is>
      </c>
      <c r="H11" s="89" t="inlineStr">
        <is>
          <t>JoiningSystemEventType event received for HMI-triggered selection; same payload as OPC UA selection</t>
        </is>
      </c>
      <c r="I11" s="89" t="n"/>
      <c r="J11" s="89" t="inlineStr">
        <is>
          <t>OPC 40450-1 Section 11.1 CU-86</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Uncertain/Status=4 and no event on SelectJoiningProcess with non-existent program</t>
        </is>
      </c>
      <c r="E13" s="97" t="n"/>
      <c r="F13" s="97" t="n"/>
      <c r="G13" s="97" t="n"/>
      <c r="H13" s="97" t="n"/>
      <c r="I13" s="97" t="inlineStr">
        <is>
          <t>n</t>
        </is>
      </c>
      <c r="J13" s="97" t="inlineStr">
        <is>
          <t>OPC 40450-1 Section 11.1 CU-86</t>
        </is>
      </c>
      <c r="K13" s="98" t="inlineStr">
        <is>
          <t>CTT=n: requires testing invalid program ID</t>
        </is>
      </c>
      <c r="L13" s="27" t="n"/>
      <c r="M13" s="28" t="n"/>
      <c r="N13" s="28" t="n"/>
    </row>
    <row r="14" ht="51.6" customHeight="1" s="132">
      <c r="A14" s="87" t="n"/>
      <c r="B14" s="88" t="n"/>
      <c r="C14" s="89" t="n">
        <v>1</v>
      </c>
      <c r="D14" s="89" t="inlineStr">
        <is>
          <t>Call SelectJoiningProcess(ProductInstanceUri, JoiningProcessIdentification) with JoiningProcessId set to a random GUID not present in GetJoiningProcessList. Monitor event subscription.</t>
        </is>
      </c>
      <c r="E14" s="89" t="inlineStr">
        <is>
          <t>OPC UA session. SelectJoiningProcess method available.</t>
        </is>
      </c>
      <c r="F14" s="89" t="inlineStr">
        <is>
          <t>SelectJoiningProcess Call Service returns Good; method result code is Uncertain with Status output 4 for the non-existent joining process. No PROCESS_SELECTED event is generated and the currently selected program is unchanged.</t>
        </is>
      </c>
      <c r="G14" s="89" t="inlineStr">
        <is>
          <t>Good</t>
        </is>
      </c>
      <c r="H14" s="89" t="inlineStr">
        <is>
          <t>Uncertain; Status=4 output with StatusMessage; no event generated</t>
        </is>
      </c>
      <c r="I14" s="89" t="n"/>
      <c r="J14" s="89" t="inlineStr">
        <is>
          <t>OPC 40450-1 Section 11.1 CU-86</t>
        </is>
      </c>
      <c r="K14" s="90" t="n"/>
      <c r="L14" s="27" t="n"/>
      <c r="M14" s="28" t="n"/>
      <c r="N14" s="28" t="n"/>
    </row>
    <row r="15">
      <c r="A15" s="112" t="inlineStr">
        <is>
          <t>n</t>
        </is>
      </c>
      <c r="B15" s="113" t="n">
        <v>2</v>
      </c>
      <c r="C15" s="114" t="n">
        <v>0</v>
      </c>
      <c r="D15" s="114" t="inlineStr">
        <is>
          <t>Verify SelectProcess event fired after SelectJoiningProcess</t>
        </is>
      </c>
      <c r="E15" s="114" t="n"/>
      <c r="F15" s="114" t="n"/>
      <c r="G15" s="114" t="n"/>
      <c r="H15" s="114" t="n"/>
      <c r="I15" s="114" t="inlineStr">
        <is>
          <t>n</t>
        </is>
      </c>
      <c r="J15" s="114" t="inlineStr">
        <is>
          <t>OPC 40450-1 Section 11.1 CU-86</t>
        </is>
      </c>
      <c r="K15" s="115" t="n"/>
      <c r="L15" s="27" t="n"/>
      <c r="M15" s="28" t="n"/>
      <c r="N15" s="28" t="n"/>
    </row>
    <row r="16">
      <c r="A16" s="116" t="n"/>
      <c r="B16" s="117" t="n"/>
      <c r="C16" s="118" t="n">
        <v>1</v>
      </c>
      <c r="D16" s="118" t="inlineStr">
        <is>
          <t>Subscribe events. Call SelectJoiningProcess(ProductInstanceUri, JoiningProcessIdentification).</t>
        </is>
      </c>
      <c r="E16" s="118" t="inlineStr">
        <is>
          <t>Server claims this Conformance Unit; no additional runtime setup is needed for this step.</t>
        </is>
      </c>
      <c r="F16" s="118" t="inlineStr">
        <is>
          <t>SelectProcess event received.</t>
        </is>
      </c>
      <c r="G16" s="118" t="inlineStr">
        <is>
          <t>Good</t>
        </is>
      </c>
      <c r="H16" s="118" t="n"/>
      <c r="I16" s="118" t="n"/>
      <c r="J16" s="118" t="inlineStr">
        <is>
          <t>OPC 40450-1 Section 11.1 CU-86</t>
        </is>
      </c>
      <c r="K16" s="119" t="inlineStr">
        <is>
          <t>Requirement source: OPC 40450-1 Section 11 - Selection event expected.</t>
        </is>
      </c>
    </row>
    <row r="17" customFormat="1" s="138">
      <c r="A17" s="112" t="inlineStr">
        <is>
          <t>n</t>
        </is>
      </c>
      <c r="B17" s="110" t="n">
        <v>3</v>
      </c>
      <c r="C17" s="110" t="n">
        <v>0</v>
      </c>
      <c r="D17" s="110" t="inlineStr">
        <is>
          <t>Verify event payload identifies the selected joining process in AssociatedEntities[]</t>
        </is>
      </c>
      <c r="E17" s="110" t="n"/>
      <c r="F17" s="110" t="n"/>
      <c r="G17" s="110" t="n"/>
      <c r="H17" s="110" t="n"/>
      <c r="I17" s="110" t="inlineStr">
        <is>
          <t>n</t>
        </is>
      </c>
      <c r="J17" s="110" t="inlineStr">
        <is>
          <t>OPC 40450-1 Section 11.1 CU-86</t>
        </is>
      </c>
      <c r="K17" s="115" t="n"/>
    </row>
    <row r="18">
      <c r="A18" s="120" t="n"/>
      <c r="B18" s="121" t="n"/>
      <c r="C18" s="122" t="n">
        <v>1</v>
      </c>
      <c r="D18" s="122" t="inlineStr">
        <is>
          <t>Read AssociatedEntities[]. Find an EntityDataType entry for the selected process.</t>
        </is>
      </c>
      <c r="E18" s="122" t="inlineStr">
        <is>
          <t>Server claims this Conformance Unit; no additional runtime setup is needed for this step.</t>
        </is>
      </c>
      <c r="F18" s="122" t="inlineStr">
        <is>
          <t>AssociatedEntities contains an EntityDataType entry with EntityType=JOINING_PROCESS (or applicable process category) and EntityId matching the selected process identifier.</t>
        </is>
      </c>
      <c r="G18" s="122" t="inlineStr">
        <is>
          <t>Good</t>
        </is>
      </c>
      <c r="H18" s="122" t="inlineStr">
        <is>
          <t>AssociatedEntities EntityDataType entry matches selected process identifier</t>
        </is>
      </c>
      <c r="I18" s="122" t="n"/>
      <c r="J18" s="122" t="inlineStr">
        <is>
          <t>OPC 40450-1 Section 11.1 CU-86</t>
        </is>
      </c>
      <c r="K18" s="123" t="inlineStr">
        <is>
          <t>Requirement source: OPC 40450-1 Section 11 - process identity in event AssociatedEntities[].</t>
        </is>
      </c>
    </row>
    <row r="19">
      <c r="A19" s="110" t="inlineStr">
        <is>
          <t>n</t>
        </is>
      </c>
      <c r="B19" s="110" t="n">
        <v>4</v>
      </c>
      <c r="C19" s="110" t="n">
        <v>0</v>
      </c>
      <c r="D19" s="110" t="inlineStr">
        <is>
          <t>Verify Deselect event on DeselectJoiningProcess</t>
        </is>
      </c>
      <c r="E19" s="110" t="n"/>
      <c r="F19" s="110" t="n"/>
      <c r="G19" s="110" t="n"/>
      <c r="H19" s="110" t="n"/>
      <c r="I19" s="110" t="inlineStr">
        <is>
          <t>n</t>
        </is>
      </c>
      <c r="J19" s="110" t="inlineStr">
        <is>
          <t>OPC 40450-1 Section 11.1 CU-86</t>
        </is>
      </c>
      <c r="K19" s="110" t="n"/>
    </row>
    <row r="20">
      <c r="A20" s="111" t="n"/>
      <c r="B20" s="111" t="n"/>
      <c r="C20" s="111" t="n">
        <v>1</v>
      </c>
      <c r="D20" s="111" t="inlineStr">
        <is>
          <t>Subscribe events. Call DeselectJoiningProcess(ProductInstanceUri).</t>
        </is>
      </c>
      <c r="E20" s="111" t="inlineStr">
        <is>
          <t>Server claims this Conformance Unit; no additional runtime setup is needed for this step.</t>
        </is>
      </c>
      <c r="F20" s="111" t="inlineStr">
        <is>
          <t>Deselect event received.</t>
        </is>
      </c>
      <c r="G20" s="111" t="inlineStr">
        <is>
          <t>Good</t>
        </is>
      </c>
      <c r="H20" s="111" t="n"/>
      <c r="I20" s="111" t="n"/>
      <c r="J20" s="111" t="inlineStr">
        <is>
          <t>OPC 40450-1 Section 11.1 CU-86</t>
        </is>
      </c>
      <c r="K20" s="111" t="inlineStr">
        <is>
          <t>Requirement source: OPC 40450-1 Section 11 - Deselect event expected.</t>
        </is>
      </c>
    </row>
  </sheetData>
  <mergeCells count="2">
    <mergeCell ref="A1:K1"/>
    <mergeCell ref="C2:J2"/>
  </mergeCells>
  <pageMargins left="0.7" right="0.7" top="0.75" bottom="0.75" header="0.3" footer="0.3"/>
</worksheet>
</file>

<file path=xl/worksheets/sheet93.xml><?xml version="1.0" encoding="utf-8"?>
<worksheet xmlns="http://schemas.openxmlformats.org/spreadsheetml/2006/main">
  <sheetPr codeName="Sheet8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CU-87: Joining Process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CU-87 — Joining Process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JoiningProcessManagement component present on JoiningSystemType instance</t>
        </is>
      </c>
      <c r="E4" s="58" t="n"/>
      <c r="F4" s="58" t="n"/>
      <c r="G4" s="58" t="n"/>
      <c r="H4" s="58" t="n"/>
      <c r="I4" s="58" t="inlineStr">
        <is>
          <t>n</t>
        </is>
      </c>
      <c r="J4" s="58" t="inlineStr">
        <is>
          <t>OPC 40450-1 Section 11.1 CU-87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the JoiningSystemType instance node in the server address space. Look for a component named "JoiningProcessManagement".</t>
        </is>
      </c>
      <c r="E5" s="89" t="inlineStr">
        <is>
          <t>OPC UA session. JoiningSystemType instance node accessible via Browse.</t>
        </is>
      </c>
      <c r="F5" s="89" t="inlineStr">
        <is>
          <t>A component node named "JoiningProcessManagement" is found as a child of the JoiningSystemType instance. NodeClass = Object. The component is accessible via BrowseDirection=Forward with HierarchicalReference.</t>
        </is>
      </c>
      <c r="G5" s="89" t="inlineStr">
        <is>
          <t>Good</t>
        </is>
      </c>
      <c r="H5" s="89" t="inlineStr">
        <is>
          <t>JoiningProcessManagement component found under JoiningSystemType instance</t>
        </is>
      </c>
      <c r="I5" s="89" t="n"/>
      <c r="J5" s="89" t="inlineStr">
        <is>
          <t>OPC 40450-1 Section 11.1 CU-87</t>
        </is>
      </c>
      <c r="K5" s="90" t="n"/>
      <c r="L5" s="27" t="n"/>
      <c r="M5" s="28" t="n"/>
      <c r="N5" s="28" t="n"/>
    </row>
    <row r="6" ht="26.1" customHeight="1" s="132">
      <c r="A6" s="56" t="inlineStr">
        <is>
          <t>y</t>
        </is>
      </c>
      <c r="B6" s="57" t="n">
        <v>2</v>
      </c>
      <c r="C6" s="58" t="n">
        <v>0</v>
      </c>
      <c r="D6" s="58" t="inlineStr">
        <is>
          <t>Verify JoiningProcessManagement TypeDefinition = JoiningProcessManagementType</t>
        </is>
      </c>
      <c r="E6" s="58" t="n"/>
      <c r="F6" s="58" t="n"/>
      <c r="G6" s="58" t="n"/>
      <c r="H6" s="58" t="n"/>
      <c r="I6" s="58" t="inlineStr">
        <is>
          <t>n</t>
        </is>
      </c>
      <c r="J6" s="58" t="inlineStr">
        <is>
          <t>OPC 40450-1 Section 11.1 CU-87</t>
        </is>
      </c>
      <c r="K6" s="74" t="n"/>
      <c r="L6" s="27" t="n"/>
      <c r="M6" s="28" t="n"/>
      <c r="N6" s="28" t="n"/>
    </row>
    <row r="7" ht="26.1" customHeight="1" s="132">
      <c r="A7" s="87" t="n"/>
      <c r="B7" s="88" t="n"/>
      <c r="C7" s="89" t="n">
        <v>1</v>
      </c>
      <c r="D7" s="89" t="inlineStr">
        <is>
          <t>Read the TypeDefinitionId of the JoiningProcessManagement node found in TC#1.</t>
        </is>
      </c>
      <c r="E7" s="89" t="inlineStr">
        <is>
          <t>JoiningProcessManagement node found in TC#1.</t>
        </is>
      </c>
      <c r="F7" s="89" t="inlineStr">
        <is>
          <t>TypeDefinitionId equals the NodeId of JoiningProcessManagementType in the IJT namespace. Namespace of the TypeDefinition matches the IJT OPC 40450-1 namespace URI.</t>
        </is>
      </c>
      <c r="G7" s="89" t="inlineStr">
        <is>
          <t>Good</t>
        </is>
      </c>
      <c r="H7" s="89" t="inlineStr">
        <is>
          <t>TypeDefinition = JoiningProcessManagementType (IJT namespace); namespace confirmed</t>
        </is>
      </c>
      <c r="I7" s="89" t="n"/>
      <c r="J7" s="89" t="inlineStr">
        <is>
          <t>OPC 40450-1 Section 11.1 CU-87</t>
        </is>
      </c>
      <c r="K7" s="90" t="n"/>
      <c r="L7" s="27" t="n"/>
      <c r="M7" s="28" t="n"/>
      <c r="N7" s="28" t="n"/>
    </row>
    <row r="8" ht="26.1" customHeight="1" s="132">
      <c r="A8" s="56" t="inlineStr">
        <is>
          <t>y</t>
        </is>
      </c>
      <c r="B8" s="57" t="n">
        <v>3</v>
      </c>
      <c r="C8" s="58" t="n">
        <v>0</v>
      </c>
      <c r="D8" s="58" t="inlineStr">
        <is>
          <t>Verify DefaultInstanceBrowseName is present on JoiningProcessManagementType</t>
        </is>
      </c>
      <c r="E8" s="58" t="n"/>
      <c r="F8" s="58" t="n"/>
      <c r="G8" s="58" t="n"/>
      <c r="H8" s="58" t="n"/>
      <c r="I8" s="58" t="inlineStr">
        <is>
          <t>n</t>
        </is>
      </c>
      <c r="J8" s="58" t="inlineStr">
        <is>
          <t>OPC 40450-1 Section 11.1 CU-87</t>
        </is>
      </c>
      <c r="K8" s="74" t="n"/>
      <c r="L8" s="27" t="n"/>
      <c r="M8" s="28" t="n"/>
      <c r="N8" s="28" t="n"/>
    </row>
    <row r="9" ht="51.6" customHeight="1" s="132">
      <c r="A9" s="87" t="n"/>
      <c r="B9" s="88" t="n"/>
      <c r="C9" s="89" t="n">
        <v>1</v>
      </c>
      <c r="D9" s="89" t="inlineStr">
        <is>
          <t>Browse the JoiningProcessManagementType ObjectType node in the address space. Check for DefaultInstanceBrowseName attribute or property.</t>
        </is>
      </c>
      <c r="E9" s="89" t="inlineStr">
        <is>
          <t>OPC UA session. JoiningProcessManagementType ObjectType node accessible.</t>
        </is>
      </c>
      <c r="F9" s="89" t="inlineStr">
        <is>
          <t>DefaultInstanceBrowseName attribute or property is present on JoiningProcessManagementType. Value is a QualifiedName consistent with "JoiningProcessManagement".</t>
        </is>
      </c>
      <c r="G9" s="89" t="inlineStr">
        <is>
          <t>Good</t>
        </is>
      </c>
      <c r="H9" s="89" t="inlineStr">
        <is>
          <t>DefaultInstanceBrowseName present on JoiningProcessManagementType</t>
        </is>
      </c>
      <c r="I9" s="89" t="n"/>
      <c r="J9" s="89" t="inlineStr">
        <is>
          <t>OPC 40450-1 Section 11.1 CU-87</t>
        </is>
      </c>
      <c r="K9" s="90" t="n"/>
      <c r="L9" s="27" t="n"/>
      <c r="M9" s="28" t="n"/>
      <c r="N9" s="28" t="n"/>
    </row>
    <row r="10" ht="39" customHeight="1" s="132">
      <c r="A10" s="56" t="inlineStr">
        <is>
          <t>y</t>
        </is>
      </c>
      <c r="B10" s="57" t="n">
        <v>4</v>
      </c>
      <c r="C10" s="58" t="n">
        <v>0</v>
      </c>
      <c r="D10" s="58" t="inlineStr">
        <is>
          <t>Verify JoiningProcessManagement contains GetJoiningProcessList method in MethodSet</t>
        </is>
      </c>
      <c r="E10" s="58" t="n"/>
      <c r="F10" s="58" t="n"/>
      <c r="G10" s="58" t="n"/>
      <c r="H10" s="58" t="n"/>
      <c r="I10" s="58" t="inlineStr">
        <is>
          <t>n</t>
        </is>
      </c>
      <c r="J10" s="58" t="inlineStr">
        <is>
          <t>OPC 40450-1 Section 11.1 CU-87</t>
        </is>
      </c>
      <c r="K10" s="74" t="n"/>
      <c r="L10" s="27" t="n"/>
      <c r="M10" s="28" t="n"/>
      <c r="N10" s="28" t="n"/>
    </row>
    <row r="11" ht="51.6" customHeight="1" s="132">
      <c r="A11" s="87" t="n"/>
      <c r="B11" s="88" t="n"/>
      <c r="C11" s="89" t="n">
        <v>1</v>
      </c>
      <c r="D11" s="89" t="inlineStr">
        <is>
          <t>Browse the JoiningProcessManagement node for a MethodSet component or direct methods. Look for GetJoiningProcessList method node.</t>
        </is>
      </c>
      <c r="E11" s="89" t="inlineStr">
        <is>
          <t>JoiningProcessManagement node accessible from TC#1.</t>
        </is>
      </c>
      <c r="F11" s="89" t="inlineStr">
        <is>
          <t>GetJoiningProcessList method node is found as a child of JoiningProcessManagement (directly or via MethodSet folder). NodeClass = Method. Executable = True.</t>
        </is>
      </c>
      <c r="G11" s="89" t="inlineStr">
        <is>
          <t>Good</t>
        </is>
      </c>
      <c r="H11" s="89" t="inlineStr">
        <is>
          <t>GetJoiningProcessList method node found; NodeClass=Method; Executable=True</t>
        </is>
      </c>
      <c r="I11" s="89" t="n"/>
      <c r="J11" s="89" t="inlineStr">
        <is>
          <t>OPC 40450-1 Section 11.1 CU-87</t>
        </is>
      </c>
      <c r="K11" s="90" t="n"/>
      <c r="L11" s="27" t="n"/>
      <c r="M11" s="28" t="n"/>
      <c r="N11" s="28" t="n"/>
    </row>
    <row r="12">
      <c r="A12" s="56" t="inlineStr">
        <is>
          <t>y</t>
        </is>
      </c>
      <c r="B12" s="57" t="n">
        <v>5</v>
      </c>
      <c r="C12" s="58" t="n">
        <v>0</v>
      </c>
      <c r="D12" s="58" t="inlineStr">
        <is>
          <t>Verify JoiningProcessManagement NodeClass = Object</t>
        </is>
      </c>
      <c r="E12" s="58" t="n"/>
      <c r="F12" s="58" t="n"/>
      <c r="G12" s="58" t="n"/>
      <c r="H12" s="58" t="n"/>
      <c r="I12" s="58" t="inlineStr">
        <is>
          <t>n</t>
        </is>
      </c>
      <c r="J12" s="58" t="inlineStr">
        <is>
          <t>OPC 40450-1 Section 11.1 CU-87</t>
        </is>
      </c>
      <c r="K12" s="74" t="n"/>
      <c r="L12" s="27" t="n"/>
      <c r="M12" s="28" t="n"/>
      <c r="N12" s="28" t="n"/>
    </row>
    <row r="13" ht="26.1" customHeight="1" s="132">
      <c r="A13" s="87" t="n"/>
      <c r="B13" s="88" t="n"/>
      <c r="C13" s="89" t="n">
        <v>1</v>
      </c>
      <c r="D13" s="89" t="inlineStr">
        <is>
          <t>Read the NodeClass attribute of the JoiningProcessManagement node.</t>
        </is>
      </c>
      <c r="E13" s="89" t="inlineStr">
        <is>
          <t>JoiningProcessManagement node accessible from TC#1.</t>
        </is>
      </c>
      <c r="F13" s="89" t="inlineStr">
        <is>
          <t>NodeClass = Object (NodeClass value = 1). This confirms the node is an Object instance, not a Variable or Method.</t>
        </is>
      </c>
      <c r="G13" s="89" t="inlineStr">
        <is>
          <t>Good</t>
        </is>
      </c>
      <c r="H13" s="89" t="inlineStr">
        <is>
          <t>NodeClass = Object (1) confirmed</t>
        </is>
      </c>
      <c r="I13" s="89" t="n"/>
      <c r="J13" s="89" t="inlineStr">
        <is>
          <t>OPC 40450-1 Section 11.1 CU-87</t>
        </is>
      </c>
      <c r="K13" s="90"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1</v>
      </c>
      <c r="C15" s="97" t="n">
        <v>0</v>
      </c>
      <c r="D15" s="97" t="inlineStr">
        <is>
          <t>Verify Bad_NotWritable or Bad_UserAccessDenied on attempt to delete JoiningProcessManagement</t>
        </is>
      </c>
      <c r="E15" s="97" t="n"/>
      <c r="F15" s="97" t="n"/>
      <c r="G15" s="97" t="n"/>
      <c r="H15" s="97" t="n"/>
      <c r="I15" s="97" t="inlineStr">
        <is>
          <t>n</t>
        </is>
      </c>
      <c r="J15" s="97" t="inlineStr">
        <is>
          <t>OPC 40450-1 Section 11.1 CU-87</t>
        </is>
      </c>
      <c r="K15" s="98" t="inlineStr">
        <is>
          <t>CTT=n: requires testing unauthorized delete attempt</t>
        </is>
      </c>
      <c r="L15" s="27" t="n"/>
      <c r="M15" s="28" t="n"/>
      <c r="N15" s="28" t="n"/>
    </row>
    <row r="16" ht="51.6" customHeight="1" s="132">
      <c r="A16" s="87" t="n"/>
      <c r="B16" s="88" t="n"/>
      <c r="C16" s="89" t="n">
        <v>1</v>
      </c>
      <c r="D16" s="89" t="inlineStr">
        <is>
          <t>Attempt to delete the JoiningProcessManagement node using DeleteNodes service or equivalent destructive operation.</t>
        </is>
      </c>
      <c r="E16" s="89" t="inlineStr">
        <is>
          <t>OPC UA session. JoiningProcessManagement node accessible.</t>
        </is>
      </c>
      <c r="F16" s="89" t="inlineStr">
        <is>
          <t>DeleteNodes service dispatch succeeds. The delete operation is rejected with Bad_NotWritable, Bad_UserAccessDenied, or Bad_NotSupported. JoiningProcessManagement node remains present after the attempt. Server state is unaffected.</t>
        </is>
      </c>
      <c r="G16" s="89" t="inlineStr">
        <is>
          <t>Good</t>
        </is>
      </c>
      <c r="H16" s="89" t="inlineStr">
        <is>
          <t>Bad_NotWritable / Bad_UserAccessDenied / Bad_NotSupported; JoiningProcessManagement node still present</t>
        </is>
      </c>
      <c r="I16" s="89" t="n"/>
      <c r="J16" s="89" t="inlineStr">
        <is>
          <t>OPC 40450-1 Section 11.1 CU-87</t>
        </is>
      </c>
      <c r="K16" s="90" t="n"/>
    </row>
    <row r="17" customFormat="1" s="138">
      <c r="A17" s="112" t="inlineStr">
        <is>
          <t>n</t>
        </is>
      </c>
      <c r="B17" s="110" t="n">
        <v>2</v>
      </c>
      <c r="C17" s="110" t="n">
        <v>0</v>
      </c>
      <c r="D17" s="110" t="inlineStr">
        <is>
          <t>Verify JoiningProcessManagement is of JoiningProcessManagementType</t>
        </is>
      </c>
      <c r="E17" s="110" t="n"/>
      <c r="F17" s="110" t="n"/>
      <c r="G17" s="110" t="n"/>
      <c r="H17" s="110" t="n"/>
      <c r="I17" s="110" t="inlineStr">
        <is>
          <t>n</t>
        </is>
      </c>
      <c r="J17" s="110" t="inlineStr">
        <is>
          <t>OPC 40450-1 Section 11.1 CU-87</t>
        </is>
      </c>
      <c r="K17" s="115" t="n"/>
    </row>
    <row r="18">
      <c r="A18" s="120" t="n"/>
      <c r="B18" s="121" t="n"/>
      <c r="C18" s="122" t="n">
        <v>1</v>
      </c>
      <c r="D18" s="122" t="inlineStr">
        <is>
          <t>Read TypeDefinitionId of JoiningProcessManagement.</t>
        </is>
      </c>
      <c r="E18" s="122" t="inlineStr">
        <is>
          <t>Server claims this Conformance Unit; no additional runtime setup is needed for this step.</t>
        </is>
      </c>
      <c r="F18" s="122" t="inlineStr">
        <is>
          <t>TypeDefinitionId matches JoiningProcessManagementType.</t>
        </is>
      </c>
      <c r="G18" s="122" t="inlineStr">
        <is>
          <t>Good</t>
        </is>
      </c>
      <c r="H18" s="122" t="n"/>
      <c r="I18" s="122" t="n"/>
      <c r="J18" s="122" t="inlineStr">
        <is>
          <t>OPC 40450-1 Section 11.1 CU-87</t>
        </is>
      </c>
      <c r="K18" s="123" t="inlineStr">
        <is>
          <t>Requirement source: OPC 40450-1 Section 7.6 - TypeDefinition.</t>
        </is>
      </c>
    </row>
    <row r="19">
      <c r="A19" s="110" t="inlineStr">
        <is>
          <t>n</t>
        </is>
      </c>
      <c r="B19" s="110" t="n">
        <v>3</v>
      </c>
      <c r="C19" s="110" t="n">
        <v>0</v>
      </c>
      <c r="D19" s="110" t="inlineStr">
        <is>
          <t>Verify MethodSet present under JoiningProcessManagement</t>
        </is>
      </c>
      <c r="E19" s="110" t="n"/>
      <c r="F19" s="110" t="n"/>
      <c r="G19" s="110" t="n"/>
      <c r="H19" s="110" t="n"/>
      <c r="I19" s="110" t="inlineStr">
        <is>
          <t>n</t>
        </is>
      </c>
      <c r="J19" s="110" t="inlineStr">
        <is>
          <t>OPC 40450-1 Section 11.1 CU-87</t>
        </is>
      </c>
      <c r="K19" s="110" t="n"/>
    </row>
    <row r="20">
      <c r="A20" s="111" t="n"/>
      <c r="B20" s="111" t="n"/>
      <c r="C20" s="111" t="n">
        <v>1</v>
      </c>
      <c r="D20" s="111" t="inlineStr">
        <is>
          <t>Browse JoiningProcessManagement for 2:MethodSet child.</t>
        </is>
      </c>
      <c r="E20" s="111" t="inlineStr">
        <is>
          <t>Server claims this Conformance Unit; no additional runtime setup is needed for this step.</t>
        </is>
      </c>
      <c r="F20" s="111" t="inlineStr">
        <is>
          <t>2:MethodSet found.</t>
        </is>
      </c>
      <c r="G20" s="111" t="inlineStr">
        <is>
          <t>Good</t>
        </is>
      </c>
      <c r="H20" s="111" t="n"/>
      <c r="I20" s="111" t="n"/>
      <c r="J20" s="111" t="inlineStr">
        <is>
          <t>OPC 40450-1 Section 11.1 CU-87</t>
        </is>
      </c>
      <c r="K20" s="111" t="inlineStr">
        <is>
          <t>Requirement source: OPC 40450-1 Section 7.6 - MethodSet is Mandatory.</t>
        </is>
      </c>
    </row>
    <row r="21">
      <c r="A21" s="110" t="inlineStr">
        <is>
          <t>n</t>
        </is>
      </c>
      <c r="B21" s="110" t="n">
        <v>4</v>
      </c>
      <c r="C21" s="110" t="n">
        <v>0</v>
      </c>
      <c r="D21" s="110" t="inlineStr">
        <is>
          <t>[Optional helper - profile-negative, not CU-87 conformance] Verify JoiningProcessManagement is absent when IJT Joining Process Management is not claimed</t>
        </is>
      </c>
      <c r="E21" s="110" t="n"/>
      <c r="F21" s="110" t="n"/>
      <c r="G21" s="110" t="n"/>
      <c r="H21" s="110" t="n"/>
      <c r="I21" s="110" t="inlineStr">
        <is>
          <t>n</t>
        </is>
      </c>
      <c r="J21" s="110" t="inlineStr">
        <is>
          <t>OPC 40450-1 Section 11.1 CU-87</t>
        </is>
      </c>
      <c r="K21" s="110" t="n"/>
    </row>
    <row r="22">
      <c r="A22" s="111" t="n"/>
      <c r="B22" s="111" t="n"/>
      <c r="C22" s="111" t="n">
        <v>1</v>
      </c>
      <c r="D22" s="111" t="inlineStr">
        <is>
          <t>If IJT Joining Process Management is not claimed in the selected profile or facet, browse for JoiningProcessManagement.</t>
        </is>
      </c>
      <c r="E22" s="111" t="inlineStr">
        <is>
          <t>Server under negative-profile review does not claim IJT Joining Process Management.</t>
        </is>
      </c>
      <c r="F22" s="111" t="inlineStr">
        <is>
          <t>JoiningProcessManagement is absent, or any exposed optional node is not used as evidence for claiming CU-87. This optional helper is not a required CU-87 conformance row.</t>
        </is>
      </c>
      <c r="G22" s="111" t="inlineStr">
        <is>
          <t>Good</t>
        </is>
      </c>
      <c r="H22" s="111" t="n"/>
      <c r="I22" s="111" t="n"/>
      <c r="J22" s="111" t="inlineStr">
        <is>
          <t>OPC 40450-1 Section 11.1 CU-87</t>
        </is>
      </c>
      <c r="K22" s="111" t="inlineStr">
        <is>
          <t>Requirement source: OPC 40450-1 CU-87 / profile-negative helper; not CU-50.</t>
        </is>
      </c>
    </row>
  </sheetData>
  <mergeCells count="2">
    <mergeCell ref="A1:K1"/>
    <mergeCell ref="C2:J2"/>
  </mergeCells>
  <pageMargins left="0.7" right="0.7" top="0.75" bottom="0.75" header="0.3" footer="0.3"/>
</worksheet>
</file>

<file path=xl/worksheets/sheet94.xml><?xml version="1.0" encoding="utf-8"?>
<worksheet xmlns="http://schemas.openxmlformats.org/spreadsheetml/2006/main">
  <sheetPr codeName="Sheet8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CU-88: Get Joining Process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CU-88 — Get Joining Process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GetJoiningProcessList is found in MethodSet with Executable=True</t>
        </is>
      </c>
      <c r="E4" s="58" t="n"/>
      <c r="F4" s="58" t="n"/>
      <c r="G4" s="58" t="n"/>
      <c r="H4" s="58" t="n"/>
      <c r="I4" s="58" t="inlineStr">
        <is>
          <t>n</t>
        </is>
      </c>
      <c r="J4" s="58" t="inlineStr">
        <is>
          <t>OPC 40450-1 Section 11.1 CU-88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(and its MethodSet if present). Locate GetJoiningProcessList method node. Read Executable attribute.</t>
        </is>
      </c>
      <c r="E5" s="89" t="inlineStr">
        <is>
          <t>OPC UA session. JoiningProcessManagement node accessible.</t>
        </is>
      </c>
      <c r="F5" s="89" t="inlineStr">
        <is>
          <t>GetJoiningProcessList method node is found. Executable = True. UserExecutable = True (for current session user).</t>
        </is>
      </c>
      <c r="G5" s="89" t="inlineStr">
        <is>
          <t>Good</t>
        </is>
      </c>
      <c r="H5" s="89" t="inlineStr">
        <is>
          <t>GetJoiningProcessList found; Executable=True; UserExecutable=True</t>
        </is>
      </c>
      <c r="I5" s="89" t="n"/>
      <c r="J5" s="89" t="inlineStr">
        <is>
          <t>OPC 40450-1 Section 11.1 CU-88</t>
        </is>
      </c>
      <c r="K5" s="90" t="n"/>
      <c r="L5" s="27" t="n"/>
      <c r="M5" s="28" t="n"/>
      <c r="N5" s="28" t="n"/>
    </row>
    <row r="6" ht="26.1" customHeight="1" s="132">
      <c r="A6" s="56" t="inlineStr">
        <is>
          <t>y</t>
        </is>
      </c>
      <c r="B6" s="57" t="n">
        <v>2</v>
      </c>
      <c r="C6" s="58" t="n">
        <v>0</v>
      </c>
      <c r="D6" s="58" t="inlineStr">
        <is>
          <t>Verify GetJoiningProcessList returns JoiningProcessMetaDataType[]</t>
        </is>
      </c>
      <c r="E6" s="58" t="n"/>
      <c r="F6" s="58" t="n"/>
      <c r="G6" s="58" t="n"/>
      <c r="H6" s="58" t="n"/>
      <c r="I6" s="58" t="inlineStr">
        <is>
          <t>n</t>
        </is>
      </c>
      <c r="J6" s="58" t="inlineStr">
        <is>
          <t>OPC 40450-1 Section 11.1 CU-88</t>
        </is>
      </c>
      <c r="K6" s="74" t="n"/>
      <c r="L6" s="27" t="n"/>
      <c r="M6" s="28" t="n"/>
      <c r="N6" s="28" t="n"/>
    </row>
    <row r="7" ht="39" customHeight="1" s="132">
      <c r="A7" s="87" t="n"/>
      <c r="B7" s="88" t="n"/>
      <c r="C7" s="89" t="n">
        <v>1</v>
      </c>
      <c r="D7" s="89" t="inlineStr">
        <is>
          <t>Call GetJoiningProcessList method. Inspect output arguments.</t>
        </is>
      </c>
      <c r="E7" s="89" t="inlineStr">
        <is>
          <t>GetJoiningProcessList Executable=True confirmed from TC#1. Server has at least one joining process configured.</t>
        </is>
      </c>
      <c r="F7" s="89" t="inlineStr">
        <is>
          <t>Method returns Good. Output argument JoiningProcessList is an array of JoiningProcessMetaDataType. The array is non-null; an empty array is valid when no joining processes are available.</t>
        </is>
      </c>
      <c r="G7" s="89" t="inlineStr">
        <is>
          <t>Good</t>
        </is>
      </c>
      <c r="H7" s="89" t="inlineStr">
        <is>
          <t>JoiningProcessList is JoiningProcessMetaDataType[]; non-null</t>
        </is>
      </c>
      <c r="I7" s="89" t="n"/>
      <c r="J7" s="89" t="inlineStr">
        <is>
          <t>OPC 40450-1 Section 11.1 CU-88</t>
        </is>
      </c>
      <c r="K7" s="90" t="n"/>
      <c r="L7" s="27" t="n"/>
      <c r="M7" s="28" t="n"/>
      <c r="N7" s="28" t="n"/>
    </row>
    <row r="8" ht="39" customHeight="1" s="132">
      <c r="A8" s="56" t="inlineStr">
        <is>
          <t>y</t>
        </is>
      </c>
      <c r="B8" s="57" t="n">
        <v>3</v>
      </c>
      <c r="C8" s="58" t="n">
        <v>0</v>
      </c>
      <c r="D8" s="58" t="inlineStr">
        <is>
          <t>Verify each returned JoiningProcessMetaDataType entry has mandatory JoiningProcessId and valid optional fields when present</t>
        </is>
      </c>
      <c r="E8" s="58" t="n"/>
      <c r="F8" s="58" t="n"/>
      <c r="G8" s="58" t="n"/>
      <c r="H8" s="58" t="n"/>
      <c r="I8" s="58" t="inlineStr">
        <is>
          <t>n</t>
        </is>
      </c>
      <c r="J8" s="58" t="inlineStr">
        <is>
          <t>OPC 40450-1 Section 11.1 CU-88</t>
        </is>
      </c>
      <c r="K8" s="74" t="n"/>
      <c r="L8" s="27" t="n"/>
      <c r="M8" s="28" t="n"/>
      <c r="N8" s="28" t="n"/>
    </row>
    <row r="9" ht="51.6" customHeight="1" s="132">
      <c r="A9" s="87" t="n"/>
      <c r="B9" s="88" t="n"/>
      <c r="C9" s="89" t="n">
        <v>1</v>
      </c>
      <c r="D9" s="89" t="inlineStr">
        <is>
          <t>Inspect each entry in the list returned by GetJoiningProcessList in TC#2.</t>
        </is>
      </c>
      <c r="E9" s="89" t="inlineStr">
        <is>
          <t>GetJoiningProcessList output from TC#2.</t>
        </is>
      </c>
      <c r="F9" s="89" t="inlineStr">
        <is>
          <t>Each returned joining process entry contains the CU-required fields JoiningProcessId, CreationTime, LastUpdatedTime, Name, JoiningTechnology, and Classification.</t>
        </is>
      </c>
      <c r="G9" s="89" t="inlineStr">
        <is>
          <t>Good</t>
        </is>
      </c>
      <c r="H9" s="89" t="inlineStr">
        <is>
          <t>CU-required joining process fields present and populated</t>
        </is>
      </c>
      <c r="I9" s="89" t="n"/>
      <c r="J9" s="89" t="inlineStr">
        <is>
          <t>OPC 40450-1 Section 11.1 CU-88</t>
        </is>
      </c>
      <c r="K9" s="90" t="n"/>
      <c r="L9" s="27" t="n"/>
      <c r="M9" s="28" t="n"/>
      <c r="N9" s="28" t="n"/>
    </row>
    <row r="10" ht="39" customHeight="1" s="132">
      <c r="A10" s="56" t="inlineStr">
        <is>
          <t>y</t>
        </is>
      </c>
      <c r="B10" s="57" t="n">
        <v>4</v>
      </c>
      <c r="C10" s="58" t="n">
        <v>0</v>
      </c>
      <c r="D10" s="58" t="inlineStr">
        <is>
          <t>Verify list count is non-negative; empty list valid with Good status</t>
        </is>
      </c>
      <c r="E10" s="58" t="n"/>
      <c r="F10" s="58" t="n"/>
      <c r="G10" s="58" t="n"/>
      <c r="H10" s="58" t="n"/>
      <c r="I10" s="58" t="inlineStr">
        <is>
          <t>n</t>
        </is>
      </c>
      <c r="J10" s="58" t="inlineStr">
        <is>
          <t>OPC 40450-1 Section 11.1 CU-88</t>
        </is>
      </c>
      <c r="K10" s="74" t="n"/>
      <c r="L10" s="27" t="n"/>
      <c r="M10" s="28" t="n"/>
      <c r="N10" s="28" t="n"/>
    </row>
    <row r="11" ht="39" customHeight="1" s="132">
      <c r="A11" s="87" t="n"/>
      <c r="B11" s="88" t="n"/>
      <c r="C11" s="89" t="n">
        <v>1</v>
      </c>
      <c r="D11" s="89" t="inlineStr">
        <is>
          <t>Call GetJoiningProcessList when server state is known (may or may not have processes). Verify list count is &gt;= 0.</t>
        </is>
      </c>
      <c r="E11" s="89" t="inlineStr">
        <is>
          <t>GetJoiningProcessList method callable.</t>
        </is>
      </c>
      <c r="F11" s="89" t="inlineStr">
        <is>
          <t>List count is &gt;= 0 (cannot be negative). Empty list (count = 0) is a valid result and must return Good, not an error code. Null list is not acceptable — must be empty array.</t>
        </is>
      </c>
      <c r="G11" s="89" t="inlineStr">
        <is>
          <t>Good</t>
        </is>
      </c>
      <c r="H11" s="89" t="inlineStr">
        <is>
          <t>List count &gt;= 0; empty list returns Good with empty array (not null)</t>
        </is>
      </c>
      <c r="I11" s="89" t="n"/>
      <c r="J11" s="89" t="inlineStr">
        <is>
          <t>OPC 40450-1 Section 11.1 CU-88</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Good with empty array on GetJoiningProcessList when no processes exist</t>
        </is>
      </c>
      <c r="E13" s="97" t="n"/>
      <c r="F13" s="97" t="n"/>
      <c r="G13" s="97" t="n"/>
      <c r="H13" s="97" t="n"/>
      <c r="I13" s="97" t="inlineStr">
        <is>
          <t>n</t>
        </is>
      </c>
      <c r="J13" s="97" t="inlineStr">
        <is>
          <t>OPC 40450-1 Section 11.1 CU-88</t>
        </is>
      </c>
      <c r="K13" s="98" t="inlineStr">
        <is>
          <t>CTT=n: requires server with no joining processes configured</t>
        </is>
      </c>
      <c r="L13" s="27" t="n"/>
      <c r="M13" s="28" t="n"/>
      <c r="N13" s="28" t="n"/>
    </row>
    <row r="14" ht="39" customHeight="1" s="132">
      <c r="A14" s="87" t="n"/>
      <c r="B14" s="88" t="n"/>
      <c r="C14" s="89" t="n">
        <v>1</v>
      </c>
      <c r="D14" s="89" t="inlineStr">
        <is>
          <t>Ensure the server has no joining processes (delete all or use a fresh server). Call GetJoiningProcessList. Verify response.</t>
        </is>
      </c>
      <c r="E14" s="89" t="inlineStr">
        <is>
          <t>OPC UA session. Server confirmed to have zero joining processes.</t>
        </is>
      </c>
      <c r="F14" s="89" t="inlineStr">
        <is>
          <t>GetJoiningProcessList returns Good. Output array is empty (length = 0), not null. No error code (Bad_NoDataAvailable, etc.) is returned for empty list.</t>
        </is>
      </c>
      <c r="G14" s="89" t="inlineStr">
        <is>
          <t>Good</t>
        </is>
      </c>
      <c r="H14" s="89" t="inlineStr">
        <is>
          <t>Good returned; output is empty array (not null or error) when no processes exist</t>
        </is>
      </c>
      <c r="I14" s="89" t="n"/>
      <c r="J14" s="89" t="inlineStr">
        <is>
          <t>OPC 40450-1 Section 11.1 CU-88</t>
        </is>
      </c>
      <c r="K14" s="90" t="n"/>
      <c r="L14" s="27" t="n"/>
      <c r="M14" s="28" t="n"/>
      <c r="N14" s="28" t="n"/>
    </row>
    <row r="15" ht="26.1" customHeight="1" s="132">
      <c r="A15" s="112" t="inlineStr">
        <is>
          <t>n</t>
        </is>
      </c>
      <c r="B15" s="113" t="n">
        <v>2</v>
      </c>
      <c r="C15" s="114" t="n">
        <v>0</v>
      </c>
      <c r="D15" s="114" t="inlineStr">
        <is>
          <t>[Optional helper - invalid ProductInstanceUri] Verify GetJoiningProcessList rejects an unknown ProductInstanceUri</t>
        </is>
      </c>
      <c r="E15" s="114" t="n"/>
      <c r="F15" s="114" t="n"/>
      <c r="G15" s="114" t="n"/>
      <c r="H15" s="114" t="n"/>
      <c r="I15" s="114" t="inlineStr">
        <is>
          <t>n</t>
        </is>
      </c>
      <c r="J15" s="114" t="inlineStr">
        <is>
          <t>OPC 40450-1 Section 11.1 CU-88</t>
        </is>
      </c>
      <c r="K15" s="115" t="n"/>
      <c r="L15" s="27" t="n"/>
      <c r="M15" s="28" t="n"/>
      <c r="N15" s="28" t="n"/>
    </row>
    <row r="16" ht="25.8" customHeight="1" s="132">
      <c r="A16" s="116" t="n"/>
      <c r="B16" s="117" t="n"/>
      <c r="C16" s="118" t="n">
        <v>1</v>
      </c>
      <c r="D16" s="118" t="inlineStr">
        <is>
          <t>Call GetJoiningProcessList(ProductInstanceUri="urn:unknown:asset") on the method node.</t>
        </is>
      </c>
      <c r="E16" s="118" t="inlineStr">
        <is>
          <t>GetJoiningProcessList method available. The ProductInstanceUri does not correspond to any known asset or context.</t>
        </is>
      </c>
      <c r="F16" s="118" t="inlineStr">
        <is>
          <t>Call Service returns Good; method result code is Uncertain. Status output is 2 (ProductInstanceUri not found). No list for another asset is returned.</t>
        </is>
      </c>
      <c r="G16" s="118" t="inlineStr">
        <is>
          <t>Good</t>
        </is>
      </c>
      <c r="H16" s="118" t="inlineStr">
        <is>
          <t>Uncertain; Status=2 output with StatusMessage</t>
        </is>
      </c>
      <c r="I16" s="118" t="n"/>
      <c r="J16" s="118" t="inlineStr">
        <is>
          <t>OPC 40450-1 Section 11.1 CU-88</t>
        </is>
      </c>
      <c r="K16" s="119" t="inlineStr">
        <is>
          <t>Requirement source: GetJoiningProcessList has ProductInstanceUri only; no Classification filter input.</t>
        </is>
      </c>
      <c r="L16" s="27" t="n"/>
      <c r="M16" s="28" t="n"/>
      <c r="N16" s="28" t="n"/>
    </row>
    <row r="17">
      <c r="A17" s="112" t="inlineStr">
        <is>
          <t>n</t>
        </is>
      </c>
      <c r="B17" s="113" t="n">
        <v>3</v>
      </c>
      <c r="C17" s="114" t="n">
        <v>0</v>
      </c>
      <c r="D17" s="114" t="inlineStr">
        <is>
          <t>Call GetJoiningProcessList when no processes exist</t>
        </is>
      </c>
      <c r="E17" s="114" t="n"/>
      <c r="F17" s="114" t="n"/>
      <c r="G17" s="114" t="n"/>
      <c r="H17" s="114" t="n"/>
      <c r="I17" s="114" t="inlineStr">
        <is>
          <t>n</t>
        </is>
      </c>
      <c r="J17" s="114" t="inlineStr">
        <is>
          <t>OPC 40450-1 Section 11.1 CU-88</t>
        </is>
      </c>
      <c r="K17" s="115" t="n"/>
      <c r="L17" s="27" t="n"/>
      <c r="M17" s="28" t="n"/>
      <c r="N17" s="28" t="n"/>
    </row>
    <row r="18">
      <c r="A18" s="116" t="n"/>
      <c r="B18" s="117" t="n"/>
      <c r="C18" s="118" t="n">
        <v>1</v>
      </c>
      <c r="D18" s="118" t="inlineStr">
        <is>
          <t>Call on empty system.</t>
        </is>
      </c>
      <c r="E18" s="118" t="inlineStr">
        <is>
          <t>Server claims this Conformance Unit; no additional runtime setup is needed for this step.</t>
        </is>
      </c>
      <c r="F18" s="118" t="inlineStr">
        <is>
          <t>Returns Good with empty array.</t>
        </is>
      </c>
      <c r="G18" s="118" t="inlineStr">
        <is>
          <t>Good</t>
        </is>
      </c>
      <c r="H18" s="118" t="n"/>
      <c r="I18" s="118" t="n"/>
      <c r="J18" s="118" t="inlineStr">
        <is>
          <t>OPC 40450-1 Section 11.1 CU-88</t>
        </is>
      </c>
      <c r="K18" s="119" t="inlineStr">
        <is>
          <t>Requirement source: OPC 40450-1 Section 9.12 - Empty list valid.</t>
        </is>
      </c>
    </row>
    <row r="19" customFormat="1" s="138">
      <c r="A19" s="112" t="inlineStr">
        <is>
          <t>n</t>
        </is>
      </c>
      <c r="B19" s="110" t="n">
        <v>4</v>
      </c>
      <c r="C19" s="110" t="n">
        <v>0</v>
      </c>
      <c r="D19" s="110" t="inlineStr">
        <is>
          <t>Verify result items have mandatory metadata fields</t>
        </is>
      </c>
      <c r="E19" s="110" t="n"/>
      <c r="F19" s="110" t="n"/>
      <c r="G19" s="110" t="n"/>
      <c r="H19" s="110" t="n"/>
      <c r="I19" s="110" t="inlineStr">
        <is>
          <t>n</t>
        </is>
      </c>
      <c r="J19" s="110" t="inlineStr">
        <is>
          <t>OPC 40450-1 Section 11.1 CU-88</t>
        </is>
      </c>
      <c r="K19" s="115" t="n"/>
    </row>
    <row r="20" ht="25.8" customHeight="1" s="132">
      <c r="A20" s="120" t="n"/>
      <c r="B20" s="121" t="n"/>
      <c r="C20" s="122" t="n">
        <v>1</v>
      </c>
      <c r="D20" s="122" t="inlineStr">
        <is>
          <t>Call and inspect results.</t>
        </is>
      </c>
      <c r="E20" s="122" t="inlineStr">
        <is>
          <t>Server claims this Conformance Unit; no additional runtime setup is needed for this step.</t>
        </is>
      </c>
      <c r="F20" s="122" t="inlineStr">
        <is>
          <t>Each item has non-empty JoiningProcessId. Optional metadata fields such as CreationTime, LastUpdatedTime, Name, JoiningTechnology, and Classification are valid when present.</t>
        </is>
      </c>
      <c r="G20" s="122" t="inlineStr">
        <is>
          <t>Good</t>
        </is>
      </c>
      <c r="H20" s="122" t="n"/>
      <c r="I20" s="122" t="n"/>
      <c r="J20" s="122" t="inlineStr">
        <is>
          <t>OPC 40450-1 Section 11.1 CU-88</t>
        </is>
      </c>
      <c r="K20" s="123" t="inlineStr">
        <is>
          <t>Requirement source: OPC 40450-1 JoiningProcessMetaDataType - only JoiningProcessId is mandatory; other metadata fields are optional.</t>
        </is>
      </c>
    </row>
  </sheetData>
  <mergeCells count="2">
    <mergeCell ref="A1:K1"/>
    <mergeCell ref="C2:J2"/>
  </mergeCells>
  <pageMargins left="0.7" right="0.7" top="0.75" bottom="0.75" header="0.3" footer="0.3"/>
</worksheet>
</file>

<file path=xl/worksheets/sheet95.xml><?xml version="1.0" encoding="utf-8"?>
<worksheet xmlns="http://schemas.openxmlformats.org/spreadsheetml/2006/main">
  <sheetPr codeName="Sheet8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CU-89: Abort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CU-89 — Abort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AbortJoiningProcess is found in MethodSet with Executable=True</t>
        </is>
      </c>
      <c r="E4" s="58" t="n"/>
      <c r="F4" s="58" t="n"/>
      <c r="G4" s="58" t="n"/>
      <c r="H4" s="58" t="n"/>
      <c r="I4" s="58" t="inlineStr">
        <is>
          <t>n</t>
        </is>
      </c>
      <c r="J4" s="58" t="inlineStr">
        <is>
          <t>OPC 40450-1 Section 11.1 CU-89</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AbortJoiningProcess method node. Read Executable attribute.</t>
        </is>
      </c>
      <c r="E5" s="89" t="inlineStr">
        <is>
          <t>OPC UA session. JoiningProcessManagement node accessible.</t>
        </is>
      </c>
      <c r="F5" s="89" t="inlineStr">
        <is>
          <t>AbortJoiningProcess method node is found. Executable = True. UserExecutable = True.</t>
        </is>
      </c>
      <c r="G5" s="89" t="inlineStr">
        <is>
          <t>Good</t>
        </is>
      </c>
      <c r="H5" s="89" t="inlineStr">
        <is>
          <t>AbortJoiningProcess found; Executable=True</t>
        </is>
      </c>
      <c r="I5" s="89" t="n"/>
      <c r="J5" s="89" t="inlineStr">
        <is>
          <t>OPC 40450-1 Section 11.1 CU-89</t>
        </is>
      </c>
      <c r="K5" s="90" t="n"/>
      <c r="L5" s="27" t="n"/>
      <c r="M5" s="28" t="n"/>
      <c r="N5" s="28" t="n"/>
    </row>
    <row r="6" ht="26.1" customHeight="1" s="132">
      <c r="A6" s="56" t="inlineStr">
        <is>
          <t>y</t>
        </is>
      </c>
      <c r="B6" s="57" t="n">
        <v>2</v>
      </c>
      <c r="C6" s="58" t="n">
        <v>0</v>
      </c>
      <c r="D6" s="58" t="inlineStr">
        <is>
          <t>Verify AbortJoiningProcess stops a running process and returns Good</t>
        </is>
      </c>
      <c r="E6" s="58" t="n"/>
      <c r="F6" s="58" t="n"/>
      <c r="G6" s="58" t="n"/>
      <c r="H6" s="58" t="n"/>
      <c r="I6" s="58" t="inlineStr">
        <is>
          <t>n</t>
        </is>
      </c>
      <c r="J6" s="58" t="inlineStr">
        <is>
          <t>OPC 40450-1 Section 11.1 CU-89</t>
        </is>
      </c>
      <c r="K6" s="74" t="n"/>
      <c r="L6" s="27" t="n"/>
      <c r="M6" s="28" t="n"/>
      <c r="N6" s="28" t="n"/>
    </row>
    <row r="7" ht="39" customHeight="1" s="132">
      <c r="A7" s="87" t="n"/>
      <c r="B7" s="88" t="n"/>
      <c r="C7" s="89" t="n">
        <v>1</v>
      </c>
      <c r="D7" s="89" t="inlineStr">
        <is>
          <t>Start a joining process (via StartSelectedJoining or StartJoiningProcess). Confirm process is running. Call AbortJoiningProcess(ProductInstanceUri, JoiningProcessIdentification, AbortMessage). Verify process has stopped.</t>
        </is>
      </c>
      <c r="E7" s="89" t="inlineStr">
        <is>
          <t>OPC UA session. A joining process is currently running. AbortJoiningProcess Executable=True.</t>
        </is>
      </c>
      <c r="F7" s="89" t="inlineStr">
        <is>
          <t>AbortJoiningProcess returns Good. Joining process is stopped (e.g., tool deactivates, IsRunning=False or equivalent). Appropriate abort/stopped event may be generated.</t>
        </is>
      </c>
      <c r="G7" s="89" t="inlineStr">
        <is>
          <t>Good</t>
        </is>
      </c>
      <c r="H7" s="89" t="inlineStr">
        <is>
          <t>Good returned; joining process confirmed stopped after abort</t>
        </is>
      </c>
      <c r="I7" s="89" t="n"/>
      <c r="J7" s="89" t="inlineStr">
        <is>
          <t>OPC 40450-1 Section 11.1 CU-89</t>
        </is>
      </c>
      <c r="K7" s="90" t="n"/>
      <c r="L7" s="27" t="n"/>
      <c r="M7" s="28" t="n"/>
      <c r="N7" s="28" t="n"/>
    </row>
    <row r="8" ht="39" customHeight="1" s="132">
      <c r="A8" s="56" t="inlineStr">
        <is>
          <t>y</t>
        </is>
      </c>
      <c r="B8" s="57" t="n">
        <v>5</v>
      </c>
      <c r="C8" s="58" t="n">
        <v>0</v>
      </c>
      <c r="D8" s="58" t="inlineStr">
        <is>
          <t>Verify appropriate event generated after AbortJoiningProcess</t>
        </is>
      </c>
      <c r="E8" s="58" t="n"/>
      <c r="F8" s="58" t="n"/>
      <c r="G8" s="58" t="n"/>
      <c r="H8" s="58" t="n"/>
      <c r="I8" s="58" t="inlineStr">
        <is>
          <t>n</t>
        </is>
      </c>
      <c r="J8" s="58" t="inlineStr">
        <is>
          <t>OPC 40450-1 Section 11.1 CU-89</t>
        </is>
      </c>
      <c r="K8" s="74" t="n"/>
      <c r="L8" s="27" t="n"/>
      <c r="M8" s="28" t="n"/>
      <c r="N8" s="28" t="n"/>
    </row>
    <row r="9" ht="51.6" customHeight="1" s="132">
      <c r="A9" s="87" t="n"/>
      <c r="B9" s="88" t="n"/>
      <c r="C9" s="89" t="n">
        <v>1</v>
      </c>
      <c r="D9" s="89" t="inlineStr">
        <is>
          <t>After calling AbortJoiningProcess in TC#2, check the event subscription for an abort-related event.</t>
        </is>
      </c>
      <c r="E9" s="89" t="inlineStr">
        <is>
          <t>Active event subscription. AbortJoiningProcess called in TC#2.</t>
        </is>
      </c>
      <c r="F9" s="89" t="inlineStr">
        <is>
          <t>A JoiningSystemEventType or subtype is generated after abort. The event is correlated by timing, EventType, SourceNode, and affected asset/process context. EventCode is not used as a required standard label.</t>
        </is>
      </c>
      <c r="G9" s="89" t="inlineStr">
        <is>
          <t>Good</t>
        </is>
      </c>
      <c r="H9" s="89" t="inlineStr">
        <is>
          <t>Abort/stopped event correlated by type, source, timing, and process context</t>
        </is>
      </c>
      <c r="I9" s="89" t="n"/>
      <c r="J9" s="89" t="inlineStr">
        <is>
          <t>OPC 40450-1 Section 11.1 CU-89</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Uncertain/Status=1 on AbortJoiningProcess when no process is running</t>
        </is>
      </c>
      <c r="E11" s="97" t="n"/>
      <c r="F11" s="97" t="n"/>
      <c r="G11" s="97" t="n"/>
      <c r="H11" s="97" t="n"/>
      <c r="I11" s="97" t="inlineStr">
        <is>
          <t>n</t>
        </is>
      </c>
      <c r="J11" s="97" t="inlineStr">
        <is>
          <t>OPC 40450-1 Section 11.1 CU-89</t>
        </is>
      </c>
      <c r="K11" s="98" t="inlineStr">
        <is>
          <t>CTT=n: requires testing abort when idle</t>
        </is>
      </c>
      <c r="L11" s="27" t="n"/>
      <c r="M11" s="28" t="n"/>
      <c r="N11" s="28" t="n"/>
    </row>
    <row r="12" ht="64.5" customHeight="1" s="132">
      <c r="A12" s="87" t="n"/>
      <c r="B12" s="88" t="n"/>
      <c r="C12" s="89" t="n">
        <v>1</v>
      </c>
      <c r="D12" s="89" t="inlineStr">
        <is>
          <t>Ensure no joining process is currently running. Call AbortJoiningProcess.</t>
        </is>
      </c>
      <c r="E12" s="89" t="inlineStr">
        <is>
          <t>OPC UA session. No joining process running (idle state).</t>
        </is>
      </c>
      <c r="F12" s="89" t="inlineStr">
        <is>
          <t>Call Service returns Good; method result code is Uncertain when the requested state transition is not accepted. Status output is 1 (generic not OK/application state). StatusMessage explains the state precondition; no unintended state change is performed.</t>
        </is>
      </c>
      <c r="G12" s="89" t="inlineStr">
        <is>
          <t>Good</t>
        </is>
      </c>
      <c r="H12" s="89" t="inlineStr">
        <is>
          <t>Uncertain; Status=1 output with StatusMessage</t>
        </is>
      </c>
      <c r="I12" s="89" t="n"/>
      <c r="J12" s="89" t="inlineStr">
        <is>
          <t>OPC 40450-1 Section 11.1 CU-89</t>
        </is>
      </c>
      <c r="K12" s="90" t="n"/>
      <c r="L12" s="27" t="n"/>
      <c r="M12" s="28" t="n"/>
      <c r="N12" s="28" t="n"/>
    </row>
    <row r="13" ht="25.8" customHeight="1" s="132">
      <c r="A13" s="95" t="inlineStr">
        <is>
          <t>n</t>
        </is>
      </c>
      <c r="B13" s="96" t="n">
        <v>2</v>
      </c>
      <c r="C13" s="97" t="n">
        <v>0</v>
      </c>
      <c r="D13" s="97" t="inlineStr">
        <is>
          <t>Verify Uncertain/Status=2 on AbortJoiningProcess with invalid ProductInstanceUri</t>
        </is>
      </c>
      <c r="E13" s="97" t="n"/>
      <c r="F13" s="97" t="n"/>
      <c r="G13" s="97" t="n"/>
      <c r="H13" s="97" t="n"/>
      <c r="I13" s="97" t="inlineStr">
        <is>
          <t>n</t>
        </is>
      </c>
      <c r="J13" s="97" t="inlineStr">
        <is>
          <t>OPC 40450-1 Section 11.1 CU-89</t>
        </is>
      </c>
      <c r="K13" s="98" t="inlineStr">
        <is>
          <t>CTT=n: requires testing invalid input argument</t>
        </is>
      </c>
      <c r="L13" s="27" t="n"/>
      <c r="M13" s="28" t="n"/>
      <c r="N13" s="28" t="n"/>
    </row>
    <row r="14" ht="39" customHeight="1" s="132">
      <c r="A14" s="87" t="n"/>
      <c r="B14" s="88" t="n"/>
      <c r="C14" s="89" t="n">
        <v>1</v>
      </c>
      <c r="D14" s="89" t="inlineStr">
        <is>
          <t>Call AbortJoiningProcess with a ProductInstanceUri that does not correspond to any known asset or process instance.</t>
        </is>
      </c>
      <c r="E14" s="89" t="inlineStr">
        <is>
          <t>OPC UA session. AbortJoiningProcess Executable=True.</t>
        </is>
      </c>
      <c r="F14" s="89" t="inlineStr">
        <is>
          <t>Call Service returns Good; method result code is Uncertain. Status output is 2 (ProductInstanceUri not found). StatusMessage explains the rejected input; no state change is performed.</t>
        </is>
      </c>
      <c r="G14" s="89" t="inlineStr">
        <is>
          <t>Good</t>
        </is>
      </c>
      <c r="H14" s="89" t="inlineStr">
        <is>
          <t>Uncertain; Status=2 output with StatusMessage</t>
        </is>
      </c>
      <c r="I14" s="89" t="n"/>
      <c r="J14" s="89" t="inlineStr">
        <is>
          <t>OPC 40450-1 Section 11.1 CU-89</t>
        </is>
      </c>
      <c r="K14" s="90" t="n"/>
      <c r="L14" s="27" t="n"/>
      <c r="M14" s="28" t="n"/>
      <c r="N14" s="28" t="n"/>
    </row>
    <row r="15" ht="26.1" customHeight="1" s="132">
      <c r="A15" s="112" t="inlineStr">
        <is>
          <t>n</t>
        </is>
      </c>
      <c r="B15" s="113" t="n">
        <v>3</v>
      </c>
      <c r="C15" s="114" t="n">
        <v>0</v>
      </c>
      <c r="D15" s="114" t="inlineStr">
        <is>
          <t>Call AbortJoiningProcess with null JoiningProcessIdentification</t>
        </is>
      </c>
      <c r="E15" s="114" t="n"/>
      <c r="F15" s="114" t="n"/>
      <c r="G15" s="114" t="n"/>
      <c r="H15" s="114" t="n"/>
      <c r="I15" s="114" t="inlineStr">
        <is>
          <t>n</t>
        </is>
      </c>
      <c r="J15" s="114" t="inlineStr">
        <is>
          <t>OPC 40450-1 Section 11.1 CU-89</t>
        </is>
      </c>
      <c r="K15" s="115" t="n"/>
      <c r="L15" s="27" t="n"/>
      <c r="M15" s="28" t="n"/>
      <c r="N15" s="28" t="n"/>
    </row>
    <row r="16" ht="25.8" customHeight="1" s="132">
      <c r="A16" s="116" t="n"/>
      <c r="B16" s="117" t="n"/>
      <c r="C16" s="118" t="n">
        <v>1</v>
      </c>
      <c r="D16" s="118" t="inlineStr">
        <is>
          <t>Call AbortJoiningProcess(ProductInstanceUri, null JoiningProcessIdentification, AbortMessage).</t>
        </is>
      </c>
      <c r="E16" s="118" t="inlineStr">
        <is>
          <t>Server claims this Conformance Unit; no additional runtime setup is needed for this step.</t>
        </is>
      </c>
      <c r="F16" s="118" t="inlineStr">
        <is>
          <t>Call Service returns Good; method result code is Uncertain. Status output is 5 (invalid input). StatusMessage explains the rejected input; no state change is performed.</t>
        </is>
      </c>
      <c r="G16" s="118" t="inlineStr">
        <is>
          <t>Good</t>
        </is>
      </c>
      <c r="H16" s="118" t="inlineStr">
        <is>
          <t>Uncertain; Status=5 output with StatusMessage</t>
        </is>
      </c>
      <c r="I16" s="118" t="n"/>
      <c r="J16" s="118" t="inlineStr">
        <is>
          <t>OPC 40450-1 Section 11.1 CU-89</t>
        </is>
      </c>
      <c r="K16" s="119" t="inlineStr">
        <is>
          <t>Requirement source: OPC 40450-1 Section 9.13 - Identification required.</t>
        </is>
      </c>
      <c r="L16" s="27" t="n"/>
      <c r="M16" s="28" t="n"/>
      <c r="N16" s="28" t="n"/>
    </row>
    <row r="17">
      <c r="A17" s="112" t="inlineStr">
        <is>
          <t>n</t>
        </is>
      </c>
      <c r="B17" s="113" t="n">
        <v>4</v>
      </c>
      <c r="C17" s="114" t="n">
        <v>0</v>
      </c>
      <c r="D17" s="114" t="inlineStr">
        <is>
          <t>Call AbortJoiningProcess when no operation in progress</t>
        </is>
      </c>
      <c r="E17" s="114" t="n"/>
      <c r="F17" s="114" t="n"/>
      <c r="G17" s="114" t="n"/>
      <c r="H17" s="114" t="n"/>
      <c r="I17" s="114" t="inlineStr">
        <is>
          <t>n</t>
        </is>
      </c>
      <c r="J17" s="114" t="inlineStr">
        <is>
          <t>OPC 40450-1 Section 11.1 CU-89</t>
        </is>
      </c>
      <c r="K17" s="115" t="n"/>
      <c r="L17" s="27" t="n"/>
      <c r="M17" s="28" t="n"/>
      <c r="N17" s="28" t="n"/>
    </row>
    <row r="18">
      <c r="A18" s="116" t="n"/>
      <c r="B18" s="117" t="n"/>
      <c r="C18" s="118" t="n">
        <v>1</v>
      </c>
      <c r="D18" s="118" t="inlineStr">
        <is>
          <t>Call when system idle.</t>
        </is>
      </c>
      <c r="E18" s="118" t="inlineStr">
        <is>
          <t>Server claims this Conformance Unit; no additional runtime setup is needed for this step.</t>
        </is>
      </c>
      <c r="F18" s="118" t="inlineStr">
        <is>
          <t>Call Service returns Good; method result code is Uncertain when the requested state transition is not accepted. Status output is 1 (generic not OK/application state). StatusMessage explains the state precondition; no unintended state change is performed.</t>
        </is>
      </c>
      <c r="G18" s="118" t="inlineStr">
        <is>
          <t>Good</t>
        </is>
      </c>
      <c r="H18" s="118" t="inlineStr">
        <is>
          <t>Uncertain; Status=1 output with StatusMessage</t>
        </is>
      </c>
      <c r="I18" s="118" t="n"/>
      <c r="J18" s="118" t="inlineStr">
        <is>
          <t>OPC 40450-1 Section 11.1 CU-89</t>
        </is>
      </c>
      <c r="K18" s="119" t="inlineStr">
        <is>
          <t>Requirement source: OPC 40450-1 Section 9.13 - Nothing to abort.</t>
        </is>
      </c>
    </row>
    <row r="19" customFormat="1" s="138">
      <c r="A19" s="112" t="inlineStr">
        <is>
          <t>n</t>
        </is>
      </c>
      <c r="B19" s="110" t="n">
        <v>5</v>
      </c>
      <c r="C19" s="110" t="n">
        <v>0</v>
      </c>
      <c r="D19" s="110" t="inlineStr">
        <is>
          <t>Call AbortJoiningProcess without execute rights</t>
        </is>
      </c>
      <c r="E19" s="110" t="n"/>
      <c r="F19" s="110" t="n"/>
      <c r="G19" s="110" t="n"/>
      <c r="H19" s="110" t="n"/>
      <c r="I19" s="110" t="inlineStr">
        <is>
          <t>n</t>
        </is>
      </c>
      <c r="J19" s="110" t="inlineStr">
        <is>
          <t>OPC 40450-1 Section 11.1 CU-89</t>
        </is>
      </c>
      <c r="K19" s="115" t="n"/>
    </row>
    <row r="20" ht="25.8" customHeight="1" s="132">
      <c r="A20" s="120" t="n"/>
      <c r="B20" s="121" t="n"/>
      <c r="C20" s="122" t="n">
        <v>1</v>
      </c>
      <c r="D20" s="122" t="inlineStr">
        <is>
          <t>Call from a restricted user session without abort rights.</t>
        </is>
      </c>
      <c r="E20" s="122" t="inlineStr">
        <is>
          <t>Server claims this Conformance Unit; no additional runtime setup is needed for this step.</t>
        </is>
      </c>
      <c r="F20" s="122" t="inlineStr">
        <is>
          <t>Call Service returns Good; method result code is Bad_UserAccessDenied. No state change is performed and Status output is not used for this access-denied case.</t>
        </is>
      </c>
      <c r="G20" s="122" t="inlineStr">
        <is>
          <t>Good</t>
        </is>
      </c>
      <c r="H20" s="122" t="inlineStr">
        <is>
          <t>Bad_UserAccessDenied</t>
        </is>
      </c>
      <c r="I20" s="122" t="n"/>
      <c r="J20" s="122" t="inlineStr">
        <is>
          <t>OPC 40450-1 Section 11.1 CU-89</t>
        </is>
      </c>
      <c r="K20" s="123" t="inlineStr">
        <is>
          <t>Requirement source: OPC 10000-4 Section 5.11.2 - Insufficient rights.</t>
        </is>
      </c>
    </row>
  </sheetData>
  <mergeCells count="2">
    <mergeCell ref="A1:K1"/>
    <mergeCell ref="C2:J2"/>
  </mergeCells>
  <pageMargins left="0.7" right="0.7" top="0.75" bottom="0.75" header="0.3" footer="0.3"/>
</worksheet>
</file>

<file path=xl/worksheets/sheet96.xml><?xml version="1.0" encoding="utf-8"?>
<worksheet xmlns="http://schemas.openxmlformats.org/spreadsheetml/2006/main">
  <sheetPr codeName="Sheet8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CU-90: Start Selected Joining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CU-90 — Start Selected Joining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StartSelectedJoining is found in MethodSet with Executable=True</t>
        </is>
      </c>
      <c r="E4" s="58" t="n"/>
      <c r="F4" s="58" t="n"/>
      <c r="G4" s="58" t="n"/>
      <c r="H4" s="58" t="n"/>
      <c r="I4" s="58" t="inlineStr">
        <is>
          <t>n</t>
        </is>
      </c>
      <c r="J4" s="58" t="inlineStr">
        <is>
          <t>OPC 40450-1 Section 11.1 CU-90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StartSelectedJoining method node. Read Executable attribute.</t>
        </is>
      </c>
      <c r="E5" s="89" t="inlineStr">
        <is>
          <t>OPC UA session. JoiningProcessManagement node accessible.</t>
        </is>
      </c>
      <c r="F5" s="89" t="inlineStr">
        <is>
          <t>StartSelectedJoining method node is found. Executable = True. UserExecutable = True.</t>
        </is>
      </c>
      <c r="G5" s="89" t="inlineStr">
        <is>
          <t>Good</t>
        </is>
      </c>
      <c r="H5" s="89" t="inlineStr">
        <is>
          <t>StartSelectedJoining found; Executable=True</t>
        </is>
      </c>
      <c r="I5" s="89" t="n"/>
      <c r="J5" s="89" t="inlineStr">
        <is>
          <t>OPC 40450-1 Section 11.1 CU-90</t>
        </is>
      </c>
      <c r="K5" s="90" t="n"/>
      <c r="L5" s="27" t="n"/>
      <c r="M5" s="28" t="n"/>
      <c r="N5" s="28" t="n"/>
    </row>
    <row r="6" ht="26.1" customHeight="1" s="132">
      <c r="A6" s="56" t="inlineStr">
        <is>
          <t>y</t>
        </is>
      </c>
      <c r="B6" s="57" t="n">
        <v>2</v>
      </c>
      <c r="C6" s="58" t="n">
        <v>0</v>
      </c>
      <c r="D6" s="58" t="inlineStr">
        <is>
          <t>Verify StartSelectedJoining starts process after SelectJoiningProcess</t>
        </is>
      </c>
      <c r="E6" s="58" t="n"/>
      <c r="F6" s="58" t="n"/>
      <c r="G6" s="58" t="n"/>
      <c r="H6" s="58" t="n"/>
      <c r="I6" s="58" t="inlineStr">
        <is>
          <t>n</t>
        </is>
      </c>
      <c r="J6" s="58" t="inlineStr">
        <is>
          <t>OPC 40450-1 Section 11.1 CU-90</t>
        </is>
      </c>
      <c r="K6" s="74" t="n"/>
      <c r="L6" s="27" t="n"/>
      <c r="M6" s="28" t="n"/>
      <c r="N6" s="28" t="n"/>
    </row>
    <row r="7" ht="39" customHeight="1" s="132">
      <c r="A7" s="87" t="n"/>
      <c r="B7" s="88" t="n"/>
      <c r="C7" s="89" t="n">
        <v>1</v>
      </c>
      <c r="D7" s="89" t="inlineStr">
        <is>
          <t>Call SelectJoiningProcess(ProductInstanceUri, JoiningProcessIdentification) to pre-select a program. Then call StartSelectedJoining(ProductInstanceUri, DeselectAfterJoining=false). Verify process starts.</t>
        </is>
      </c>
      <c r="E7" s="89" t="inlineStr">
        <is>
          <t>OPC UA session. SelectJoiningProcess returns Good/domain success. A valid joining process is selected. StartSelectedJoining Executable=True.</t>
        </is>
      </c>
      <c r="F7" s="89" t="inlineStr">
        <is>
          <t>StartSelectedJoining returns Good. Joining process starts (tool activates, process-running indicator active). Result is eventually generated after joining cycle completes.</t>
        </is>
      </c>
      <c r="G7" s="89" t="inlineStr">
        <is>
          <t>Good</t>
        </is>
      </c>
      <c r="H7" s="89" t="inlineStr">
        <is>
          <t>Good returned; joining process confirmed started; result generated on completion</t>
        </is>
      </c>
      <c r="I7" s="89" t="n"/>
      <c r="J7" s="89" t="inlineStr">
        <is>
          <t>OPC 40450-1 Section 11.1 CU-90</t>
        </is>
      </c>
      <c r="K7" s="90" t="n"/>
      <c r="L7" s="27" t="n"/>
      <c r="M7" s="28" t="n"/>
      <c r="N7" s="28" t="n"/>
    </row>
    <row r="8" ht="39" customHeight="1" s="132">
      <c r="A8" s="56" t="inlineStr">
        <is>
          <t>y</t>
        </is>
      </c>
      <c r="B8" s="57" t="n">
        <v>5</v>
      </c>
      <c r="C8" s="58" t="n">
        <v>0</v>
      </c>
      <c r="D8" s="58" t="inlineStr">
        <is>
          <t>Verify result generated after successful joining cycle via StartSelectedJoining</t>
        </is>
      </c>
      <c r="E8" s="58" t="n"/>
      <c r="F8" s="58" t="n"/>
      <c r="G8" s="58" t="n"/>
      <c r="H8" s="58" t="n"/>
      <c r="I8" s="58" t="inlineStr">
        <is>
          <t>n</t>
        </is>
      </c>
      <c r="J8" s="58" t="inlineStr">
        <is>
          <t>OPC 40450-1 Section 11.1 CU-90</t>
        </is>
      </c>
      <c r="K8" s="74" t="n"/>
      <c r="L8" s="27" t="n"/>
      <c r="M8" s="28" t="n"/>
      <c r="N8" s="28" t="n"/>
    </row>
    <row r="9" ht="51.6" customHeight="1" s="132">
      <c r="A9" s="87" t="n"/>
      <c r="B9" s="88" t="n"/>
      <c r="C9" s="89" t="n">
        <v>1</v>
      </c>
      <c r="D9" s="89" t="inlineStr">
        <is>
          <t>After the joining cycle started in TC#2 completes, observe a result via JoiningSystemResultReadyEventType or ResultManagement/Results/Result.</t>
        </is>
      </c>
      <c r="E9" s="89" t="inlineStr">
        <is>
          <t>Joining process started and completed from TC#2. Result access mechanism available.</t>
        </is>
      </c>
      <c r="F9" s="89" t="inlineStr">
        <is>
          <t>A joining result is available after the cycle completes. ResultMetaData.Classification is SINGLE_RESULT (1) or appropriate type. ResultMetaData.ResultId is non-empty.</t>
        </is>
      </c>
      <c r="G9" s="89" t="inlineStr">
        <is>
          <t>Good</t>
        </is>
      </c>
      <c r="H9" s="89" t="inlineStr">
        <is>
          <t>Joining result available after cycle; Classification and ResultId confirmed</t>
        </is>
      </c>
      <c r="I9" s="89" t="n"/>
      <c r="J9" s="89" t="inlineStr">
        <is>
          <t>OPC 40450-1 Section 11.1 CU-90</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Uncertain/Status=1 on StartSelectedJoining when no process is selected</t>
        </is>
      </c>
      <c r="E11" s="97" t="n"/>
      <c r="F11" s="97" t="n"/>
      <c r="G11" s="97" t="n"/>
      <c r="H11" s="97" t="n"/>
      <c r="I11" s="97" t="inlineStr">
        <is>
          <t>n</t>
        </is>
      </c>
      <c r="J11" s="97" t="inlineStr">
        <is>
          <t>OPC 40450-1 Section 11.1 CU-90</t>
        </is>
      </c>
      <c r="K11" s="98" t="inlineStr">
        <is>
          <t>CTT=n: requires testing start without prior select</t>
        </is>
      </c>
      <c r="L11" s="27" t="n"/>
      <c r="M11" s="28" t="n"/>
      <c r="N11" s="28" t="n"/>
    </row>
    <row r="12" ht="51.6" customHeight="1" s="132">
      <c r="A12" s="87" t="n"/>
      <c r="B12" s="88" t="n"/>
      <c r="C12" s="89" t="n">
        <v>1</v>
      </c>
      <c r="D12" s="89" t="inlineStr">
        <is>
          <t>Ensure no joining process is currently selected (or deselect with DeselectJoiningProcess). Call StartSelectedJoining(ProductInstanceUri, DeselectAfterJoining=false).</t>
        </is>
      </c>
      <c r="E12" s="89" t="inlineStr">
        <is>
          <t>OPC UA session. No joining process currently selected.</t>
        </is>
      </c>
      <c r="F12" s="89" t="inlineStr">
        <is>
          <t>Call Service returns Good; method result code is Uncertain when the requested state transition is not accepted. Status output is 1 (generic not OK/application state). StatusMessage explains the state precondition; no unintended state change is performed.</t>
        </is>
      </c>
      <c r="G12" s="89" t="inlineStr">
        <is>
          <t>Good</t>
        </is>
      </c>
      <c r="H12" s="89" t="inlineStr">
        <is>
          <t>Uncertain; Status=1 output with StatusMessage</t>
        </is>
      </c>
      <c r="I12" s="89" t="n"/>
      <c r="J12" s="89" t="inlineStr">
        <is>
          <t>OPC 40450-1 Section 11.1 CU-90</t>
        </is>
      </c>
      <c r="K12" s="90" t="n"/>
      <c r="L12" s="27" t="n"/>
      <c r="M12" s="28" t="n"/>
      <c r="N12" s="28" t="n"/>
    </row>
    <row r="13" ht="25.8" customHeight="1" s="132">
      <c r="A13" s="95" t="inlineStr">
        <is>
          <t>n</t>
        </is>
      </c>
      <c r="B13" s="96" t="n">
        <v>2</v>
      </c>
      <c r="C13" s="97" t="n">
        <v>0</v>
      </c>
      <c r="D13" s="97" t="inlineStr">
        <is>
          <t>Verify Uncertain/Status=1 on StartSelectedJoining when tool IsEnabled=False</t>
        </is>
      </c>
      <c r="E13" s="97" t="n"/>
      <c r="F13" s="97" t="n"/>
      <c r="G13" s="97" t="n"/>
      <c r="H13" s="97" t="n"/>
      <c r="I13" s="97" t="inlineStr">
        <is>
          <t>n</t>
        </is>
      </c>
      <c r="J13" s="97" t="inlineStr">
        <is>
          <t>OPC 40450-1 Section 11.1 CU-90</t>
        </is>
      </c>
      <c r="K13" s="98" t="inlineStr">
        <is>
          <t>CTT=n: requires tool in disabled state</t>
        </is>
      </c>
      <c r="L13" s="27" t="n"/>
      <c r="M13" s="28" t="n"/>
      <c r="N13" s="28" t="n"/>
    </row>
    <row r="14" ht="39" customHeight="1" s="132">
      <c r="A14" s="87" t="n"/>
      <c r="B14" s="88" t="n"/>
      <c r="C14" s="89" t="n">
        <v>1</v>
      </c>
      <c r="D14" s="89" t="inlineStr">
        <is>
          <t>Disable the tool (IsEnabled=False). Select a joining process. Call StartSelectedJoining(ProductInstanceUri, DeselectAfterJoining=false).</t>
        </is>
      </c>
      <c r="E14" s="89" t="inlineStr">
        <is>
          <t>OPC UA session. Tool disabled (IsEnabled=False). A process selected.</t>
        </is>
      </c>
      <c r="F14" s="89" t="inlineStr">
        <is>
          <t>Call Service returns Good; method result code is Uncertain when the requested state transition is not accepted. Status output is 1 (generic not OK/application state). StatusMessage explains the state precondition; no unintended state change is performed.</t>
        </is>
      </c>
      <c r="G14" s="89" t="inlineStr">
        <is>
          <t>Good</t>
        </is>
      </c>
      <c r="H14" s="89" t="inlineStr">
        <is>
          <t>Uncertain; Status=1 output with StatusMessage</t>
        </is>
      </c>
      <c r="I14" s="89" t="n"/>
      <c r="J14" s="89" t="inlineStr">
        <is>
          <t>OPC 40450-1 Section 11.1 CU-90</t>
        </is>
      </c>
      <c r="K14" s="90" t="n"/>
      <c r="L14" s="27" t="n"/>
      <c r="M14" s="28" t="n"/>
      <c r="N14" s="28" t="n"/>
    </row>
    <row r="15" ht="26.1" customHeight="1" s="132">
      <c r="A15" s="112" t="inlineStr">
        <is>
          <t>n</t>
        </is>
      </c>
      <c r="B15" s="113" t="n">
        <v>3</v>
      </c>
      <c r="C15" s="114" t="n">
        <v>0</v>
      </c>
      <c r="D15" s="114" t="inlineStr">
        <is>
          <t>Call StartSelectedJoining without prior SelectJoiningProcess</t>
        </is>
      </c>
      <c r="E15" s="114" t="n"/>
      <c r="F15" s="114" t="n"/>
      <c r="G15" s="114" t="n"/>
      <c r="H15" s="114" t="n"/>
      <c r="I15" s="114" t="inlineStr">
        <is>
          <t>n</t>
        </is>
      </c>
      <c r="J15" s="114" t="inlineStr">
        <is>
          <t>OPC 40450-1 Section 11.1 CU-90</t>
        </is>
      </c>
      <c r="K15" s="115" t="n"/>
      <c r="L15" s="27" t="n"/>
      <c r="M15" s="28" t="n"/>
      <c r="N15" s="28" t="n"/>
    </row>
    <row r="16">
      <c r="A16" s="116" t="n"/>
      <c r="B16" s="117" t="n"/>
      <c r="C16" s="118" t="n">
        <v>1</v>
      </c>
      <c r="D16" s="118" t="inlineStr">
        <is>
          <t>Call StartSelectedJoining(ProductInstanceUri, DeselectAfterJoining=false) when no process is selected.</t>
        </is>
      </c>
      <c r="E16" s="118" t="inlineStr">
        <is>
          <t>Server claims this Conformance Unit; no additional runtime setup is needed for this step.</t>
        </is>
      </c>
      <c r="F16" s="118" t="inlineStr">
        <is>
          <t>Call Service returns Good; method result code is Uncertain when the requested state transition is not accepted. Status output is 1 (generic not OK/application state). StatusMessage explains the state precondition; no unintended state change is performed.</t>
        </is>
      </c>
      <c r="G16" s="118" t="inlineStr">
        <is>
          <t>Good</t>
        </is>
      </c>
      <c r="H16" s="118" t="inlineStr">
        <is>
          <t>Uncertain; Status=1 output with StatusMessage</t>
        </is>
      </c>
      <c r="I16" s="118" t="n"/>
      <c r="J16" s="118" t="inlineStr">
        <is>
          <t>OPC 40450-1 Section 11.1 CU-90</t>
        </is>
      </c>
      <c r="K16" s="119" t="inlineStr">
        <is>
          <t>Requirement source: OPC 40450-1 Section 9.14 - Must select process first.</t>
        </is>
      </c>
      <c r="L16" s="27" t="n"/>
      <c r="M16" s="28" t="n"/>
      <c r="N16" s="28" t="n"/>
    </row>
    <row r="17">
      <c r="A17" s="112" t="inlineStr">
        <is>
          <t>n</t>
        </is>
      </c>
      <c r="B17" s="113" t="n">
        <v>4</v>
      </c>
      <c r="C17" s="114" t="n">
        <v>0</v>
      </c>
      <c r="D17" s="114" t="inlineStr">
        <is>
          <t>Call StartSelectedJoining with system already executing</t>
        </is>
      </c>
      <c r="E17" s="114" t="n"/>
      <c r="F17" s="114" t="n"/>
      <c r="G17" s="114" t="n"/>
      <c r="H17" s="114" t="n"/>
      <c r="I17" s="114" t="inlineStr">
        <is>
          <t>n</t>
        </is>
      </c>
      <c r="J17" s="114" t="inlineStr">
        <is>
          <t>OPC 40450-1 Section 11.1 CU-90</t>
        </is>
      </c>
      <c r="K17" s="115" t="n"/>
      <c r="L17" s="27" t="n"/>
      <c r="M17" s="28" t="n"/>
      <c r="N17" s="28" t="n"/>
    </row>
    <row r="18">
      <c r="A18" s="116" t="n"/>
      <c r="B18" s="117" t="n"/>
      <c r="C18" s="118" t="n">
        <v>1</v>
      </c>
      <c r="D18" s="118" t="inlineStr">
        <is>
          <t>Start operation. Call StartSelectedJoining(ProductInstanceUri, DeselectAfterJoining=false) again.</t>
        </is>
      </c>
      <c r="E18" s="118" t="inlineStr">
        <is>
          <t>Server claims this Conformance Unit; no additional runtime setup is needed for this step.</t>
        </is>
      </c>
      <c r="F18" s="118" t="inlineStr">
        <is>
          <t>Call Service returns Good; method result code is Uncertain when the requested state transition is not accepted. Status output is 1 (generic not OK/application state). StatusMessage explains the state precondition; no unintended state change is performed.</t>
        </is>
      </c>
      <c r="G18" s="118" t="inlineStr">
        <is>
          <t>Good</t>
        </is>
      </c>
      <c r="H18" s="118" t="inlineStr">
        <is>
          <t>Uncertain; Status=1 output with StatusMessage</t>
        </is>
      </c>
      <c r="I18" s="118" t="n"/>
      <c r="J18" s="118" t="inlineStr">
        <is>
          <t>OPC 40450-1 Section 11.1 CU-90</t>
        </is>
      </c>
      <c r="K18" s="119" t="inlineStr">
        <is>
          <t>Requirement source: OPC 40450-1 Section 9.14 - Cannot start during active.</t>
        </is>
      </c>
    </row>
    <row r="19" customFormat="1" s="138">
      <c r="A19" s="112" t="inlineStr">
        <is>
          <t>n</t>
        </is>
      </c>
      <c r="B19" s="110" t="n">
        <v>5</v>
      </c>
      <c r="C19" s="110" t="n">
        <v>0</v>
      </c>
      <c r="D19" s="110" t="inlineStr">
        <is>
          <t>Verify StartSelectedJoining generates event on success</t>
        </is>
      </c>
      <c r="E19" s="110" t="n"/>
      <c r="F19" s="110" t="n"/>
      <c r="G19" s="110" t="n"/>
      <c r="H19" s="110" t="n"/>
      <c r="I19" s="110" t="inlineStr">
        <is>
          <t>n</t>
        </is>
      </c>
      <c r="J19" s="110" t="inlineStr">
        <is>
          <t>OPC 40450-1 Section 11.1 CU-90</t>
        </is>
      </c>
      <c r="K19" s="115" t="n"/>
    </row>
    <row r="20">
      <c r="A20" s="120" t="n"/>
      <c r="B20" s="121" t="n"/>
      <c r="C20" s="122" t="n">
        <v>1</v>
      </c>
      <c r="D20" s="122" t="inlineStr">
        <is>
          <t>Subscribe events. Call method.</t>
        </is>
      </c>
      <c r="E20" s="122" t="inlineStr">
        <is>
          <t>Server claims this Conformance Unit; no additional runtime setup is needed for this step.</t>
        </is>
      </c>
      <c r="F20" s="122" t="inlineStr">
        <is>
          <t>If the server also supports the relevant event/monitoring CU, subscribe to the joining-system events and treat any reported start-related event as an optional cross-CU consistency check. Do not require this event as evidence for the StartSelectedJoining method CU alone.</t>
        </is>
      </c>
      <c r="G20" s="122" t="inlineStr">
        <is>
          <t>Good</t>
        </is>
      </c>
      <c r="H20" s="122" t="inlineStr">
        <is>
          <t>Optional cross-CU consistency evidence only</t>
        </is>
      </c>
      <c r="I20" s="122" t="n"/>
      <c r="J20" s="122" t="inlineStr">
        <is>
          <t>OPC 40450-1 Section 11.1 CU-90</t>
        </is>
      </c>
      <c r="K20" s="123" t="inlineStr">
        <is>
          <t>Optional cross-CU event consistency check only</t>
        </is>
      </c>
    </row>
  </sheetData>
  <mergeCells count="2">
    <mergeCell ref="A1:K1"/>
    <mergeCell ref="C2:J2"/>
  </mergeCells>
  <pageMargins left="0.7" right="0.7" top="0.75" bottom="0.75" header="0.3" footer="0.3"/>
</worksheet>
</file>

<file path=xl/worksheets/sheet97.xml><?xml version="1.0" encoding="utf-8"?>
<worksheet xmlns="http://schemas.openxmlformats.org/spreadsheetml/2006/main">
  <sheetPr codeName="Sheet8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CU-91: 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CU-91 — 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SelectJoiningProcess is found in MethodSet with Executable=True</t>
        </is>
      </c>
      <c r="E4" s="58" t="n"/>
      <c r="F4" s="58" t="n"/>
      <c r="G4" s="58" t="n"/>
      <c r="H4" s="58" t="n"/>
      <c r="I4" s="58" t="inlineStr">
        <is>
          <t>n</t>
        </is>
      </c>
      <c r="J4" s="58" t="inlineStr">
        <is>
          <t>OPC 40450-1 Section 11.1 CU-91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SelectJoiningProcess method node. Read Executable attribute.</t>
        </is>
      </c>
      <c r="E5" s="89" t="inlineStr">
        <is>
          <t>OPC UA session. JoiningProcessManagement node accessible.</t>
        </is>
      </c>
      <c r="F5" s="89" t="inlineStr">
        <is>
          <t>SelectJoiningProcess method node is found. Executable = True. UserExecutable = True.</t>
        </is>
      </c>
      <c r="G5" s="89" t="inlineStr">
        <is>
          <t>Good</t>
        </is>
      </c>
      <c r="H5" s="89" t="inlineStr">
        <is>
          <t>SelectJoiningProcess found; Executable=True</t>
        </is>
      </c>
      <c r="I5" s="89" t="n"/>
      <c r="J5" s="89" t="inlineStr">
        <is>
          <t>OPC 40450-1 Section 11.1 CU-91</t>
        </is>
      </c>
      <c r="K5" s="90" t="n"/>
      <c r="L5" s="27" t="n"/>
      <c r="M5" s="28" t="n"/>
      <c r="N5" s="28" t="n"/>
    </row>
    <row r="6" ht="26.1" customHeight="1" s="132">
      <c r="A6" s="56" t="inlineStr">
        <is>
          <t>y</t>
        </is>
      </c>
      <c r="B6" s="57" t="n">
        <v>2</v>
      </c>
      <c r="C6" s="58" t="n">
        <v>0</v>
      </c>
      <c r="D6" s="58" t="inlineStr">
        <is>
          <t>Verify SelectJoiningProcess returns Good for valid JoiningProcessIdentification</t>
        </is>
      </c>
      <c r="E6" s="58" t="n"/>
      <c r="F6" s="58" t="n"/>
      <c r="G6" s="58" t="n"/>
      <c r="H6" s="58" t="n"/>
      <c r="I6" s="58" t="inlineStr">
        <is>
          <t>n</t>
        </is>
      </c>
      <c r="J6" s="58" t="inlineStr">
        <is>
          <t>OPC 40450-1 Section 11.1 CU-91</t>
        </is>
      </c>
      <c r="K6" s="74" t="n"/>
      <c r="L6" s="27" t="n"/>
      <c r="M6" s="28" t="n"/>
      <c r="N6" s="28" t="n"/>
    </row>
    <row r="7" ht="39" customHeight="1" s="132">
      <c r="A7" s="87" t="n"/>
      <c r="B7" s="88" t="n"/>
      <c r="C7" s="89" t="n">
        <v>1</v>
      </c>
      <c r="D7" s="89" t="inlineStr">
        <is>
          <t>Obtain a valid JoiningProcessId from GetJoiningProcessList. Build JoiningProcessIdentificationDataType with JoiningProcessId (or a valid origin/selection selector). Call SelectJoiningProcess(ProductInstanceUri, JoiningProcessIdentification).</t>
        </is>
      </c>
      <c r="E7" s="89" t="inlineStr">
        <is>
          <t>OPC UA session. GetJoiningProcessList returns at least one process. SelectJoiningProcess Executable=True.</t>
        </is>
      </c>
      <c r="F7" s="89" t="inlineStr">
        <is>
          <t>SelectJoiningProcess returns Good/domain success. No error codes. The specified process is now selected on the server.</t>
        </is>
      </c>
      <c r="G7" s="89" t="inlineStr">
        <is>
          <t>Good</t>
        </is>
      </c>
      <c r="H7" s="89" t="inlineStr">
        <is>
          <t>Good returned; valid JoiningProcessIdentification accepted; process selected</t>
        </is>
      </c>
      <c r="I7" s="89" t="n"/>
      <c r="J7" s="89" t="inlineStr">
        <is>
          <t>OPC 40450-1 Section 11.1 CU-91</t>
        </is>
      </c>
      <c r="K7" s="90" t="n"/>
      <c r="L7" s="27" t="n"/>
      <c r="M7" s="28" t="n"/>
      <c r="N7" s="28" t="n"/>
    </row>
    <row r="8" ht="39" customHeight="1" s="132">
      <c r="A8" s="56" t="inlineStr">
        <is>
          <t>y</t>
        </is>
      </c>
      <c r="B8" s="57" t="n">
        <v>3</v>
      </c>
      <c r="C8" s="58" t="n">
        <v>0</v>
      </c>
      <c r="D8" s="58" t="inlineStr">
        <is>
          <t>Verify selected program is reflected in server state</t>
        </is>
      </c>
      <c r="E8" s="58" t="n"/>
      <c r="F8" s="58" t="n"/>
      <c r="G8" s="58" t="n"/>
      <c r="H8" s="58" t="n"/>
      <c r="I8" s="58" t="inlineStr">
        <is>
          <t>n</t>
        </is>
      </c>
      <c r="J8" s="58" t="inlineStr">
        <is>
          <t>OPC 40450-1 Section 11.1 CU-91</t>
        </is>
      </c>
      <c r="K8" s="74" t="n"/>
      <c r="L8" s="27" t="n"/>
      <c r="M8" s="28" t="n"/>
      <c r="N8" s="28" t="n"/>
    </row>
    <row r="9" ht="77.40000000000001" customHeight="1" s="132">
      <c r="A9" s="87" t="n"/>
      <c r="B9" s="88" t="n"/>
      <c r="C9" s="89" t="n">
        <v>1</v>
      </c>
      <c r="D9" s="89" t="inlineStr">
        <is>
          <t>After calling SelectJoiningProcess in TC#2, read the currently selected program from the server (via GetSelectedJoiningProgram or a server state attribute).</t>
        </is>
      </c>
      <c r="E9" s="89" t="inlineStr">
        <is>
          <t>SelectJoiningProcess returned Good from TC#2.</t>
        </is>
      </c>
      <c r="F9" s="89" t="inlineStr">
        <is>
          <t>Server state reflects the selected JoiningProcessId from the JoiningProcessIdentification. GetSelectedJoiningProgram (if available) returns the same JoiningProcessId. State is persistent until changed or deselected.</t>
        </is>
      </c>
      <c r="G9" s="89" t="inlineStr">
        <is>
          <t>Good</t>
        </is>
      </c>
      <c r="H9" s="89" t="inlineStr">
        <is>
          <t>Server state shows selected JoiningProcessId matching the one passed to SelectJoiningProcess</t>
        </is>
      </c>
      <c r="I9" s="89" t="n"/>
      <c r="J9" s="89" t="inlineStr">
        <is>
          <t>OPC 40450-1 Section 11.1 CU-91</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Uncertain/Status=4 on SelectJoiningProcess with non-existent JoiningProcessId</t>
        </is>
      </c>
      <c r="E11" s="97" t="n"/>
      <c r="F11" s="97" t="n"/>
      <c r="G11" s="97" t="n"/>
      <c r="H11" s="97" t="n"/>
      <c r="I11" s="97" t="inlineStr">
        <is>
          <t>n</t>
        </is>
      </c>
      <c r="J11" s="97" t="inlineStr">
        <is>
          <t>OPC 40450-1 Section 11.1 CU-91</t>
        </is>
      </c>
      <c r="K11" s="98" t="inlineStr">
        <is>
          <t>CTT=n: requires testing non-existent program ID</t>
        </is>
      </c>
      <c r="L11" s="27" t="n"/>
      <c r="M11" s="28" t="n"/>
      <c r="N11" s="28" t="n"/>
    </row>
    <row r="12" ht="51.6" customHeight="1" s="132">
      <c r="A12" s="87" t="n"/>
      <c r="B12" s="88" t="n"/>
      <c r="C12" s="89" t="n">
        <v>1</v>
      </c>
      <c r="D12" s="89" t="inlineStr">
        <is>
          <t>Call SelectJoiningProcess with ProductInstanceUri and JoiningProcessIdentification.JoiningProcessId set to an id that is not in GetJoiningProcessList.</t>
        </is>
      </c>
      <c r="E12" s="89" t="inlineStr">
        <is>
          <t>OPC UA session. SelectJoiningProcess Executable=True.</t>
        </is>
      </c>
      <c r="F12" s="89" t="inlineStr">
        <is>
          <t>Call Service returns Good; method result code is Uncertain. Status output is 4 (input identifier/entity not found). StatusMessage explains the rejected input; no state change is performed.</t>
        </is>
      </c>
      <c r="G12" s="89" t="inlineStr">
        <is>
          <t>Good</t>
        </is>
      </c>
      <c r="H12" s="89" t="inlineStr">
        <is>
          <t>Uncertain; Status=4 output with StatusMessage</t>
        </is>
      </c>
      <c r="I12" s="89" t="n"/>
      <c r="J12" s="89" t="inlineStr">
        <is>
          <t>OPC 40450-1 Section 11.1 CU-91</t>
        </is>
      </c>
      <c r="K12" s="90" t="n"/>
      <c r="L12" s="27" t="n"/>
      <c r="M12" s="28" t="n"/>
      <c r="N12" s="28" t="n"/>
    </row>
    <row r="13" ht="25.8" customHeight="1" s="132">
      <c r="A13" s="95" t="inlineStr">
        <is>
          <t>n</t>
        </is>
      </c>
      <c r="B13" s="96" t="n">
        <v>2</v>
      </c>
      <c r="C13" s="97" t="n">
        <v>0</v>
      </c>
      <c r="D13" s="97" t="inlineStr">
        <is>
          <t>Policy observation: SelectJoiningProcess during active joining</t>
        </is>
      </c>
      <c r="E13" s="97" t="n"/>
      <c r="F13" s="97" t="n"/>
      <c r="G13" s="97" t="n"/>
      <c r="H13" s="97" t="n"/>
      <c r="I13" s="97" t="inlineStr">
        <is>
          <t>n</t>
        </is>
      </c>
      <c r="J13" s="97" t="inlineStr">
        <is>
          <t>OPC 40450-1 Section 11.1 CU-91</t>
        </is>
      </c>
      <c r="K13" s="98" t="inlineStr">
        <is>
          <t>CTT=n: requires active joining cycle; controller policy may accept next-execution selection or reject current-state transition.</t>
        </is>
      </c>
      <c r="L13" s="27" t="n"/>
      <c r="M13" s="28" t="n"/>
      <c r="N13" s="28" t="n"/>
    </row>
    <row r="14" ht="39" customHeight="1" s="132">
      <c r="A14" s="87" t="n"/>
      <c r="B14" s="88" t="n"/>
      <c r="C14" s="89" t="n">
        <v>1</v>
      </c>
      <c r="D14" s="89" t="inlineStr">
        <is>
          <t>Start a joining process. While the process is in progress, attempt to call SelectJoiningProcess with a different valid JoiningProcessIdentification.</t>
        </is>
      </c>
      <c r="E14" s="89" t="inlineStr">
        <is>
          <t>OPC UA session. Joining process actively running. Controller supports either next-execution selection or explicit rejection of state transition.</t>
        </is>
      </c>
      <c r="F14" s="89" t="inlineStr">
        <is>
          <t>Server handles the request according to controller policy: either accepts the selection for a future/next execution, or returns a documented domain status indicating the selection is not accepted in the current state. The active operation is not corrupted.</t>
        </is>
      </c>
      <c r="G14" s="89" t="inlineStr">
        <is>
          <t>Good</t>
        </is>
      </c>
      <c r="H14" s="89" t="inlineStr">
        <is>
          <t>Good with next-execution selection, or Uncertain/status output with StatusMessage when rejected by controller policy</t>
        </is>
      </c>
      <c r="I14" s="89" t="n"/>
      <c r="J14" s="89" t="inlineStr">
        <is>
          <t>OPC 40450-1 Section 11.1 CU-91</t>
        </is>
      </c>
      <c r="K14" s="90" t="inlineStr">
        <is>
          <t>Controller policy observation. Do not assume every controller must reject selection during active joining.</t>
        </is>
      </c>
      <c r="L14" s="27" t="n"/>
      <c r="M14" s="28" t="n"/>
      <c r="N14" s="28" t="n"/>
    </row>
    <row r="15" ht="26.1" customHeight="1" s="132">
      <c r="A15" s="112" t="inlineStr">
        <is>
          <t>n</t>
        </is>
      </c>
      <c r="B15" s="113" t="n">
        <v>3</v>
      </c>
      <c r="C15" s="114" t="n">
        <v>0</v>
      </c>
      <c r="D15" s="114" t="inlineStr">
        <is>
          <t>Call SelectJoiningProcess with non-existent JoiningProcessId</t>
        </is>
      </c>
      <c r="E15" s="114" t="n"/>
      <c r="F15" s="114" t="n"/>
      <c r="G15" s="114" t="n"/>
      <c r="H15" s="114" t="n"/>
      <c r="I15" s="114" t="inlineStr">
        <is>
          <t>n</t>
        </is>
      </c>
      <c r="J15" s="114" t="inlineStr">
        <is>
          <t>OPC 40450-1 Section 11.1 CU-91</t>
        </is>
      </c>
      <c r="K15" s="115" t="n"/>
      <c r="L15" s="27" t="n"/>
      <c r="M15" s="28" t="n"/>
      <c r="N15" s="28" t="n"/>
    </row>
    <row r="16">
      <c r="A16" s="116" t="n"/>
      <c r="B16" s="117" t="n"/>
      <c r="C16" s="118" t="n">
        <v>1</v>
      </c>
      <c r="D16" s="118" t="inlineStr">
        <is>
          <t>Call with a JoiningProcessIdentification containing a fabricated id.</t>
        </is>
      </c>
      <c r="E16" s="118" t="inlineStr">
        <is>
          <t>Server claims this Conformance Unit; no additional runtime setup is needed for this step.</t>
        </is>
      </c>
      <c r="F16" s="118" t="inlineStr">
        <is>
          <t>Call Service returns Good; method result code is Uncertain. Status output is 4 (input identifier/entity not found). StatusMessage explains the rejected input; no state change is performed.</t>
        </is>
      </c>
      <c r="G16" s="118" t="inlineStr">
        <is>
          <t>Good</t>
        </is>
      </c>
      <c r="H16" s="118" t="inlineStr">
        <is>
          <t>Uncertain; Status=4 output with StatusMessage</t>
        </is>
      </c>
      <c r="I16" s="118" t="n"/>
      <c r="J16" s="118" t="inlineStr">
        <is>
          <t>OPC 40450-1 Section 11.1 CU-91</t>
        </is>
      </c>
      <c r="K16" s="119" t="inlineStr">
        <is>
          <t>Requirement source: OPC 40450-1 Section 9.15 - Process must exist.</t>
        </is>
      </c>
      <c r="L16" s="27" t="n"/>
      <c r="M16" s="28" t="n"/>
      <c r="N16" s="28" t="n"/>
    </row>
    <row r="17">
      <c r="A17" s="112" t="inlineStr">
        <is>
          <t>n</t>
        </is>
      </c>
      <c r="B17" s="113" t="n">
        <v>4</v>
      </c>
      <c r="C17" s="114" t="n">
        <v>0</v>
      </c>
      <c r="D17" s="114" t="inlineStr">
        <is>
          <t>Call SelectJoiningProcess when different process already selected</t>
        </is>
      </c>
      <c r="E17" s="114" t="n"/>
      <c r="F17" s="114" t="n"/>
      <c r="G17" s="114" t="n"/>
      <c r="H17" s="114" t="n"/>
      <c r="I17" s="114" t="inlineStr">
        <is>
          <t>n</t>
        </is>
      </c>
      <c r="J17" s="114" t="inlineStr">
        <is>
          <t>OPC 40450-1 Section 11.1 CU-91</t>
        </is>
      </c>
      <c r="K17" s="115" t="n"/>
      <c r="L17" s="27" t="n"/>
      <c r="M17" s="28" t="n"/>
      <c r="N17" s="28" t="n"/>
    </row>
    <row r="18" ht="25.8" customHeight="1" s="132">
      <c r="A18" s="116" t="n"/>
      <c r="B18" s="117" t="n"/>
      <c r="C18" s="118" t="n">
        <v>1</v>
      </c>
      <c r="D18" s="118" t="inlineStr">
        <is>
          <t>Select process A with one JoiningProcessIdentification. Then select process B with a different JoiningProcessIdentification.</t>
        </is>
      </c>
      <c r="E18" s="118" t="inlineStr">
        <is>
          <t>Server claims this Conformance Unit; no additional runtime setup is needed for this step.</t>
        </is>
      </c>
      <c r="F18" s="118" t="inlineStr">
        <is>
          <t>Call Service returns Good; method result code is Uncertain when the requested state transition is not accepted. Status output is 1 (generic not OK/application state). StatusMessage explains the state precondition; no unintended state change is performed.</t>
        </is>
      </c>
      <c r="G18" s="118" t="inlineStr">
        <is>
          <t>Good</t>
        </is>
      </c>
      <c r="H18" s="118" t="inlineStr">
        <is>
          <t>Uncertain; Status=1 output with StatusMessage</t>
        </is>
      </c>
      <c r="I18" s="118" t="n"/>
      <c r="J18" s="118" t="inlineStr">
        <is>
          <t>OPC 40450-1 Section 11.1 CU-91</t>
        </is>
      </c>
      <c r="K18" s="119" t="inlineStr">
        <is>
          <t>Requirement source: OPC 40450-1 Section 9.15 - Selection replacement or rejection.</t>
        </is>
      </c>
    </row>
    <row r="19" customFormat="1" s="138">
      <c r="A19" s="112" t="inlineStr">
        <is>
          <t>n</t>
        </is>
      </c>
      <c r="B19" s="110" t="n">
        <v>5</v>
      </c>
      <c r="C19" s="110" t="n">
        <v>0</v>
      </c>
      <c r="D19" s="110" t="inlineStr">
        <is>
          <t>Optional cross-CU check: SelectJoiningProcess event consistency</t>
        </is>
      </c>
      <c r="E19" s="110" t="n"/>
      <c r="F19" s="110" t="n"/>
      <c r="G19" s="110" t="n"/>
      <c r="H19" s="110" t="n"/>
      <c r="I19" s="110" t="inlineStr">
        <is>
          <t>n</t>
        </is>
      </c>
      <c r="J19" s="110" t="inlineStr">
        <is>
          <t>OPC 40450-1 Section 11.1 CU-91</t>
        </is>
      </c>
      <c r="K19" s="115" t="n"/>
    </row>
    <row r="20">
      <c r="A20" s="120" t="n"/>
      <c r="B20" s="121" t="n"/>
      <c r="C20" s="122" t="n">
        <v>1</v>
      </c>
      <c r="D20" s="122" t="inlineStr">
        <is>
          <t>Subscribe events. Call SelectJoiningProcess(ProductInstanceUri, JoiningProcessIdentification).</t>
        </is>
      </c>
      <c r="E20" s="122" t="inlineStr">
        <is>
          <t>Server claims this Conformance Unit; no additional runtime setup is needed for this step.</t>
        </is>
      </c>
      <c r="F20" s="122" t="inlineStr">
        <is>
          <t>If the server also supports the relevant event/monitoring CU, subscribe to joining-system events and treat any SelectProcess event as an optional cross-CU consistency check. Do not require this event as evidence for the SelectJoiningProcess method CU alone.</t>
        </is>
      </c>
      <c r="G20" s="122" t="inlineStr">
        <is>
          <t>Good</t>
        </is>
      </c>
      <c r="H20" s="122" t="inlineStr">
        <is>
          <t>Optional cross-CU consistency evidence only</t>
        </is>
      </c>
      <c r="I20" s="122" t="n"/>
      <c r="J20" s="122" t="inlineStr">
        <is>
          <t>OPC 40450-1 Section 11.1 CU-91</t>
        </is>
      </c>
      <c r="K20" s="123" t="inlineStr">
        <is>
          <t>Optional cross-CU event consistency check only</t>
        </is>
      </c>
    </row>
  </sheetData>
  <mergeCells count="2">
    <mergeCell ref="A1:K1"/>
    <mergeCell ref="C2:J2"/>
  </mergeCells>
  <pageMargins left="0.7" right="0.7" top="0.75" bottom="0.75" header="0.3" footer="0.3"/>
</worksheet>
</file>

<file path=xl/worksheets/sheet98.xml><?xml version="1.0" encoding="utf-8"?>
<worksheet xmlns="http://schemas.openxmlformats.org/spreadsheetml/2006/main">
  <sheetPr codeName="Sheet8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CU-92: Deselect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CU-92 — Deselect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DeselectJoiningProcess is found in MethodSet with Executable=True</t>
        </is>
      </c>
      <c r="E4" s="58" t="n"/>
      <c r="F4" s="58" t="n"/>
      <c r="G4" s="58" t="n"/>
      <c r="H4" s="58" t="n"/>
      <c r="I4" s="58" t="inlineStr">
        <is>
          <t>n</t>
        </is>
      </c>
      <c r="J4" s="58" t="inlineStr">
        <is>
          <t>OPC 40450-1 Section 11.1 CU-92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DeselectJoiningProcess method node. Read Executable attribute.</t>
        </is>
      </c>
      <c r="E5" s="89" t="inlineStr">
        <is>
          <t>OPC UA session. JoiningProcessManagement node accessible.</t>
        </is>
      </c>
      <c r="F5" s="89" t="inlineStr">
        <is>
          <t>DeselectJoiningProcess method node is found. Executable = True. UserExecutable = True.</t>
        </is>
      </c>
      <c r="G5" s="89" t="inlineStr">
        <is>
          <t>Good</t>
        </is>
      </c>
      <c r="H5" s="89" t="inlineStr">
        <is>
          <t>DeselectJoiningProcess found; Executable=True</t>
        </is>
      </c>
      <c r="I5" s="89" t="n"/>
      <c r="J5" s="89" t="inlineStr">
        <is>
          <t>OPC 40450-1 Section 11.1 CU-92</t>
        </is>
      </c>
      <c r="K5" s="90" t="n"/>
      <c r="L5" s="27" t="n"/>
      <c r="M5" s="28" t="n"/>
      <c r="N5" s="28" t="n"/>
    </row>
    <row r="6" ht="26.1" customHeight="1" s="132">
      <c r="A6" s="56" t="inlineStr">
        <is>
          <t>y</t>
        </is>
      </c>
      <c r="B6" s="57" t="n">
        <v>2</v>
      </c>
      <c r="C6" s="58" t="n">
        <v>0</v>
      </c>
      <c r="D6" s="58" t="inlineStr">
        <is>
          <t>Verify DeselectJoiningProcess deselects current process and returns Good</t>
        </is>
      </c>
      <c r="E6" s="58" t="n"/>
      <c r="F6" s="58" t="n"/>
      <c r="G6" s="58" t="n"/>
      <c r="H6" s="58" t="n"/>
      <c r="I6" s="58" t="inlineStr">
        <is>
          <t>n</t>
        </is>
      </c>
      <c r="J6" s="58" t="inlineStr">
        <is>
          <t>OPC 40450-1 Section 11.1 CU-92</t>
        </is>
      </c>
      <c r="K6" s="74" t="n"/>
      <c r="L6" s="27" t="n"/>
      <c r="M6" s="28" t="n"/>
      <c r="N6" s="28" t="n"/>
    </row>
    <row r="7" ht="39" customHeight="1" s="132">
      <c r="A7" s="87" t="n"/>
      <c r="B7" s="88" t="n"/>
      <c r="C7" s="89" t="n">
        <v>1</v>
      </c>
      <c r="D7" s="89" t="inlineStr">
        <is>
          <t>Select a process using SelectJoiningProcess. Call DeselectJoiningProcess(ProductInstanceUri). Verify no process is selected afterwards.</t>
        </is>
      </c>
      <c r="E7" s="89" t="inlineStr">
        <is>
          <t>OPC UA session. A process selected via SelectJoiningProcess. DeselectJoiningProcess Executable=True.</t>
        </is>
      </c>
      <c r="F7" s="89" t="inlineStr">
        <is>
          <t>DeselectJoiningProcess returns Good. GetSelectedJoiningProgram (or equivalent) returns null/empty, indicating no process is currently selected.</t>
        </is>
      </c>
      <c r="G7" s="89" t="inlineStr">
        <is>
          <t>Good</t>
        </is>
      </c>
      <c r="H7" s="89" t="inlineStr">
        <is>
          <t>Good returned; no process selected after deselect (confirmed via GetSelectedJoiningProgram)</t>
        </is>
      </c>
      <c r="I7" s="89" t="n"/>
      <c r="J7" s="89" t="inlineStr">
        <is>
          <t>OPC 40450-1 Section 11.1 CU-92</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or Uncertain/Status=1 on DeselectJoiningProcess when none selected</t>
        </is>
      </c>
      <c r="E9" s="97" t="n"/>
      <c r="F9" s="97" t="n"/>
      <c r="G9" s="97" t="n"/>
      <c r="H9" s="97" t="n"/>
      <c r="I9" s="97" t="inlineStr">
        <is>
          <t>n</t>
        </is>
      </c>
      <c r="J9" s="97" t="inlineStr">
        <is>
          <t>OPC 40450-1 Section 11.1 CU-92</t>
        </is>
      </c>
      <c r="K9" s="98" t="inlineStr">
        <is>
          <t>CTT=n: requires testing deselect when already deselected</t>
        </is>
      </c>
      <c r="L9" s="27" t="n"/>
      <c r="M9" s="28" t="n"/>
      <c r="N9" s="28" t="n"/>
    </row>
    <row r="10" ht="39" customHeight="1" s="132">
      <c r="A10" s="87" t="n"/>
      <c r="B10" s="88" t="n"/>
      <c r="C10" s="89" t="n">
        <v>1</v>
      </c>
      <c r="D10" s="89" t="inlineStr">
        <is>
          <t>Ensure no process is currently selected. Call DeselectJoiningProcess(ProductInstanceUri).</t>
        </is>
      </c>
      <c r="E10" s="89" t="inlineStr">
        <is>
          <t>OPC UA session. No process currently selected.</t>
        </is>
      </c>
      <c r="F10" s="89" t="inlineStr">
        <is>
          <t>Call Service returns Good; method result code is Uncertain when the requested state transition is not accepted. Status output is 1 (generic not OK/application state). StatusMessage explains the state precondition; no unintended state change is performed.</t>
        </is>
      </c>
      <c r="G10" s="89" t="inlineStr">
        <is>
          <t>Good</t>
        </is>
      </c>
      <c r="H10" s="89" t="inlineStr">
        <is>
          <t>Uncertain; Status=1 output with StatusMessage</t>
        </is>
      </c>
      <c r="I10" s="89" t="n"/>
      <c r="J10" s="89" t="inlineStr">
        <is>
          <t>OPC 40450-1 Section 11.1 CU-92</t>
        </is>
      </c>
      <c r="K10" s="90" t="n"/>
      <c r="L10" s="27" t="n"/>
      <c r="M10" s="28" t="n"/>
      <c r="N10" s="28" t="n"/>
    </row>
    <row r="11" ht="39" customHeight="1" s="132">
      <c r="A11" s="95" t="inlineStr">
        <is>
          <t>n</t>
        </is>
      </c>
      <c r="B11" s="96" t="n">
        <v>2</v>
      </c>
      <c r="C11" s="97" t="n">
        <v>0</v>
      </c>
      <c r="D11" s="97" t="inlineStr">
        <is>
          <t>Verify Uncertain/Status=2 on DeselectJoiningProcess with invalid ProductInstanceUri</t>
        </is>
      </c>
      <c r="E11" s="97" t="n"/>
      <c r="F11" s="97" t="n"/>
      <c r="G11" s="97" t="n"/>
      <c r="H11" s="97" t="n"/>
      <c r="I11" s="97" t="inlineStr">
        <is>
          <t>n</t>
        </is>
      </c>
      <c r="J11" s="97" t="inlineStr">
        <is>
          <t>OPC 40450-1 Section 11.1 CU-92</t>
        </is>
      </c>
      <c r="K11" s="98" t="inlineStr">
        <is>
          <t>CTT=n: requires testing invalid argument</t>
        </is>
      </c>
      <c r="L11" s="27" t="n"/>
      <c r="M11" s="28" t="n"/>
      <c r="N11" s="28" t="n"/>
    </row>
    <row r="12" ht="38.7" customHeight="1" s="132">
      <c r="A12" s="87" t="n"/>
      <c r="B12" s="88" t="n"/>
      <c r="C12" s="89" t="n">
        <v>1</v>
      </c>
      <c r="D12" s="89" t="inlineStr">
        <is>
          <t>Call DeselectJoiningProcess with a ProductInstanceUri that does not correspond to any known asset.</t>
        </is>
      </c>
      <c r="E12" s="89" t="inlineStr">
        <is>
          <t>OPC UA session. DeselectJoiningProcess Executable=True.</t>
        </is>
      </c>
      <c r="F12" s="89" t="inlineStr">
        <is>
          <t>Call Service returns Good; method result code is Uncertain. Status output is 2 (ProductInstanceUri not found). StatusMessage explains the rejected input; no state change is performed.</t>
        </is>
      </c>
      <c r="G12" s="89" t="inlineStr">
        <is>
          <t>Good</t>
        </is>
      </c>
      <c r="H12" s="89" t="inlineStr">
        <is>
          <t>Uncertain; Status=2 output with StatusMessage</t>
        </is>
      </c>
      <c r="I12" s="89" t="n"/>
      <c r="J12" s="89" t="inlineStr">
        <is>
          <t>OPC 40450-1 Section 11.1 CU-92</t>
        </is>
      </c>
      <c r="K12" s="90" t="n"/>
      <c r="L12" s="27" t="n"/>
      <c r="M12" s="28" t="n"/>
      <c r="N12" s="28" t="n"/>
    </row>
    <row r="13">
      <c r="A13" s="112" t="inlineStr">
        <is>
          <t>n</t>
        </is>
      </c>
      <c r="B13" s="113" t="n">
        <v>3</v>
      </c>
      <c r="C13" s="114" t="n">
        <v>0</v>
      </c>
      <c r="D13" s="114" t="inlineStr">
        <is>
          <t>Call DeselectJoiningProcess when no process selected</t>
        </is>
      </c>
      <c r="E13" s="114" t="n"/>
      <c r="F13" s="114" t="n"/>
      <c r="G13" s="114" t="n"/>
      <c r="H13" s="114" t="n"/>
      <c r="I13" s="114" t="inlineStr">
        <is>
          <t>n</t>
        </is>
      </c>
      <c r="J13" s="114" t="inlineStr">
        <is>
          <t>OPC 40450-1 Section 11.1 CU-92</t>
        </is>
      </c>
      <c r="K13" s="115" t="n"/>
      <c r="L13" s="27" t="n"/>
      <c r="M13" s="28" t="n"/>
      <c r="N13" s="28" t="n"/>
    </row>
    <row r="14" ht="39" customHeight="1" s="132">
      <c r="A14" s="116" t="n"/>
      <c r="B14" s="117" t="n"/>
      <c r="C14" s="118" t="n">
        <v>1</v>
      </c>
      <c r="D14" s="118" t="inlineStr">
        <is>
          <t>Call DeselectJoiningProcess(ProductInstanceUri) without prior selection.</t>
        </is>
      </c>
      <c r="E14" s="118" t="inlineStr">
        <is>
          <t>Server claims this Conformance Unit; no additional runtime setup is needed for this step.</t>
        </is>
      </c>
      <c r="F14" s="118" t="inlineStr">
        <is>
          <t>Call Service returns Good; method result code is Uncertain when the requested state transition is not accepted. Status output is 1 (generic not OK/application state). StatusMessage explains the state precondition; no unintended state change is performed.</t>
        </is>
      </c>
      <c r="G14" s="118" t="inlineStr">
        <is>
          <t>Good</t>
        </is>
      </c>
      <c r="H14" s="118" t="inlineStr">
        <is>
          <t>Uncertain; Status=1 output with StatusMessage</t>
        </is>
      </c>
      <c r="I14" s="118" t="n"/>
      <c r="J14" s="118" t="inlineStr">
        <is>
          <t>OPC 40450-1 Section 11.1 CU-92</t>
        </is>
      </c>
      <c r="K14" s="119" t="inlineStr">
        <is>
          <t>Requirement source: OPC 40450-1 Section 9.16 - Idempotent or error.</t>
        </is>
      </c>
      <c r="L14" s="27" t="n"/>
      <c r="M14" s="28" t="n"/>
      <c r="N14" s="28" t="n"/>
    </row>
    <row r="15" ht="26.1" customHeight="1" s="132">
      <c r="A15" s="112" t="inlineStr">
        <is>
          <t>n</t>
        </is>
      </c>
      <c r="B15" s="113" t="n">
        <v>4</v>
      </c>
      <c r="C15" s="114" t="n">
        <v>0</v>
      </c>
      <c r="D15" s="114" t="inlineStr">
        <is>
          <t>Optional cross-CU check: DeselectJoiningProcess event consistency</t>
        </is>
      </c>
      <c r="E15" s="114" t="n"/>
      <c r="F15" s="114" t="n"/>
      <c r="G15" s="114" t="n"/>
      <c r="H15" s="114" t="n"/>
      <c r="I15" s="114" t="inlineStr">
        <is>
          <t>n</t>
        </is>
      </c>
      <c r="J15" s="114" t="inlineStr">
        <is>
          <t>OPC 40450-1 Section 11.1 CU-92</t>
        </is>
      </c>
      <c r="K15" s="115" t="n"/>
      <c r="L15" s="27" t="n"/>
      <c r="M15" s="28" t="n"/>
      <c r="N15" s="28" t="n"/>
    </row>
    <row r="16">
      <c r="A16" s="116" t="n"/>
      <c r="B16" s="117" t="n"/>
      <c r="C16" s="118" t="n">
        <v>1</v>
      </c>
      <c r="D16" s="118" t="inlineStr">
        <is>
          <t>Select process. Subscribe events. Call DeselectJoiningProcess(ProductInstanceUri).</t>
        </is>
      </c>
      <c r="E16" s="118" t="inlineStr">
        <is>
          <t>Server claims this Conformance Unit; no additional runtime setup is needed for this step.</t>
        </is>
      </c>
      <c r="F16" s="118" t="inlineStr">
        <is>
          <t>If the server also supports the relevant event/monitoring CU, subscribe to joining-system events and treat any deselection-related event as an optional cross-CU consistency check. Do not require this event as evidence for the DeselectJoiningProcess method CU alone.</t>
        </is>
      </c>
      <c r="G16" s="118" t="inlineStr">
        <is>
          <t>Good</t>
        </is>
      </c>
      <c r="H16" s="118" t="inlineStr">
        <is>
          <t>Optional cross-CU consistency evidence only</t>
        </is>
      </c>
      <c r="I16" s="118" t="n"/>
      <c r="J16" s="118" t="inlineStr">
        <is>
          <t>OPC 40450-1 Section 11.1 CU-92</t>
        </is>
      </c>
      <c r="K16" s="119" t="inlineStr">
        <is>
          <t>Optional cross-CU event consistency check only</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99.xml><?xml version="1.0" encoding="utf-8"?>
<worksheet xmlns="http://schemas.openxmlformats.org/spreadsheetml/2006/main">
  <sheetPr codeName="Sheet8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CU-93: Reset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CU-93 — Reset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ResetJoiningProcess is found in MethodSet with Executable=True</t>
        </is>
      </c>
      <c r="E4" s="58" t="n"/>
      <c r="F4" s="58" t="n"/>
      <c r="G4" s="58" t="n"/>
      <c r="H4" s="58" t="n"/>
      <c r="I4" s="58" t="inlineStr">
        <is>
          <t>n</t>
        </is>
      </c>
      <c r="J4" s="58" t="inlineStr">
        <is>
          <t>OPC 40450-1 Section 11.1 CU-93</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ResetJoiningProcess method node. Read Executable attribute.</t>
        </is>
      </c>
      <c r="E5" s="89" t="inlineStr">
        <is>
          <t>OPC UA session. JoiningProcessManagement node accessible.</t>
        </is>
      </c>
      <c r="F5" s="89" t="inlineStr">
        <is>
          <t>ResetJoiningProcess method node is found. Executable = True. UserExecutable = True.</t>
        </is>
      </c>
      <c r="G5" s="89" t="inlineStr">
        <is>
          <t>Good</t>
        </is>
      </c>
      <c r="H5" s="89" t="inlineStr">
        <is>
          <t>ResetJoiningProcess found; Executable=True</t>
        </is>
      </c>
      <c r="I5" s="89" t="n"/>
      <c r="J5" s="89" t="inlineStr">
        <is>
          <t>OPC 40450-1 Section 11.1 CU-93</t>
        </is>
      </c>
      <c r="K5" s="90" t="n"/>
      <c r="L5" s="27" t="n"/>
      <c r="M5" s="28" t="n"/>
      <c r="N5" s="28" t="n"/>
    </row>
    <row r="6" ht="26.1" customHeight="1" s="132">
      <c r="A6" s="56" t="inlineStr">
        <is>
          <t>y</t>
        </is>
      </c>
      <c r="B6" s="57" t="n">
        <v>2</v>
      </c>
      <c r="C6" s="58" t="n">
        <v>0</v>
      </c>
      <c r="D6" s="58" t="inlineStr">
        <is>
          <t>Verify ResetJoiningProcess returns Good and resets controller/process state</t>
        </is>
      </c>
      <c r="E6" s="58" t="n"/>
      <c r="F6" s="58" t="n"/>
      <c r="G6" s="58" t="n"/>
      <c r="H6" s="58" t="n"/>
      <c r="I6" s="58" t="inlineStr">
        <is>
          <t>n</t>
        </is>
      </c>
      <c r="J6" s="58" t="inlineStr">
        <is>
          <t>OPC 40450-1 Section 11.1 CU-93</t>
        </is>
      </c>
      <c r="K6" s="74" t="n"/>
      <c r="L6" s="27" t="n"/>
      <c r="M6" s="28" t="n"/>
      <c r="N6" s="28" t="n"/>
    </row>
    <row r="7" ht="39" customHeight="1" s="132">
      <c r="A7" s="87" t="n"/>
      <c r="B7" s="88" t="n"/>
      <c r="C7" s="89" t="n">
        <v>1</v>
      </c>
      <c r="D7" s="89" t="inlineStr">
        <is>
          <t>Call ResetJoiningProcess(ProductInstanceUri, JoiningProcessIdentification). Verify the controller and/or process state is reset.</t>
        </is>
      </c>
      <c r="E7" s="89" t="inlineStr">
        <is>
          <t>OPC UA session. ResetJoiningProcess Executable=True. Controller in a state that can be reset.</t>
        </is>
      </c>
      <c r="F7" s="89" t="inlineStr">
        <is>
          <t>ResetJoiningProcess returns Good. Controller state is reset (e.g., error flags cleared, step counter reset, BatchCounters reset if applicable). Server is ready to accept a new joining process selection.</t>
        </is>
      </c>
      <c r="G7" s="89" t="inlineStr">
        <is>
          <t>Good</t>
        </is>
      </c>
      <c r="H7" s="89" t="inlineStr">
        <is>
          <t>Good returned; controller/process state confirmed reset</t>
        </is>
      </c>
      <c r="I7" s="89" t="n"/>
      <c r="J7" s="89" t="inlineStr">
        <is>
          <t>OPC 40450-1 Section 11.1 CU-93</t>
        </is>
      </c>
      <c r="K7" s="90" t="n"/>
      <c r="L7" s="27" t="n"/>
      <c r="M7" s="28" t="n"/>
      <c r="N7" s="28" t="n"/>
    </row>
    <row r="8" ht="39" customHeight="1" s="132">
      <c r="A8" s="56" t="inlineStr">
        <is>
          <t>y</t>
        </is>
      </c>
      <c r="B8" s="57" t="n">
        <v>3</v>
      </c>
      <c r="C8" s="58" t="n">
        <v>0</v>
      </c>
      <c r="D8" s="58" t="inlineStr">
        <is>
          <t>Verify batch counters are reset after ResetJoiningProcess (if applicable)</t>
        </is>
      </c>
      <c r="E8" s="58" t="n"/>
      <c r="F8" s="58" t="n"/>
      <c r="G8" s="58" t="n"/>
      <c r="H8" s="58" t="n"/>
      <c r="I8" s="58" t="inlineStr">
        <is>
          <t>n</t>
        </is>
      </c>
      <c r="J8" s="58" t="inlineStr">
        <is>
          <t>OPC 40450-1 Section 11.1 CU-93</t>
        </is>
      </c>
      <c r="K8" s="74" t="n"/>
      <c r="L8" s="27" t="n"/>
      <c r="M8" s="28" t="n"/>
      <c r="N8" s="28" t="n"/>
    </row>
    <row r="9" ht="51.6" customHeight="1" s="132">
      <c r="A9" s="87" t="n"/>
      <c r="B9" s="88" t="n"/>
      <c r="C9" s="89" t="n">
        <v>1</v>
      </c>
      <c r="D9" s="89" t="inlineStr">
        <is>
          <t>Read batch counter values before calling ResetJoiningProcess(ProductInstanceUri, JoiningProcessIdentification). Call the method. Read batch counter values again.</t>
        </is>
      </c>
      <c r="E9" s="89" t="inlineStr">
        <is>
          <t>OPC UA session. Batch counters accessible. ResetJoiningProcess Executable=True.</t>
        </is>
      </c>
      <c r="F9" s="89" t="inlineStr">
        <is>
          <t>Batch counter values are reset to 0 (or initial value) after ResetJoiningProcess. If the selected process has no batch counters, record that this counter-specific check does not apply to that process.</t>
        </is>
      </c>
      <c r="G9" s="89" t="inlineStr">
        <is>
          <t>Good</t>
        </is>
      </c>
      <c r="H9" s="89" t="inlineStr">
        <is>
          <t>Batch counters reset to 0 after ResetJoiningProcess; or counter-specific check recorded separately for a non-batch process</t>
        </is>
      </c>
      <c r="I9" s="89" t="n"/>
      <c r="J9" s="89" t="inlineStr">
        <is>
          <t>OPC 40450-1 Section 11.1 CU-93</t>
        </is>
      </c>
      <c r="K9" s="90" t="n"/>
      <c r="L9" s="27" t="n"/>
      <c r="M9" s="28" t="n"/>
      <c r="N9" s="28" t="n"/>
    </row>
    <row r="10" ht="39" customHeight="1" s="132">
      <c r="A10" s="56" t="inlineStr">
        <is>
          <t>y</t>
        </is>
      </c>
      <c r="B10" s="57" t="n">
        <v>5</v>
      </c>
      <c r="C10" s="58" t="n">
        <v>0</v>
      </c>
      <c r="D10" s="58" t="inlineStr">
        <is>
          <t>Verify ResetJoiningProcess behavior during active joining (abort or error)</t>
        </is>
      </c>
      <c r="E10" s="58" t="n"/>
      <c r="F10" s="58" t="n"/>
      <c r="G10" s="58" t="n"/>
      <c r="H10" s="58" t="n"/>
      <c r="I10" s="58" t="inlineStr">
        <is>
          <t>n</t>
        </is>
      </c>
      <c r="J10" s="58" t="inlineStr">
        <is>
          <t>OPC 40450-1 Section 11.1 CU-93</t>
        </is>
      </c>
      <c r="K10" s="74" t="n"/>
      <c r="L10" s="27" t="n"/>
      <c r="M10" s="28" t="n"/>
      <c r="N10" s="28" t="n"/>
    </row>
    <row r="11" ht="26.1" customHeight="1" s="132">
      <c r="A11" s="87" t="n"/>
      <c r="B11" s="88" t="n"/>
      <c r="C11" s="89" t="n">
        <v>1</v>
      </c>
      <c r="D11" s="89" t="inlineStr">
        <is>
          <t>Start a joining process. While process is active, call ResetJoiningProcess(ProductInstanceUri, JoiningProcessIdentification).</t>
        </is>
      </c>
      <c r="E11" s="89" t="inlineStr">
        <is>
          <t>OPC UA session. Joining process actively running.</t>
        </is>
      </c>
      <c r="F11" s="89" t="inlineStr">
        <is>
          <t>Call Service returns Good; method result code is Uncertain when the requested state transition is not accepted. Status output is 1 (generic not OK/application state). StatusMessage explains the state precondition; no unintended state change is performed.</t>
        </is>
      </c>
      <c r="G11" s="89" t="inlineStr">
        <is>
          <t>Good</t>
        </is>
      </c>
      <c r="H11" s="89" t="inlineStr">
        <is>
          <t>Uncertain; Status=1 output with StatusMessage</t>
        </is>
      </c>
      <c r="I11" s="89" t="n"/>
      <c r="J11" s="89" t="inlineStr">
        <is>
          <t>OPC 40450-1 Section 11.1 CU-93</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Uncertain with Status=2 on ResetJoiningProcess with invalid ProductInstanceUri</t>
        </is>
      </c>
      <c r="E13" s="97" t="n"/>
      <c r="F13" s="97" t="n"/>
      <c r="G13" s="97" t="n"/>
      <c r="H13" s="97" t="n"/>
      <c r="I13" s="97" t="inlineStr">
        <is>
          <t>n</t>
        </is>
      </c>
      <c r="J13" s="97" t="inlineStr">
        <is>
          <t>OPC 40450-1 Section 11.1 CU-93</t>
        </is>
      </c>
      <c r="K13" s="98" t="inlineStr">
        <is>
          <t>CTT=n: requires testing invalid input</t>
        </is>
      </c>
      <c r="L13" s="27" t="n"/>
      <c r="M13" s="28" t="n"/>
      <c r="N13" s="28" t="n"/>
    </row>
    <row r="14" ht="39" customHeight="1" s="132">
      <c r="A14" s="87" t="n"/>
      <c r="B14" s="88" t="n"/>
      <c r="C14" s="89" t="n">
        <v>1</v>
      </c>
      <c r="D14" s="89" t="inlineStr">
        <is>
          <t>Call ResetJoiningProcess with an invalid ProductInstanceUri and a valid JoiningProcessIdentification.</t>
        </is>
      </c>
      <c r="E14" s="89" t="inlineStr">
        <is>
          <t>OPC UA session. ResetJoiningProcess Executable=True.</t>
        </is>
      </c>
      <c r="F14" s="89" t="inlineStr">
        <is>
          <t>Call Service returns Good; method result code is Uncertain. Status output is 2 (ProductInstanceUri not found). StatusMessage explains the rejected input; no state change is performed.</t>
        </is>
      </c>
      <c r="G14" s="89" t="inlineStr">
        <is>
          <t>Good</t>
        </is>
      </c>
      <c r="H14" s="89" t="inlineStr">
        <is>
          <t>Uncertain; Status=2 output with StatusMessage</t>
        </is>
      </c>
      <c r="I14" s="89" t="n"/>
      <c r="J14" s="89" t="inlineStr">
        <is>
          <t>OPC 40450-1 Section 11.1 CU-93</t>
        </is>
      </c>
      <c r="K14" s="90" t="n"/>
      <c r="L14" s="27" t="n"/>
      <c r="M14" s="28" t="n"/>
      <c r="N14" s="28" t="n"/>
    </row>
    <row r="15" ht="26.1" customHeight="1" s="132">
      <c r="A15" s="112" t="inlineStr">
        <is>
          <t>n</t>
        </is>
      </c>
      <c r="B15" s="113" t="n">
        <v>2</v>
      </c>
      <c r="C15" s="114" t="n">
        <v>0</v>
      </c>
      <c r="D15" s="114" t="inlineStr">
        <is>
          <t>Call ResetJoiningProcess when no process selected</t>
        </is>
      </c>
      <c r="E15" s="114" t="n"/>
      <c r="F15" s="114" t="n"/>
      <c r="G15" s="114" t="n"/>
      <c r="H15" s="114" t="n"/>
      <c r="I15" s="114" t="inlineStr">
        <is>
          <t>n</t>
        </is>
      </c>
      <c r="J15" s="114" t="inlineStr">
        <is>
          <t>OPC 40450-1 Section 11.1 CU-93</t>
        </is>
      </c>
      <c r="K15" s="115" t="n"/>
      <c r="L15" s="27" t="n"/>
      <c r="M15" s="28" t="n"/>
      <c r="N15" s="28" t="n"/>
    </row>
    <row r="16">
      <c r="A16" s="116" t="n"/>
      <c r="B16" s="117" t="n"/>
      <c r="C16" s="118" t="n">
        <v>1</v>
      </c>
      <c r="D16" s="118" t="inlineStr">
        <is>
          <t>Call ResetJoiningProcess(ProductInstanceUri, JoiningProcessIdentification) without a selected/running process.</t>
        </is>
      </c>
      <c r="E16" s="118" t="inlineStr">
        <is>
          <t>Server claims this Conformance Unit; no additional runtime setup is needed for this step.</t>
        </is>
      </c>
      <c r="F16" s="118" t="inlineStr">
        <is>
          <t>Call Service returns Good; method result code is Uncertain when the requested state transition is not accepted. Status output is 1 (generic not OK/application state). StatusMessage explains the state precondition; no unintended state change is performed.</t>
        </is>
      </c>
      <c r="G16" s="118" t="inlineStr">
        <is>
          <t>Good</t>
        </is>
      </c>
      <c r="H16" s="118" t="inlineStr">
        <is>
          <t>Uncertain; Status=1 output with StatusMessage</t>
        </is>
      </c>
      <c r="I16" s="118" t="n"/>
      <c r="J16" s="118" t="inlineStr">
        <is>
          <t>OPC 40450-1 Section 11.1 CU-93</t>
        </is>
      </c>
      <c r="K16" s="119" t="inlineStr">
        <is>
          <t>Requirement source: OPC 40450-1 Section 9.17 - Nothing to reset.</t>
        </is>
      </c>
      <c r="L16" s="27" t="n"/>
      <c r="M16" s="28" t="n"/>
      <c r="N16" s="28" t="n"/>
    </row>
    <row r="17">
      <c r="A17" s="112" t="inlineStr">
        <is>
          <t>n</t>
        </is>
      </c>
      <c r="B17" s="113" t="n">
        <v>3</v>
      </c>
      <c r="C17" s="114" t="n">
        <v>0</v>
      </c>
      <c r="D17" s="114" t="inlineStr">
        <is>
          <t>Call ResetJoiningProcess while operation in progress</t>
        </is>
      </c>
      <c r="E17" s="114" t="n"/>
      <c r="F17" s="114" t="n"/>
      <c r="G17" s="114" t="n"/>
      <c r="H17" s="114" t="n"/>
      <c r="I17" s="114" t="inlineStr">
        <is>
          <t>n</t>
        </is>
      </c>
      <c r="J17" s="114" t="inlineStr">
        <is>
          <t>OPC 40450-1 Section 11.1 CU-93</t>
        </is>
      </c>
      <c r="K17" s="115" t="n"/>
      <c r="L17" s="27" t="n"/>
      <c r="M17" s="28" t="n"/>
      <c r="N17" s="28" t="n"/>
    </row>
    <row r="18">
      <c r="A18" s="116" t="n"/>
      <c r="B18" s="117" t="n"/>
      <c r="C18" s="118" t="n">
        <v>1</v>
      </c>
      <c r="D18" s="118" t="inlineStr">
        <is>
          <t>Start operation. Call ResetJoiningProcess(ProductInstanceUri, JoiningProcessIdentification).</t>
        </is>
      </c>
      <c r="E18" s="118" t="inlineStr">
        <is>
          <t>Server claims this Conformance Unit; no additional runtime setup is needed for this step.</t>
        </is>
      </c>
      <c r="F18" s="118" t="inlineStr">
        <is>
          <t>Call Service returns Good; method result code is Uncertain when the requested state transition is not accepted. Status output is 1 (generic not OK/application state). StatusMessage explains the state precondition; no unintended state change is performed.</t>
        </is>
      </c>
      <c r="G18" s="118" t="inlineStr">
        <is>
          <t>Good</t>
        </is>
      </c>
      <c r="H18" s="118" t="inlineStr">
        <is>
          <t>Uncertain; Status=1 output with StatusMessage</t>
        </is>
      </c>
      <c r="I18" s="118" t="n"/>
      <c r="J18" s="118" t="inlineStr">
        <is>
          <t>OPC 40450-1 Section 11.1 CU-93</t>
        </is>
      </c>
      <c r="K18" s="119" t="inlineStr">
        <is>
          <t>Requirement source: OPC 40450-1 Section 9.17 - Cannot reset during active.</t>
        </is>
      </c>
    </row>
    <row r="19" customFormat="1" s="138">
      <c r="A19" s="112" t="inlineStr">
        <is>
          <t>n</t>
        </is>
      </c>
      <c r="B19" s="110" t="n">
        <v>4</v>
      </c>
      <c r="C19" s="110" t="n">
        <v>0</v>
      </c>
      <c r="D19" s="110" t="inlineStr">
        <is>
          <t>Verify ResetJoiningProcess clears partial results and counters</t>
        </is>
      </c>
      <c r="E19" s="110" t="n"/>
      <c r="F19" s="110" t="n"/>
      <c r="G19" s="110" t="n"/>
      <c r="H19" s="110" t="n"/>
      <c r="I19" s="110" t="inlineStr">
        <is>
          <t>n</t>
        </is>
      </c>
      <c r="J19" s="110" t="inlineStr">
        <is>
          <t>OPC 40450-1 Section 11.1 CU-93</t>
        </is>
      </c>
      <c r="K19" s="115" t="n"/>
    </row>
    <row r="20">
      <c r="A20" s="120" t="n"/>
      <c r="B20" s="121" t="n"/>
      <c r="C20" s="122" t="n">
        <v>1</v>
      </c>
      <c r="D20" s="122" t="inlineStr">
        <is>
          <t>Call ResetJoiningProcess(ProductInstanceUri, JoiningProcessIdentification). Check counters.</t>
        </is>
      </c>
      <c r="E20" s="122" t="inlineStr">
        <is>
          <t>Server claims this Conformance Unit; no additional runtime setup is needed for this step.</t>
        </is>
      </c>
      <c r="F20" s="122" t="inlineStr">
        <is>
          <t>Counters reset to 0.</t>
        </is>
      </c>
      <c r="G20" s="122" t="inlineStr">
        <is>
          <t>Good</t>
        </is>
      </c>
      <c r="H20" s="122" t="n"/>
      <c r="I20" s="122" t="n"/>
      <c r="J20" s="122" t="inlineStr">
        <is>
          <t>OPC 40450-1 Section 11.1 CU-93</t>
        </is>
      </c>
      <c r="K20" s="123" t="inlineStr">
        <is>
          <t>Requirement source: OPC 40450-1 Section 9.17 - Reset clears state.</t>
        </is>
      </c>
    </row>
  </sheetData>
  <mergeCells count="2">
    <mergeCell ref="A1:K1"/>
    <mergeCell ref="C2:J2"/>
  </mergeCells>
  <pageMargins left="0.7" right="0.7" top="0.75" bottom="0.75" header="0.3" footer="0.3"/>
</worksheet>
</file>

<file path=xl/worksheets/sheet100.xml><?xml version="1.0" encoding="utf-8"?>
<worksheet xmlns="http://schemas.openxmlformats.org/spreadsheetml/2006/main">
  <sheetPr codeName="Sheet8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CU-94: I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CU-94 — I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IncrementJoiningProcessCounter found in MethodSet with Executable=True</t>
        </is>
      </c>
      <c r="E4" s="58" t="n"/>
      <c r="F4" s="58" t="n"/>
      <c r="G4" s="58" t="n"/>
      <c r="H4" s="58" t="n"/>
      <c r="I4" s="58" t="inlineStr">
        <is>
          <t>n</t>
        </is>
      </c>
      <c r="J4" s="58" t="inlineStr">
        <is>
          <t>OPC 40450-1 Section 11.1 CU-94</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IncrementJoiningProcessCounter method. Read Executable attribute.</t>
        </is>
      </c>
      <c r="E5" s="89" t="inlineStr">
        <is>
          <t>OPC UA session. JoiningProcessManagement node accessible.</t>
        </is>
      </c>
      <c r="F5" s="89" t="inlineStr">
        <is>
          <t>IncrementJoiningProcessCounter method node is found. Executable = True. UserExecutable = True.</t>
        </is>
      </c>
      <c r="G5" s="89" t="inlineStr">
        <is>
          <t>Good</t>
        </is>
      </c>
      <c r="H5" s="89" t="inlineStr">
        <is>
          <t>IncrementJoiningProcessCounter found; Executable=True</t>
        </is>
      </c>
      <c r="I5" s="89" t="n"/>
      <c r="J5" s="89" t="inlineStr">
        <is>
          <t>OPC 40450-1 Section 11.1 CU-94</t>
        </is>
      </c>
      <c r="K5" s="90" t="n"/>
      <c r="L5" s="27" t="n"/>
      <c r="M5" s="28" t="n"/>
      <c r="N5" s="28" t="n"/>
    </row>
    <row r="6" ht="39" customHeight="1" s="132">
      <c r="A6" s="56" t="inlineStr">
        <is>
          <t>y</t>
        </is>
      </c>
      <c r="B6" s="57" t="n">
        <v>2</v>
      </c>
      <c r="C6" s="58" t="n">
        <v>0</v>
      </c>
      <c r="D6" s="58" t="inlineStr">
        <is>
          <t>Verify counter increments by +1 after IncrementJoiningProcessCounter call</t>
        </is>
      </c>
      <c r="E6" s="58" t="n"/>
      <c r="F6" s="58" t="n"/>
      <c r="G6" s="58" t="n"/>
      <c r="H6" s="58" t="n"/>
      <c r="I6" s="58" t="inlineStr">
        <is>
          <t>n</t>
        </is>
      </c>
      <c r="J6" s="58" t="inlineStr">
        <is>
          <t>OPC 40450-1 Section 11.1 CU-94</t>
        </is>
      </c>
      <c r="K6" s="74" t="n"/>
      <c r="L6" s="27" t="n"/>
      <c r="M6" s="28" t="n"/>
      <c r="N6" s="28" t="n"/>
    </row>
    <row r="7" ht="51.9" customHeight="1" s="132">
      <c r="A7" s="87" t="n"/>
      <c r="B7" s="88" t="n"/>
      <c r="C7" s="89" t="n">
        <v>1</v>
      </c>
      <c r="D7" s="89" t="inlineStr">
        <is>
          <t>Read the current joining process counter value. Call IncrementJoiningProcessCounter(ProductInstanceUri, JoiningProcessIdentification, IncrementCount=1). Read the counter value again.</t>
        </is>
      </c>
      <c r="E7" s="89" t="inlineStr">
        <is>
          <t>OPC UA session. IncrementJoiningProcessCounter Executable=True. Counter node readable. Valid JoiningProcessIdentification available for the process under test.</t>
        </is>
      </c>
      <c r="F7" s="89" t="inlineStr">
        <is>
          <t>Counter value after call = counter value before call + 1. IncrementJoiningProcessCounter returns Good.</t>
        </is>
      </c>
      <c r="G7" s="89" t="inlineStr">
        <is>
          <t>Good</t>
        </is>
      </c>
      <c r="H7" s="89" t="inlineStr">
        <is>
          <t>Counter value incremented by exactly 1; Good returned</t>
        </is>
      </c>
      <c r="I7" s="89" t="n"/>
      <c r="J7" s="89" t="inlineStr">
        <is>
          <t>OPC 40450-1 Section 11.1 CU-94</t>
        </is>
      </c>
      <c r="K7" s="90" t="n"/>
      <c r="L7" s="27" t="n"/>
      <c r="M7" s="28" t="n"/>
      <c r="N7" s="28" t="n"/>
    </row>
    <row r="8" ht="39" customHeight="1" s="132">
      <c r="A8" s="56" t="inlineStr">
        <is>
          <t>y</t>
        </is>
      </c>
      <c r="B8" s="57" t="n">
        <v>3</v>
      </c>
      <c r="C8" s="58" t="n">
        <v>0</v>
      </c>
      <c r="D8" s="58" t="inlineStr">
        <is>
          <t>Verify counter increments correctly on multiple sequential calls</t>
        </is>
      </c>
      <c r="E8" s="58" t="n"/>
      <c r="F8" s="58" t="n"/>
      <c r="G8" s="58" t="n"/>
      <c r="H8" s="58" t="n"/>
      <c r="I8" s="58" t="inlineStr">
        <is>
          <t>n</t>
        </is>
      </c>
      <c r="J8" s="58" t="inlineStr">
        <is>
          <t>OPC 40450-1 Section 11.1 CU-94</t>
        </is>
      </c>
      <c r="K8" s="74" t="n"/>
      <c r="L8" s="27" t="n"/>
      <c r="M8" s="28" t="n"/>
      <c r="N8" s="28" t="n"/>
    </row>
    <row r="9" ht="38.7" customHeight="1" s="132">
      <c r="A9" s="87" t="n"/>
      <c r="B9" s="88" t="n"/>
      <c r="C9" s="89" t="n">
        <v>1</v>
      </c>
      <c r="D9" s="89" t="inlineStr">
        <is>
          <t>Call IncrementJoiningProcessCounter(ProductInstanceUri, JoiningProcessIdentification, IncrementCount=1) five times in sequence. Read the counter value after each call.</t>
        </is>
      </c>
      <c r="E9" s="89" t="inlineStr">
        <is>
          <t>OPC UA session. Counter readable. Initial counter value known.</t>
        </is>
      </c>
      <c r="F9" s="89" t="inlineStr">
        <is>
          <t>Counter increments by 1 with each call. After 5 calls, counter = initial value + 5. All calls return Good.</t>
        </is>
      </c>
      <c r="G9" s="89" t="inlineStr">
        <is>
          <t>Good</t>
        </is>
      </c>
      <c r="H9" s="89" t="inlineStr">
        <is>
          <t>Counter increases by 1 per call; after 5 calls counter = initial + 5</t>
        </is>
      </c>
      <c r="I9" s="89" t="n"/>
      <c r="J9" s="89" t="inlineStr">
        <is>
          <t>OPC 40450-1 Section 11.1 CU-94</t>
        </is>
      </c>
      <c r="K9" s="90" t="n"/>
      <c r="L9" s="27" t="n"/>
      <c r="M9" s="28" t="n"/>
      <c r="N9" s="28" t="n"/>
    </row>
    <row r="10" ht="51.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Uncertain with Status=2 on IncrementJoiningProcessCounter with invalid ProductInstanceUri</t>
        </is>
      </c>
      <c r="E11" s="97" t="n"/>
      <c r="F11" s="97" t="n"/>
      <c r="G11" s="97" t="n"/>
      <c r="H11" s="97" t="n"/>
      <c r="I11" s="97" t="inlineStr">
        <is>
          <t>n</t>
        </is>
      </c>
      <c r="J11" s="97" t="inlineStr">
        <is>
          <t>OPC 40450-1 Section 11.1 CU-94</t>
        </is>
      </c>
      <c r="K11" s="98" t="inlineStr">
        <is>
          <t>CTT=n: requires testing invalid argument</t>
        </is>
      </c>
      <c r="L11" s="27" t="n"/>
      <c r="M11" s="28" t="n"/>
      <c r="N11" s="28" t="n"/>
    </row>
    <row r="12" ht="38.7" customHeight="1" s="132">
      <c r="A12" s="87" t="n"/>
      <c r="B12" s="88" t="n"/>
      <c r="C12" s="89" t="n">
        <v>1</v>
      </c>
      <c r="D12" s="89" t="inlineStr">
        <is>
          <t>Call IncrementJoiningProcessCounter(invalid ProductInstanceUri, JoiningProcessIdentification, IncrementCount=1).</t>
        </is>
      </c>
      <c r="E12" s="89" t="inlineStr">
        <is>
          <t>OPC UA session. IncrementJoiningProcessCounter Executable=True.</t>
        </is>
      </c>
      <c r="F12" s="89" t="inlineStr">
        <is>
          <t>Call Service returns Good; method result code is Uncertain. Status output is 2 (ProductInstanceUri not found). StatusMessage explains the rejected input; no state change is performed.</t>
        </is>
      </c>
      <c r="G12" s="89" t="inlineStr">
        <is>
          <t>Good</t>
        </is>
      </c>
      <c r="H12" s="89" t="inlineStr">
        <is>
          <t>Uncertain; Status=2 output with StatusMessage</t>
        </is>
      </c>
      <c r="I12" s="89" t="n"/>
      <c r="J12" s="89" t="inlineStr">
        <is>
          <t>OPC 40450-1 Section 11.1 CU-94</t>
        </is>
      </c>
      <c r="K12" s="90" t="n"/>
      <c r="L12" s="27" t="n"/>
      <c r="M12" s="28" t="n"/>
      <c r="N12" s="28" t="n"/>
    </row>
    <row r="13" ht="25.8" customHeight="1" s="132">
      <c r="A13" s="95" t="inlineStr">
        <is>
          <t>n</t>
        </is>
      </c>
      <c r="B13" s="96" t="n">
        <v>2</v>
      </c>
      <c r="C13" s="97" t="n">
        <v>0</v>
      </c>
      <c r="D13" s="97" t="inlineStr">
        <is>
          <t>Verify Good or counter wrap on IncrementJoiningProcessCounter at maximum value</t>
        </is>
      </c>
      <c r="E13" s="97" t="n"/>
      <c r="F13" s="97" t="n"/>
      <c r="G13" s="97" t="n"/>
      <c r="H13" s="97" t="n"/>
      <c r="I13" s="97" t="inlineStr">
        <is>
          <t>n</t>
        </is>
      </c>
      <c r="J13" s="97" t="inlineStr">
        <is>
          <t>OPC 40450-1 Section 11.1 CU-94</t>
        </is>
      </c>
      <c r="K13" s="98" t="inlineStr">
        <is>
          <t>CTT=n: requires setting counter to max value and testing overflow behavior</t>
        </is>
      </c>
      <c r="L13" s="27" t="n"/>
      <c r="M13" s="28" t="n"/>
      <c r="N13" s="28" t="n"/>
    </row>
    <row r="14" ht="39" customHeight="1" s="132">
      <c r="A14" s="87" t="n"/>
      <c r="B14" s="88" t="n"/>
      <c r="C14" s="89" t="n">
        <v>1</v>
      </c>
      <c r="D14" s="89" t="inlineStr">
        <is>
          <t>Set or observe the joining process counter at its maximum value. Call IncrementJoiningProcessCounter(ProductInstanceUri, JoiningProcessIdentification, IncrementCount=1).</t>
        </is>
      </c>
      <c r="E14" s="89" t="inlineStr">
        <is>
          <t>OPC UA session. Counter at or near maximum value.</t>
        </is>
      </c>
      <c r="F14" s="89" t="inlineStr">
        <is>
          <t>Call Service returns Good; method result code is Uncertain. Status output is 5 (invalid input). StatusMessage explains the rejected input; no state change is performed.</t>
        </is>
      </c>
      <c r="G14" s="89" t="inlineStr">
        <is>
          <t>Good</t>
        </is>
      </c>
      <c r="H14" s="89" t="inlineStr">
        <is>
          <t>Uncertain; Status=5 output with StatusMessage</t>
        </is>
      </c>
      <c r="I14" s="89" t="n"/>
      <c r="J14" s="89" t="inlineStr">
        <is>
          <t>OPC 40450-1 Section 11.1 CU-94</t>
        </is>
      </c>
      <c r="K14" s="90" t="n"/>
      <c r="L14" s="27" t="n"/>
      <c r="M14" s="28" t="n"/>
      <c r="N14" s="28" t="n"/>
    </row>
    <row r="15" ht="26.1" customHeight="1" s="132">
      <c r="A15" s="112" t="inlineStr">
        <is>
          <t>n</t>
        </is>
      </c>
      <c r="B15" s="113" t="n">
        <v>3</v>
      </c>
      <c r="C15" s="114" t="n">
        <v>0</v>
      </c>
      <c r="D15" s="114" t="inlineStr">
        <is>
          <t>Call IncrementJoiningProcessCounter at configured maximum</t>
        </is>
      </c>
      <c r="E15" s="114" t="n"/>
      <c r="F15" s="114" t="n"/>
      <c r="G15" s="114" t="n"/>
      <c r="H15" s="114" t="n"/>
      <c r="I15" s="114" t="inlineStr">
        <is>
          <t>n</t>
        </is>
      </c>
      <c r="J15" s="114" t="inlineStr">
        <is>
          <t>OPC 40450-1 Section 11.1 CU-94</t>
        </is>
      </c>
      <c r="K15" s="115" t="n"/>
      <c r="L15" s="27" t="n"/>
      <c r="M15" s="28" t="n"/>
      <c r="N15" s="28" t="n"/>
    </row>
    <row r="16">
      <c r="A16" s="116" t="n"/>
      <c r="B16" s="117" t="n"/>
      <c r="C16" s="118" t="n">
        <v>1</v>
      </c>
      <c r="D16" s="118" t="inlineStr">
        <is>
          <t>Set counter to max. Call IncrementJoiningProcessCounter(ProductInstanceUri, JoiningProcessIdentification, IncrementCount=1).</t>
        </is>
      </c>
      <c r="E16" s="118" t="inlineStr">
        <is>
          <t>Server claims this Conformance Unit; no additional runtime setup is needed for this step.</t>
        </is>
      </c>
      <c r="F16" s="118" t="inlineStr">
        <is>
          <t>Call Service returns Good; method result code is Uncertain. Status output is 5 (invalid input). StatusMessage explains the rejected input; no state change is performed.</t>
        </is>
      </c>
      <c r="G16" s="118" t="inlineStr">
        <is>
          <t>Good</t>
        </is>
      </c>
      <c r="H16" s="118" t="inlineStr">
        <is>
          <t>Uncertain; Status=5 output with StatusMessage</t>
        </is>
      </c>
      <c r="I16" s="118" t="n"/>
      <c r="J16" s="118" t="inlineStr">
        <is>
          <t>OPC 40450-1 Section 11.1 CU-94</t>
        </is>
      </c>
      <c r="K16" s="119" t="inlineStr">
        <is>
          <t>Requirement source: OPC 40450-1 Section 9.18 - Overflow handling.</t>
        </is>
      </c>
      <c r="L16" s="27" t="n"/>
      <c r="M16" s="28" t="n"/>
      <c r="N16" s="28" t="n"/>
    </row>
    <row r="17">
      <c r="A17" s="112" t="inlineStr">
        <is>
          <t>n</t>
        </is>
      </c>
      <c r="B17" s="113" t="n">
        <v>4</v>
      </c>
      <c r="C17" s="114" t="n">
        <v>0</v>
      </c>
      <c r="D17" s="114" t="inlineStr">
        <is>
          <t>Call IncrementJoiningProcessCounter with null identification</t>
        </is>
      </c>
      <c r="E17" s="114" t="n"/>
      <c r="F17" s="114" t="n"/>
      <c r="G17" s="114" t="n"/>
      <c r="H17" s="114" t="n"/>
      <c r="I17" s="114" t="inlineStr">
        <is>
          <t>n</t>
        </is>
      </c>
      <c r="J17" s="114" t="inlineStr">
        <is>
          <t>OPC 40450-1 Section 11.1 CU-94</t>
        </is>
      </c>
      <c r="K17" s="115" t="n"/>
      <c r="L17" s="27" t="n"/>
      <c r="M17" s="28" t="n"/>
      <c r="N17" s="28" t="n"/>
    </row>
    <row r="18" ht="25.8" customHeight="1" s="132">
      <c r="A18" s="116" t="n"/>
      <c r="B18" s="117" t="n"/>
      <c r="C18" s="118" t="n">
        <v>1</v>
      </c>
      <c r="D18" s="118" t="inlineStr">
        <is>
          <t>Call IncrementJoiningProcessCounter(ProductInstanceUri, null JoiningProcessIdentification, IncrementCount=1).</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CU-94</t>
        </is>
      </c>
      <c r="K18" s="119" t="inlineStr">
        <is>
          <t>Requirement source: OPC 40450-1 Section 9.18 - Required.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1.xml><?xml version="1.0" encoding="utf-8"?>
<worksheet xmlns="http://schemas.openxmlformats.org/spreadsheetml/2006/main">
  <sheetPr codeName="Sheet8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CU-95: D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CU-95 — D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DecrementJoiningProcessCounter found in MethodSet with Executable=True</t>
        </is>
      </c>
      <c r="E4" s="58" t="n"/>
      <c r="F4" s="58" t="n"/>
      <c r="G4" s="58" t="n"/>
      <c r="H4" s="58" t="n"/>
      <c r="I4" s="58" t="inlineStr">
        <is>
          <t>n</t>
        </is>
      </c>
      <c r="J4" s="58" t="inlineStr">
        <is>
          <t>OPC 40450-1 Section 11.1 CU-95</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DecrementJoiningProcessCounter method. Read Executable attribute.</t>
        </is>
      </c>
      <c r="E5" s="89" t="inlineStr">
        <is>
          <t>OPC UA session. JoiningProcessManagement node accessible.</t>
        </is>
      </c>
      <c r="F5" s="89" t="inlineStr">
        <is>
          <t>DecrementJoiningProcessCounter method node is found. Executable = True. UserExecutable = True.</t>
        </is>
      </c>
      <c r="G5" s="89" t="inlineStr">
        <is>
          <t>Good</t>
        </is>
      </c>
      <c r="H5" s="89" t="inlineStr">
        <is>
          <t>DecrementJoiningProcessCounter found; Executable=True</t>
        </is>
      </c>
      <c r="I5" s="89" t="n"/>
      <c r="J5" s="89" t="inlineStr">
        <is>
          <t>OPC 40450-1 Section 11.1 CU-95</t>
        </is>
      </c>
      <c r="K5" s="90" t="n"/>
      <c r="L5" s="27" t="n"/>
      <c r="M5" s="28" t="n"/>
      <c r="N5" s="28" t="n"/>
    </row>
    <row r="6" ht="39" customHeight="1" s="132">
      <c r="A6" s="56" t="inlineStr">
        <is>
          <t>y</t>
        </is>
      </c>
      <c r="B6" s="57" t="n">
        <v>2</v>
      </c>
      <c r="C6" s="58" t="n">
        <v>0</v>
      </c>
      <c r="D6" s="58" t="inlineStr">
        <is>
          <t>Verify counter decrements by -1 after DecrementJoiningProcessCounter call</t>
        </is>
      </c>
      <c r="E6" s="58" t="n"/>
      <c r="F6" s="58" t="n"/>
      <c r="G6" s="58" t="n"/>
      <c r="H6" s="58" t="n"/>
      <c r="I6" s="58" t="inlineStr">
        <is>
          <t>n</t>
        </is>
      </c>
      <c r="J6" s="58" t="inlineStr">
        <is>
          <t>OPC 40450-1 Section 11.1 CU-95</t>
        </is>
      </c>
      <c r="K6" s="74" t="n"/>
      <c r="L6" s="27" t="n"/>
      <c r="M6" s="28" t="n"/>
      <c r="N6" s="28" t="n"/>
    </row>
    <row r="7" ht="51.9" customHeight="1" s="132">
      <c r="A7" s="87" t="n"/>
      <c r="B7" s="88" t="n"/>
      <c r="C7" s="89" t="n">
        <v>1</v>
      </c>
      <c r="D7" s="89" t="inlineStr">
        <is>
          <t>Call IncrementJoiningProcessCounter to ensure counter &gt;= 1. Read the counter value. Call DecrementJoiningProcessCounter(ProductInstanceUri, JoiningProcessIdentification, DecrementCount=1). Read counter again.</t>
        </is>
      </c>
      <c r="E7" s="89" t="inlineStr">
        <is>
          <t>OPC UA session. DecrementJoiningProcessCounter Executable=True. Valid JoiningProcessIdentification available. Counter value &gt;= 1.</t>
        </is>
      </c>
      <c r="F7" s="89" t="inlineStr">
        <is>
          <t>Counter value after decrement = counter value before decrement - 1. DecrementJoiningProcessCounter returns Good.</t>
        </is>
      </c>
      <c r="G7" s="89" t="inlineStr">
        <is>
          <t>Good</t>
        </is>
      </c>
      <c r="H7" s="89" t="inlineStr">
        <is>
          <t>Counter decremented by exactly 1; Good returned</t>
        </is>
      </c>
      <c r="I7" s="89" t="n"/>
      <c r="J7" s="89" t="inlineStr">
        <is>
          <t>OPC 40450-1 Section 11.1 CU-95</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or Uncertain with Status=5 on DecrementJoiningProcessCounter when counter is 0</t>
        </is>
      </c>
      <c r="E9" s="97" t="n"/>
      <c r="F9" s="97" t="n"/>
      <c r="G9" s="97" t="n"/>
      <c r="H9" s="97" t="n"/>
      <c r="I9" s="97" t="inlineStr">
        <is>
          <t>n</t>
        </is>
      </c>
      <c r="J9" s="97" t="inlineStr">
        <is>
          <t>OPC 40450-1 Section 11.1 CU-95</t>
        </is>
      </c>
      <c r="K9" s="98" t="inlineStr">
        <is>
          <t>CTT=n: requires testing decrement at boundary</t>
        </is>
      </c>
      <c r="L9" s="27" t="n"/>
      <c r="M9" s="28" t="n"/>
      <c r="N9" s="28" t="n"/>
    </row>
    <row r="10" ht="51.9" customHeight="1" s="132">
      <c r="A10" s="87" t="n"/>
      <c r="B10" s="88" t="n"/>
      <c r="C10" s="89" t="n">
        <v>1</v>
      </c>
      <c r="D10" s="89" t="inlineStr">
        <is>
          <t>Set or observe the counter at value 0. Call DecrementJoiningProcessCounter(ProductInstanceUri, JoiningProcessIdentification, DecrementCount=1).</t>
        </is>
      </c>
      <c r="E10" s="89" t="inlineStr">
        <is>
          <t>OPC UA session. Counter = 0.</t>
        </is>
      </c>
      <c r="F10" s="89" t="inlineStr">
        <is>
          <t>Call Service returns Good; method result code is Uncertain. Status output is 5 (invalid input). StatusMessage explains the rejected input; no state change is performed.</t>
        </is>
      </c>
      <c r="G10" s="89" t="inlineStr">
        <is>
          <t>Good</t>
        </is>
      </c>
      <c r="H10" s="89" t="inlineStr">
        <is>
          <t>Uncertain; Status=5 output with StatusMessage</t>
        </is>
      </c>
      <c r="I10" s="89" t="n"/>
      <c r="J10" s="89" t="inlineStr">
        <is>
          <t>OPC 40450-1 Section 11.1 CU-95</t>
        </is>
      </c>
      <c r="K10" s="90" t="n"/>
      <c r="L10" s="27" t="n"/>
      <c r="M10" s="28" t="n"/>
      <c r="N10" s="28" t="n"/>
    </row>
    <row r="11" ht="39" customHeight="1" s="132">
      <c r="A11" s="95" t="inlineStr">
        <is>
          <t>n</t>
        </is>
      </c>
      <c r="B11" s="96" t="n">
        <v>2</v>
      </c>
      <c r="C11" s="97" t="n">
        <v>0</v>
      </c>
      <c r="D11" s="97" t="inlineStr">
        <is>
          <t>verify Uncertain with Status=2 on DecrementJoiningProcessCounter with invalid ProductInstanceUri</t>
        </is>
      </c>
      <c r="E11" s="97" t="n"/>
      <c r="F11" s="97" t="n"/>
      <c r="G11" s="97" t="n"/>
      <c r="H11" s="97" t="n"/>
      <c r="I11" s="97" t="inlineStr">
        <is>
          <t>n</t>
        </is>
      </c>
      <c r="J11" s="97" t="inlineStr">
        <is>
          <t>OPC 40450-1 Section 11.1 CU-95</t>
        </is>
      </c>
      <c r="K11" s="98" t="inlineStr">
        <is>
          <t>CTT=n: requires testing invalid input</t>
        </is>
      </c>
      <c r="L11" s="27" t="n"/>
      <c r="M11" s="28" t="n"/>
      <c r="N11" s="28" t="n"/>
    </row>
    <row r="12" ht="38.7" customHeight="1" s="132">
      <c r="A12" s="87" t="n"/>
      <c r="B12" s="88" t="n"/>
      <c r="C12" s="89" t="n">
        <v>1</v>
      </c>
      <c r="D12" s="89" t="inlineStr">
        <is>
          <t>Call DecrementJoiningProcessCounter(invalid ProductInstanceUri, JoiningProcessIdentification, DecrementCount=1).</t>
        </is>
      </c>
      <c r="E12" s="89" t="inlineStr">
        <is>
          <t>OPC UA session. DecrementJoiningProcessCounter Executable=True.</t>
        </is>
      </c>
      <c r="F12" s="89" t="inlineStr">
        <is>
          <t>Call Service returns Good; method result code is Uncertain. Status output is 2 (ProductInstanceUri not found). StatusMessage explains the rejected input; no state change is performed.</t>
        </is>
      </c>
      <c r="G12" s="89" t="inlineStr">
        <is>
          <t>Good</t>
        </is>
      </c>
      <c r="H12" s="89" t="inlineStr">
        <is>
          <t>Uncertain; Status=2 output with StatusMessage</t>
        </is>
      </c>
      <c r="I12" s="89" t="n"/>
      <c r="J12" s="89" t="inlineStr">
        <is>
          <t>OPC 40450-1 Section 11.1 CU-95</t>
        </is>
      </c>
      <c r="K12" s="90" t="n"/>
      <c r="L12" s="27" t="n"/>
      <c r="M12" s="28" t="n"/>
      <c r="N12" s="28" t="n"/>
    </row>
    <row r="13">
      <c r="A13" s="112" t="inlineStr">
        <is>
          <t>n</t>
        </is>
      </c>
      <c r="B13" s="113" t="n">
        <v>3</v>
      </c>
      <c r="C13" s="114" t="n">
        <v>0</v>
      </c>
      <c r="D13" s="114" t="inlineStr">
        <is>
          <t>Call DecrementJoiningProcessCounter when counter is 0</t>
        </is>
      </c>
      <c r="E13" s="114" t="n"/>
      <c r="F13" s="114" t="n"/>
      <c r="G13" s="114" t="n"/>
      <c r="H13" s="114" t="n"/>
      <c r="I13" s="114" t="inlineStr">
        <is>
          <t>n</t>
        </is>
      </c>
      <c r="J13" s="114" t="inlineStr">
        <is>
          <t>OPC 40450-1 Section 11.1 CU-95</t>
        </is>
      </c>
      <c r="K13" s="115" t="n"/>
      <c r="L13" s="27" t="n"/>
      <c r="M13" s="28" t="n"/>
      <c r="N13" s="28" t="n"/>
    </row>
    <row r="14" ht="39" customHeight="1" s="132">
      <c r="A14" s="116" t="n"/>
      <c r="B14" s="117" t="n"/>
      <c r="C14" s="118" t="n">
        <v>1</v>
      </c>
      <c r="D14" s="118" t="inlineStr">
        <is>
          <t>Set counter to 0. Call DecrementJoiningProcessCounter(ProductInstanceUri, JoiningProcessIdentification, DecrementCount=1).</t>
        </is>
      </c>
      <c r="E14" s="118" t="inlineStr">
        <is>
          <t>Server claims this Conformance Unit; no additional runtime setup is needed for this step.</t>
        </is>
      </c>
      <c r="F14" s="118" t="inlineStr">
        <is>
          <t>Call Service returns Good; method result code is Uncertain. Status output is 5 (invalid input). StatusMessage explains the rejected input; no state change is performed.</t>
        </is>
      </c>
      <c r="G14" s="118" t="inlineStr">
        <is>
          <t>Good</t>
        </is>
      </c>
      <c r="H14" s="118" t="inlineStr">
        <is>
          <t>Uncertain; Status=5 output with StatusMessage</t>
        </is>
      </c>
      <c r="I14" s="118" t="n"/>
      <c r="J14" s="118" t="inlineStr">
        <is>
          <t>OPC 40450-1 Section 11.1 CU-95</t>
        </is>
      </c>
      <c r="K14" s="119" t="inlineStr">
        <is>
          <t>Requirement source: OPC 40450-1 Section 9.19 - Underflow handling.</t>
        </is>
      </c>
      <c r="L14" s="27" t="n"/>
      <c r="M14" s="28" t="n"/>
      <c r="N14" s="28" t="n"/>
    </row>
    <row r="15" ht="26.1" customHeight="1" s="132">
      <c r="A15" s="112" t="inlineStr">
        <is>
          <t>n</t>
        </is>
      </c>
      <c r="B15" s="113" t="n">
        <v>4</v>
      </c>
      <c r="C15" s="114" t="n">
        <v>0</v>
      </c>
      <c r="D15" s="114" t="inlineStr">
        <is>
          <t>Call DecrementJoiningProcessCounter with null identification</t>
        </is>
      </c>
      <c r="E15" s="114" t="n"/>
      <c r="F15" s="114" t="n"/>
      <c r="G15" s="114" t="n"/>
      <c r="H15" s="114" t="n"/>
      <c r="I15" s="114" t="inlineStr">
        <is>
          <t>n</t>
        </is>
      </c>
      <c r="J15" s="114" t="inlineStr">
        <is>
          <t>OPC 40450-1 Section 11.1 CU-95</t>
        </is>
      </c>
      <c r="K15" s="115" t="n"/>
      <c r="L15" s="27" t="n"/>
      <c r="M15" s="28" t="n"/>
      <c r="N15" s="28" t="n"/>
    </row>
    <row r="16" ht="25.8" customHeight="1" s="132">
      <c r="A16" s="116" t="n"/>
      <c r="B16" s="117" t="n"/>
      <c r="C16" s="118" t="n">
        <v>1</v>
      </c>
      <c r="D16" s="118" t="inlineStr">
        <is>
          <t>Call DecrementJoiningProcessCounter(ProductInstanceUri, null JoiningProcessIdentification, DecrementCount=1).</t>
        </is>
      </c>
      <c r="E16" s="118" t="inlineStr">
        <is>
          <t>Server claims this Conformance Unit; no additional runtime setup is needed for this step.</t>
        </is>
      </c>
      <c r="F16" s="118" t="inlineStr">
        <is>
          <t>Call Service returns Good; method result code is Uncertain. Status output is 5 (invalid input). StatusMessage explains the rejected input; no state change is performed.</t>
        </is>
      </c>
      <c r="G16" s="118" t="inlineStr">
        <is>
          <t>Good</t>
        </is>
      </c>
      <c r="H16" s="118" t="inlineStr">
        <is>
          <t>Uncertain; Status=5 output with StatusMessage</t>
        </is>
      </c>
      <c r="I16" s="118" t="n"/>
      <c r="J16" s="118" t="inlineStr">
        <is>
          <t>OPC 40450-1 Section 11.1 CU-95</t>
        </is>
      </c>
      <c r="K16" s="119" t="inlineStr">
        <is>
          <t>Requirement source: OPC 40450-1 Section 9.19 - Required.</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2.xml><?xml version="1.0" encoding="utf-8"?>
<worksheet xmlns="http://schemas.openxmlformats.org/spreadsheetml/2006/main">
  <sheetPr codeName="Sheet8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CU-96: Set Joining Process Size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CU-96 — Set Joining Process Size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SetJoiningProcessSize found in MethodSet with Executable=True</t>
        </is>
      </c>
      <c r="E4" s="58" t="n"/>
      <c r="F4" s="58" t="n"/>
      <c r="G4" s="58" t="n"/>
      <c r="H4" s="58" t="n"/>
      <c r="I4" s="58" t="inlineStr">
        <is>
          <t>n</t>
        </is>
      </c>
      <c r="J4" s="58" t="inlineStr">
        <is>
          <t>OPC 40450-1 Section 11.1 CU-96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SetJoiningProcessSize method. Read Executable attribute.</t>
        </is>
      </c>
      <c r="E5" s="89" t="inlineStr">
        <is>
          <t>OPC UA session. JoiningProcessManagement node accessible.</t>
        </is>
      </c>
      <c r="F5" s="89" t="inlineStr">
        <is>
          <t>SetJoiningProcessSize method node is found. Executable = True. UserExecutable = True.</t>
        </is>
      </c>
      <c r="G5" s="89" t="inlineStr">
        <is>
          <t>Good</t>
        </is>
      </c>
      <c r="H5" s="89" t="inlineStr">
        <is>
          <t>SetJoiningProcessSize found; Executable=True</t>
        </is>
      </c>
      <c r="I5" s="89" t="n"/>
      <c r="J5" s="89" t="inlineStr">
        <is>
          <t>OPC 40450-1 Section 11.1 CU-96</t>
        </is>
      </c>
      <c r="K5" s="90" t="n"/>
      <c r="L5" s="27" t="n"/>
      <c r="M5" s="28" t="n"/>
      <c r="N5" s="28" t="n"/>
    </row>
    <row r="6" ht="26.1" customHeight="1" s="132">
      <c r="A6" s="56" t="inlineStr">
        <is>
          <t>y</t>
        </is>
      </c>
      <c r="B6" s="57" t="n">
        <v>2</v>
      </c>
      <c r="C6" s="58" t="n">
        <v>0</v>
      </c>
      <c r="D6" s="58" t="inlineStr">
        <is>
          <t>Verify SetJoiningProcessSize updates BatchSize with valid count</t>
        </is>
      </c>
      <c r="E6" s="58" t="n"/>
      <c r="F6" s="58" t="n"/>
      <c r="G6" s="58" t="n"/>
      <c r="H6" s="58" t="n"/>
      <c r="I6" s="58" t="inlineStr">
        <is>
          <t>n</t>
        </is>
      </c>
      <c r="J6" s="58" t="inlineStr">
        <is>
          <t>OPC 40450-1 Section 11.1 CU-96</t>
        </is>
      </c>
      <c r="K6" s="74" t="n"/>
      <c r="L6" s="27" t="n"/>
      <c r="M6" s="28" t="n"/>
      <c r="N6" s="28" t="n"/>
    </row>
    <row r="7" ht="39" customHeight="1" s="132">
      <c r="A7" s="87" t="n"/>
      <c r="B7" s="88" t="n"/>
      <c r="C7" s="89" t="n">
        <v>1</v>
      </c>
      <c r="D7" s="89" t="inlineStr">
        <is>
          <t>Call SetJoiningProcessSize(ProductInstanceUri, JoiningProcessIdentification, MaxCounterSize=5). Read the updated BatchSize or process size attribute.</t>
        </is>
      </c>
      <c r="E7" s="89" t="inlineStr">
        <is>
          <t>OPC UA session. SetJoiningProcessSize Executable=True. Valid JoiningProcessIdentification available. BatchSize or equivalent size attribute readable.</t>
        </is>
      </c>
      <c r="F7" s="89" t="inlineStr">
        <is>
          <t>SetJoiningProcessSize returns Good. BatchSize (or equivalent) reflects the new value (5). Size update is persistent until changed.</t>
        </is>
      </c>
      <c r="G7" s="89" t="inlineStr">
        <is>
          <t>Good</t>
        </is>
      </c>
      <c r="H7" s="89" t="inlineStr">
        <is>
          <t>Good returned; BatchSize updated to specified value (5); confirmed via read</t>
        </is>
      </c>
      <c r="I7" s="89" t="n"/>
      <c r="J7" s="89" t="inlineStr">
        <is>
          <t>OPC 40450-1 Section 11.1 CU-96</t>
        </is>
      </c>
      <c r="K7" s="90" t="n"/>
      <c r="L7" s="27" t="n"/>
      <c r="M7" s="28" t="n"/>
      <c r="N7" s="28" t="n"/>
    </row>
    <row r="8" ht="39" customHeight="1" s="132">
      <c r="A8" s="56" t="inlineStr">
        <is>
          <t>y</t>
        </is>
      </c>
      <c r="B8" s="57" t="n">
        <v>5</v>
      </c>
      <c r="C8" s="58" t="n">
        <v>0</v>
      </c>
      <c r="D8" s="58" t="inlineStr">
        <is>
          <t>Verify updated BatchSize is reflected in BatchResultCounters</t>
        </is>
      </c>
      <c r="E8" s="58" t="n"/>
      <c r="F8" s="58" t="n"/>
      <c r="G8" s="58" t="n"/>
      <c r="H8" s="58" t="n"/>
      <c r="I8" s="58" t="inlineStr">
        <is>
          <t>n</t>
        </is>
      </c>
      <c r="J8" s="58" t="inlineStr">
        <is>
          <t>OPC 40450-1 Section 11.1 CU-96</t>
        </is>
      </c>
      <c r="K8" s="74" t="n"/>
      <c r="L8" s="27" t="n"/>
      <c r="M8" s="28" t="n"/>
      <c r="N8" s="28" t="n"/>
    </row>
    <row r="9" ht="51.6" customHeight="1" s="132">
      <c r="A9" s="87" t="n"/>
      <c r="B9" s="88" t="n"/>
      <c r="C9" s="89" t="n">
        <v>1</v>
      </c>
      <c r="D9" s="89" t="inlineStr">
        <is>
          <t>After setting size to 5 in TC#2, run a batch of 5 joining operations. Read the BatchResultCounters from the result.</t>
        </is>
      </c>
      <c r="E9" s="89" t="inlineStr">
        <is>
          <t>BatchSize = 5. Five joining operations completed. BatchResultCounters accessible in result.</t>
        </is>
      </c>
      <c r="F9" s="89" t="inlineStr">
        <is>
          <t>BatchResultCounters.BatchSize = 5 (or equivalent). The counter reflects the configured batch size. Result classification = BATCH_RESULT (3).</t>
        </is>
      </c>
      <c r="G9" s="89" t="inlineStr">
        <is>
          <t>Good</t>
        </is>
      </c>
      <c r="H9" s="89" t="inlineStr">
        <is>
          <t>BatchResultCounters reflects configured batch size (5); result Classification=3</t>
        </is>
      </c>
      <c r="I9" s="89" t="n"/>
      <c r="J9" s="89" t="inlineStr">
        <is>
          <t>OPC 40450-1 Section 11.1 CU-96</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Uncertain with Status=5 on SetJoiningProcessSize with negative or zero size</t>
        </is>
      </c>
      <c r="E11" s="97" t="n"/>
      <c r="F11" s="97" t="n"/>
      <c r="G11" s="97" t="n"/>
      <c r="H11" s="97" t="n"/>
      <c r="I11" s="97" t="inlineStr">
        <is>
          <t>n</t>
        </is>
      </c>
      <c r="J11" s="97" t="inlineStr">
        <is>
          <t>OPC 40450-1 Section 11.1 CU-96</t>
        </is>
      </c>
      <c r="K11" s="98" t="inlineStr">
        <is>
          <t>CTT=n: requires testing invalid size values</t>
        </is>
      </c>
      <c r="L11" s="27" t="n"/>
      <c r="M11" s="28" t="n"/>
      <c r="N11" s="28" t="n"/>
    </row>
    <row r="12" ht="51.6" customHeight="1" s="132">
      <c r="A12" s="87" t="n"/>
      <c r="B12" s="88" t="n"/>
      <c r="C12" s="89" t="n">
        <v>1</v>
      </c>
      <c r="D12" s="89" t="inlineStr">
        <is>
          <t>Call SetJoiningProcessSize(ProductInstanceUri, JoiningProcessIdentification, MaxCounterSize=0). Then call with MaxCounterSize outside the server-supported range.</t>
        </is>
      </c>
      <c r="E12" s="89" t="inlineStr">
        <is>
          <t>OPC UA session. SetJoiningProcessSize Executable=True.</t>
        </is>
      </c>
      <c r="F12" s="89" t="inlineStr">
        <is>
          <t>Call Service returns Good; method result code is Uncertain. Status output is 5 (invalid input). StatusMessage explains the rejected input; no state change is performed.</t>
        </is>
      </c>
      <c r="G12" s="89" t="inlineStr">
        <is>
          <t>Good</t>
        </is>
      </c>
      <c r="H12" s="89" t="inlineStr">
        <is>
          <t>Uncertain; Status=5 output with StatusMessage</t>
        </is>
      </c>
      <c r="I12" s="89" t="n"/>
      <c r="J12" s="89" t="inlineStr">
        <is>
          <t>OPC 40450-1 Section 11.1 CU-96</t>
        </is>
      </c>
      <c r="K12" s="90" t="n"/>
      <c r="L12" s="27" t="n"/>
      <c r="M12" s="28" t="n"/>
      <c r="N12" s="28" t="n"/>
    </row>
    <row r="13" ht="25.8" customHeight="1" s="132">
      <c r="A13" s="95" t="inlineStr">
        <is>
          <t>n</t>
        </is>
      </c>
      <c r="B13" s="96" t="n">
        <v>2</v>
      </c>
      <c r="C13" s="97" t="n">
        <v>0</v>
      </c>
      <c r="D13" s="97" t="inlineStr">
        <is>
          <t>verify Uncertain with Status=2 on SetJoiningProcessSize with invalid ProductInstanceUri</t>
        </is>
      </c>
      <c r="E13" s="97" t="n"/>
      <c r="F13" s="97" t="n"/>
      <c r="G13" s="97" t="n"/>
      <c r="H13" s="97" t="n"/>
      <c r="I13" s="97" t="inlineStr">
        <is>
          <t>n</t>
        </is>
      </c>
      <c r="J13" s="97" t="inlineStr">
        <is>
          <t>OPC 40450-1 Section 11.1 CU-96</t>
        </is>
      </c>
      <c r="K13" s="98" t="inlineStr">
        <is>
          <t>CTT=n: requires testing invalid input</t>
        </is>
      </c>
      <c r="L13" s="27" t="n"/>
      <c r="M13" s="28" t="n"/>
      <c r="N13" s="28" t="n"/>
    </row>
    <row r="14" ht="39" customHeight="1" s="132">
      <c r="A14" s="87" t="n"/>
      <c r="B14" s="88" t="n"/>
      <c r="C14" s="89" t="n">
        <v>1</v>
      </c>
      <c r="D14" s="89" t="inlineStr">
        <is>
          <t>Call SetJoiningProcessSize(invalid ProductInstanceUri, JoiningProcessIdentification, MaxCounterSize=5).</t>
        </is>
      </c>
      <c r="E14" s="89" t="inlineStr">
        <is>
          <t>OPC UA session. SetJoiningProcessSize Executable=True.</t>
        </is>
      </c>
      <c r="F14" s="89" t="inlineStr">
        <is>
          <t>Call Service returns Good; method result code is Uncertain. Status output is 2 (ProductInstanceUri not found). StatusMessage explains the rejected input; no state change is performed.</t>
        </is>
      </c>
      <c r="G14" s="89" t="inlineStr">
        <is>
          <t>Good</t>
        </is>
      </c>
      <c r="H14" s="89" t="inlineStr">
        <is>
          <t>Uncertain; Status=2 output with StatusMessage</t>
        </is>
      </c>
      <c r="I14" s="89" t="n"/>
      <c r="J14" s="89" t="inlineStr">
        <is>
          <t>OPC 40450-1 Section 11.1 CU-96</t>
        </is>
      </c>
      <c r="K14" s="90" t="n"/>
      <c r="L14" s="27" t="n"/>
      <c r="M14" s="28" t="n"/>
      <c r="N14" s="28" t="n"/>
    </row>
    <row r="15" ht="26.1" customHeight="1" s="132">
      <c r="A15" s="112" t="inlineStr">
        <is>
          <t>n</t>
        </is>
      </c>
      <c r="B15" s="113" t="n">
        <v>3</v>
      </c>
      <c r="C15" s="114" t="n">
        <v>0</v>
      </c>
      <c r="D15" s="114" t="inlineStr">
        <is>
          <t>Call SetJoiningProcessSize with Size=0</t>
        </is>
      </c>
      <c r="E15" s="114" t="n"/>
      <c r="F15" s="114" t="n"/>
      <c r="G15" s="114" t="n"/>
      <c r="H15" s="114" t="n"/>
      <c r="I15" s="114" t="inlineStr">
        <is>
          <t>n</t>
        </is>
      </c>
      <c r="J15" s="114" t="inlineStr">
        <is>
          <t>OPC 40450-1 Section 11.1 CU-96</t>
        </is>
      </c>
      <c r="K15" s="115" t="n"/>
      <c r="L15" s="27" t="n"/>
      <c r="M15" s="28" t="n"/>
      <c r="N15" s="28" t="n"/>
    </row>
    <row r="16" ht="25.8" customHeight="1" s="132">
      <c r="A16" s="116" t="n"/>
      <c r="B16" s="117" t="n"/>
      <c r="C16" s="118" t="n">
        <v>1</v>
      </c>
      <c r="D16" s="118" t="inlineStr">
        <is>
          <t>Call SetJoiningProcessSize(ProductInstanceUri, JoiningProcessIdentification, MaxCounterSize=0).</t>
        </is>
      </c>
      <c r="E16" s="118" t="inlineStr">
        <is>
          <t>Server claims this Conformance Unit; no additional runtime setup is needed for this step.</t>
        </is>
      </c>
      <c r="F16" s="118" t="inlineStr">
        <is>
          <t>Call Service returns Good; method result code is Uncertain. Status output is 5 (invalid input). StatusMessage explains the rejected input; no state change is performed.</t>
        </is>
      </c>
      <c r="G16" s="118" t="inlineStr">
        <is>
          <t>Good</t>
        </is>
      </c>
      <c r="H16" s="118" t="inlineStr">
        <is>
          <t>Uncertain; Status=5 output with StatusMessage</t>
        </is>
      </c>
      <c r="I16" s="118" t="n"/>
      <c r="J16" s="118" t="inlineStr">
        <is>
          <t>OPC 40450-1 Section 11.1 CU-96</t>
        </is>
      </c>
      <c r="K16" s="119" t="inlineStr">
        <is>
          <t>Requirement source: OPC 40450-1 Section 9.20 - Zero not meaningful.</t>
        </is>
      </c>
      <c r="L16" s="27" t="n"/>
      <c r="M16" s="28" t="n"/>
      <c r="N16" s="28" t="n"/>
    </row>
    <row r="17">
      <c r="A17" s="112" t="inlineStr">
        <is>
          <t>n</t>
        </is>
      </c>
      <c r="B17" s="113" t="n">
        <v>4</v>
      </c>
      <c r="C17" s="114" t="n">
        <v>0</v>
      </c>
      <c r="D17" s="114" t="inlineStr">
        <is>
          <t>Call SetJoiningProcessSize during active joining</t>
        </is>
      </c>
      <c r="E17" s="114" t="n"/>
      <c r="F17" s="114" t="n"/>
      <c r="G17" s="114" t="n"/>
      <c r="H17" s="114" t="n"/>
      <c r="I17" s="114" t="inlineStr">
        <is>
          <t>n</t>
        </is>
      </c>
      <c r="J17" s="114" t="inlineStr">
        <is>
          <t>OPC 40450-1 Section 11.1 CU-96</t>
        </is>
      </c>
      <c r="K17" s="115" t="n"/>
      <c r="L17" s="27" t="n"/>
      <c r="M17" s="28" t="n"/>
      <c r="N17" s="28" t="n"/>
    </row>
    <row r="18">
      <c r="A18" s="116" t="n"/>
      <c r="B18" s="117" t="n"/>
      <c r="C18" s="118" t="n">
        <v>1</v>
      </c>
      <c r="D18" s="118" t="inlineStr">
        <is>
          <t>Start operation. Call SetJoiningProcessSize(ProductInstanceUri, JoiningProcessIdentification, MaxCounterSize=5).</t>
        </is>
      </c>
      <c r="E18" s="118" t="inlineStr">
        <is>
          <t>Server claims this Conformance Unit; no additional runtime setup is needed for this step.</t>
        </is>
      </c>
      <c r="F18" s="118" t="inlineStr">
        <is>
          <t>Call Service returns Good; method result code is Uncertain when the requested state transition is not accepted. Status output is 1 (generic not OK/application state). StatusMessage explains the state precondition; no unintended state change is performed.</t>
        </is>
      </c>
      <c r="G18" s="118" t="inlineStr">
        <is>
          <t>Good</t>
        </is>
      </c>
      <c r="H18" s="118" t="inlineStr">
        <is>
          <t>Uncertain; Status=1 output with StatusMessage</t>
        </is>
      </c>
      <c r="I18" s="118" t="n"/>
      <c r="J18" s="118" t="inlineStr">
        <is>
          <t>OPC 40450-1 Section 11.1 CU-96</t>
        </is>
      </c>
      <c r="K18" s="119" t="inlineStr">
        <is>
          <t>Requirement source: OPC 40450-1 Section 9.20 - Cannot change during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3.xml><?xml version="1.0" encoding="utf-8"?>
<worksheet xmlns="http://schemas.openxmlformats.org/spreadsheetml/2006/main">
  <sheetPr codeName="Sheet9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CU-97: Start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CU-97 — Start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StartJoiningProcess found in MethodSet with Executable=True</t>
        </is>
      </c>
      <c r="E4" s="58" t="n"/>
      <c r="F4" s="58" t="n"/>
      <c r="G4" s="58" t="n"/>
      <c r="H4" s="58" t="n"/>
      <c r="I4" s="58" t="inlineStr">
        <is>
          <t>n</t>
        </is>
      </c>
      <c r="J4" s="58" t="inlineStr">
        <is>
          <t>OPC 40450-1 Section 11.1 CU-97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StartJoiningProcess method. Read Executable attribute.</t>
        </is>
      </c>
      <c r="E5" s="89" t="inlineStr">
        <is>
          <t>OPC UA session. JoiningProcessManagement node accessible.</t>
        </is>
      </c>
      <c r="F5" s="89" t="inlineStr">
        <is>
          <t>StartJoiningProcess method node is found. Executable = True. UserExecutable = True.</t>
        </is>
      </c>
      <c r="G5" s="89" t="inlineStr">
        <is>
          <t>Good</t>
        </is>
      </c>
      <c r="H5" s="89" t="inlineStr">
        <is>
          <t>StartJoiningProcess found; Executable=True</t>
        </is>
      </c>
      <c r="I5" s="89" t="n"/>
      <c r="J5" s="89" t="inlineStr">
        <is>
          <t>OPC 40450-1 Section 11.1 CU-97</t>
        </is>
      </c>
      <c r="K5" s="90" t="n"/>
      <c r="L5" s="27" t="n"/>
      <c r="M5" s="28" t="n"/>
      <c r="N5" s="28" t="n"/>
    </row>
    <row r="6" ht="26.1" customHeight="1" s="132">
      <c r="A6" s="56" t="inlineStr">
        <is>
          <t>y</t>
        </is>
      </c>
      <c r="B6" s="57" t="n">
        <v>2</v>
      </c>
      <c r="C6" s="58" t="n">
        <v>0</v>
      </c>
      <c r="D6" s="58" t="inlineStr">
        <is>
          <t>Verify StartJoiningProcess accepts valid JoiningProcessIdentification and AssociatedEntities[]</t>
        </is>
      </c>
      <c r="E6" s="58" t="n"/>
      <c r="F6" s="58" t="n"/>
      <c r="G6" s="58" t="n"/>
      <c r="H6" s="58" t="n"/>
      <c r="I6" s="58" t="inlineStr">
        <is>
          <t>n</t>
        </is>
      </c>
      <c r="J6" s="58" t="inlineStr">
        <is>
          <t>OPC 40450-1 Section 11.1 CU-97</t>
        </is>
      </c>
      <c r="K6" s="74" t="n"/>
      <c r="L6" s="27" t="n"/>
      <c r="M6" s="28" t="n"/>
      <c r="N6" s="28" t="n"/>
    </row>
    <row r="7" ht="39" customHeight="1" s="132">
      <c r="A7" s="87" t="n"/>
      <c r="B7" s="88" t="n"/>
      <c r="C7" s="89" t="n">
        <v>1</v>
      </c>
      <c r="D7" s="89" t="inlineStr">
        <is>
          <t>Call StartJoiningProcess(ProductInstanceUri, JoiningProcessIdentification, AssociatedEntities[]) using a valid process selector and valid AssociatedEntities[] array.</t>
        </is>
      </c>
      <c r="E7" s="89" t="inlineStr">
        <is>
          <t>OPC UA session. StartJoiningProcess Executable=True. At least one valid joining process selector available. Valid AssociatedEntities data prepared.</t>
        </is>
      </c>
      <c r="F7" s="89" t="inlineStr">
        <is>
          <t>StartJoiningProcess returns Good. Joining process starts. Identifiers are associated with the current joining operation.</t>
        </is>
      </c>
      <c r="G7" s="89" t="inlineStr">
        <is>
          <t>Good</t>
        </is>
      </c>
      <c r="H7" s="89" t="inlineStr">
        <is>
          <t>Good returned; process started; identifiers associated</t>
        </is>
      </c>
      <c r="I7" s="89" t="n"/>
      <c r="J7" s="89" t="inlineStr">
        <is>
          <t>OPC 40450-1 Section 11.1 CU-97</t>
        </is>
      </c>
      <c r="K7" s="90" t="n"/>
      <c r="L7" s="27" t="n"/>
      <c r="M7" s="28" t="n"/>
      <c r="N7" s="28" t="n"/>
    </row>
    <row r="8" ht="39" customHeight="1" s="132">
      <c r="A8" s="56" t="inlineStr">
        <is>
          <t>y</t>
        </is>
      </c>
      <c r="B8" s="57" t="n">
        <v>3</v>
      </c>
      <c r="C8" s="58" t="n">
        <v>0</v>
      </c>
      <c r="D8" s="58" t="inlineStr">
        <is>
          <t>Verify process started and identifiers set after StartJoiningProcess</t>
        </is>
      </c>
      <c r="E8" s="58" t="n"/>
      <c r="F8" s="58" t="n"/>
      <c r="G8" s="58" t="n"/>
      <c r="H8" s="58" t="n"/>
      <c r="I8" s="58" t="inlineStr">
        <is>
          <t>n</t>
        </is>
      </c>
      <c r="J8" s="58" t="inlineStr">
        <is>
          <t>OPC 40450-1 Section 11.1 CU-97</t>
        </is>
      </c>
      <c r="K8" s="74" t="n"/>
      <c r="L8" s="27" t="n"/>
      <c r="M8" s="28" t="n"/>
      <c r="N8" s="28" t="n"/>
    </row>
    <row r="9" ht="51.6" customHeight="1" s="132">
      <c r="A9" s="87" t="n"/>
      <c r="B9" s="88" t="n"/>
      <c r="C9" s="89" t="n">
        <v>1</v>
      </c>
      <c r="D9" s="89" t="inlineStr">
        <is>
          <t>After calling StartJoiningProcess in TC#2, call GetIdentifiers (or read current identifiers attribute) to verify identifiers are set.</t>
        </is>
      </c>
      <c r="E9" s="89" t="inlineStr">
        <is>
          <t>StartJoiningProcess returned Good from TC#2. GetIdentifiers method available.</t>
        </is>
      </c>
      <c r="F9" s="89" t="inlineStr">
        <is>
          <t>GetIdentifiers returns the same AssociatedEntities data that was passed to StartJoiningProcess. Process is running (not idle). Both the process and identifiers are confirmed active simultaneously.</t>
        </is>
      </c>
      <c r="G9" s="89" t="inlineStr">
        <is>
          <t>Good</t>
        </is>
      </c>
      <c r="H9" s="89" t="inlineStr">
        <is>
          <t>GetIdentifiers returns matching data; process confirmed running after StartJoiningProcess</t>
        </is>
      </c>
      <c r="I9" s="89" t="n"/>
      <c r="J9" s="89" t="inlineStr">
        <is>
          <t>OPC 40450-1 Section 11.1 CU-97</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Uncertain with Status=4 on StartJoiningProcess with invalid JoiningProcessId</t>
        </is>
      </c>
      <c r="E11" s="97" t="n"/>
      <c r="F11" s="97" t="n"/>
      <c r="G11" s="97" t="n"/>
      <c r="H11" s="97" t="n"/>
      <c r="I11" s="97" t="inlineStr">
        <is>
          <t>n</t>
        </is>
      </c>
      <c r="J11" s="97" t="inlineStr">
        <is>
          <t>OPC 40450-1 Section 11.1 CU-97</t>
        </is>
      </c>
      <c r="K11" s="98" t="inlineStr">
        <is>
          <t>CTT=n: requires testing invalid program ID</t>
        </is>
      </c>
      <c r="L11" s="27" t="n"/>
      <c r="M11" s="28" t="n"/>
      <c r="N11" s="28" t="n"/>
    </row>
    <row r="12" ht="38.7" customHeight="1" s="132">
      <c r="A12" s="87" t="n"/>
      <c r="B12" s="88" t="n"/>
      <c r="C12" s="89" t="n">
        <v>1</v>
      </c>
      <c r="D12" s="89" t="inlineStr">
        <is>
          <t>Call StartJoiningProcess with a JoiningProcessIdentification.JoiningProcessId that does not exist on the server.</t>
        </is>
      </c>
      <c r="E12" s="89" t="inlineStr">
        <is>
          <t>OPC UA session. StartJoiningProcess Executable=True.</t>
        </is>
      </c>
      <c r="F12" s="89" t="inlineStr">
        <is>
          <t>Call Service returns Good; method result code is Uncertain. Status output is 4 (input identifier/entity not found). StatusMessage explains the rejected input; no state change is performed.</t>
        </is>
      </c>
      <c r="G12" s="89" t="inlineStr">
        <is>
          <t>Good</t>
        </is>
      </c>
      <c r="H12" s="89" t="inlineStr">
        <is>
          <t>Uncertain; Status=4 output with StatusMessage</t>
        </is>
      </c>
      <c r="I12" s="89" t="n"/>
      <c r="J12" s="89" t="inlineStr">
        <is>
          <t>OPC 40450-1 Section 11.1 CU-97</t>
        </is>
      </c>
      <c r="K12" s="90" t="n"/>
      <c r="L12" s="27" t="n"/>
      <c r="M12" s="28" t="n"/>
      <c r="N12" s="28" t="n"/>
    </row>
    <row r="13" ht="25.8" customHeight="1" s="132">
      <c r="A13" s="95" t="inlineStr">
        <is>
          <t>n</t>
        </is>
      </c>
      <c r="B13" s="96" t="n">
        <v>2</v>
      </c>
      <c r="C13" s="97" t="n">
        <v>0</v>
      </c>
      <c r="D13" s="97" t="inlineStr">
        <is>
          <t>verify Uncertain with Status=5 on StartJoiningProcess with malformed AssociatedEntities</t>
        </is>
      </c>
      <c r="E13" s="97" t="n"/>
      <c r="F13" s="97" t="n"/>
      <c r="G13" s="97" t="n"/>
      <c r="H13" s="97" t="n"/>
      <c r="I13" s="97" t="inlineStr">
        <is>
          <t>n</t>
        </is>
      </c>
      <c r="J13" s="97" t="inlineStr">
        <is>
          <t>OPC 40450-1 Section 11.1 CU-97</t>
        </is>
      </c>
      <c r="K13" s="98" t="inlineStr">
        <is>
          <t>CTT=n: requires sending malformed entity data</t>
        </is>
      </c>
      <c r="L13" s="27" t="n"/>
      <c r="M13" s="28" t="n"/>
      <c r="N13" s="28" t="n"/>
    </row>
    <row r="14" ht="39" customHeight="1" s="132">
      <c r="A14" s="87" t="n"/>
      <c r="B14" s="88" t="n"/>
      <c r="C14" s="89" t="n">
        <v>1</v>
      </c>
      <c r="D14" s="89" t="inlineStr">
        <is>
          <t>Call StartJoiningProcess with a valid JoiningProcessIdentification but malformed AssociatedEntities (for example null EntityId, invalid EntityType, or missing required fields).</t>
        </is>
      </c>
      <c r="E14" s="89" t="inlineStr">
        <is>
          <t>OPC UA session. StartJoiningProcess Executable=True.</t>
        </is>
      </c>
      <c r="F14" s="89" t="inlineStr">
        <is>
          <t>Call Service returns Good; method result code is Uncertain. Status output is 5 (invalid input). StatusMessage explains the rejected input; no state change is performed.</t>
        </is>
      </c>
      <c r="G14" s="89" t="inlineStr">
        <is>
          <t>Good</t>
        </is>
      </c>
      <c r="H14" s="89" t="inlineStr">
        <is>
          <t>Uncertain; Status=5 output with StatusMessage</t>
        </is>
      </c>
      <c r="I14" s="89" t="n"/>
      <c r="J14" s="89" t="inlineStr">
        <is>
          <t>OPC 40450-1 Section 11.1 CU-97</t>
        </is>
      </c>
      <c r="K14" s="90" t="n"/>
      <c r="L14" s="27" t="n"/>
      <c r="M14" s="28" t="n"/>
      <c r="N14" s="28" t="n"/>
    </row>
    <row r="15" ht="26.1" customHeight="1" s="132">
      <c r="A15" s="112" t="inlineStr">
        <is>
          <t>n</t>
        </is>
      </c>
      <c r="B15" s="113" t="n">
        <v>3</v>
      </c>
      <c r="C15" s="114" t="n">
        <v>0</v>
      </c>
      <c r="D15" s="114" t="inlineStr">
        <is>
          <t>Call StartJoiningProcess with missing mandatory EntityDataType</t>
        </is>
      </c>
      <c r="E15" s="114" t="n"/>
      <c r="F15" s="114" t="n"/>
      <c r="G15" s="114" t="n"/>
      <c r="H15" s="114" t="n"/>
      <c r="I15" s="114" t="inlineStr">
        <is>
          <t>n</t>
        </is>
      </c>
      <c r="J15" s="114" t="inlineStr">
        <is>
          <t>OPC 40450-1 Section 11.1 CU-97</t>
        </is>
      </c>
      <c r="K15" s="115" t="n"/>
      <c r="L15" s="27" t="n"/>
      <c r="M15" s="28" t="n"/>
      <c r="N15" s="28" t="n"/>
    </row>
    <row r="16" ht="25.8" customHeight="1" s="132">
      <c r="A16" s="116" t="n"/>
      <c r="B16" s="117" t="n"/>
      <c r="C16" s="118" t="n">
        <v>1</v>
      </c>
      <c r="D16" s="118" t="inlineStr">
        <is>
          <t>Call without required entity data.</t>
        </is>
      </c>
      <c r="E16" s="118" t="inlineStr">
        <is>
          <t>Server claims this Conformance Unit; no additional runtime setup is needed for this step.</t>
        </is>
      </c>
      <c r="F16" s="118" t="inlineStr">
        <is>
          <t>Call Service returns Good; method result code is Uncertain. Status output is 5 (invalid input). StatusMessage explains the rejected input; no state change is performed.</t>
        </is>
      </c>
      <c r="G16" s="118" t="inlineStr">
        <is>
          <t>Good</t>
        </is>
      </c>
      <c r="H16" s="118" t="inlineStr">
        <is>
          <t>Uncertain; Status=5 output with StatusMessage</t>
        </is>
      </c>
      <c r="I16" s="118" t="n"/>
      <c r="J16" s="118" t="inlineStr">
        <is>
          <t>OPC 40450-1 Section 11.1 CU-97</t>
        </is>
      </c>
      <c r="K16" s="119" t="inlineStr">
        <is>
          <t>Requirement source: OPC 40450-1 Section 9.21 - Mandatory fields required.</t>
        </is>
      </c>
      <c r="L16" s="27" t="n"/>
      <c r="M16" s="28" t="n"/>
      <c r="N16" s="28" t="n"/>
    </row>
    <row r="17">
      <c r="A17" s="112" t="inlineStr">
        <is>
          <t>n</t>
        </is>
      </c>
      <c r="B17" s="113" t="n">
        <v>4</v>
      </c>
      <c r="C17" s="114" t="n">
        <v>0</v>
      </c>
      <c r="D17" s="114" t="inlineStr">
        <is>
          <t>Call StartJoiningProcess while another operation in progress</t>
        </is>
      </c>
      <c r="E17" s="114" t="n"/>
      <c r="F17" s="114" t="n"/>
      <c r="G17" s="114" t="n"/>
      <c r="H17" s="114" t="n"/>
      <c r="I17" s="114" t="inlineStr">
        <is>
          <t>n</t>
        </is>
      </c>
      <c r="J17" s="114" t="inlineStr">
        <is>
          <t>OPC 40450-1 Section 11.1 CU-97</t>
        </is>
      </c>
      <c r="K17" s="115" t="n"/>
      <c r="L17" s="27" t="n"/>
      <c r="M17" s="28" t="n"/>
      <c r="N17" s="28" t="n"/>
    </row>
    <row r="18">
      <c r="A18" s="116" t="n"/>
      <c r="B18" s="117" t="n"/>
      <c r="C18" s="118" t="n">
        <v>1</v>
      </c>
      <c r="D18" s="118" t="inlineStr">
        <is>
          <t>Start operation. Call again.</t>
        </is>
      </c>
      <c r="E18" s="118" t="inlineStr">
        <is>
          <t>Server claims this Conformance Unit; no additional runtime setup is needed for this step.</t>
        </is>
      </c>
      <c r="F18" s="118" t="inlineStr">
        <is>
          <t>Call Service returns Good; method result code is Uncertain when the requested state transition is not accepted. Status output is 1 (generic not OK/application state). StatusMessage explains the state precondition; no unintended state change is performed.</t>
        </is>
      </c>
      <c r="G18" s="118" t="inlineStr">
        <is>
          <t>Good</t>
        </is>
      </c>
      <c r="H18" s="118" t="inlineStr">
        <is>
          <t>Uncertain; Status=1 output with StatusMessage</t>
        </is>
      </c>
      <c r="I18" s="118" t="n"/>
      <c r="J18" s="118" t="inlineStr">
        <is>
          <t>OPC 40450-1 Section 11.1 CU-97</t>
        </is>
      </c>
      <c r="K18" s="119" t="inlineStr">
        <is>
          <t>Requirement source: OPC 40450-1 Section 9.21 - Concurrent start.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4.xml><?xml version="1.0" encoding="utf-8"?>
<worksheet xmlns="http://schemas.openxmlformats.org/spreadsheetml/2006/main">
  <sheetPr codeName="Sheet9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CU-98: Delete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CU-98 — Delete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DeleteJoiningProcess found in MethodSet with Executable=True</t>
        </is>
      </c>
      <c r="E4" s="58" t="n"/>
      <c r="F4" s="58" t="n"/>
      <c r="G4" s="58" t="n"/>
      <c r="H4" s="58" t="n"/>
      <c r="I4" s="58" t="inlineStr">
        <is>
          <t>n</t>
        </is>
      </c>
      <c r="J4" s="58" t="inlineStr">
        <is>
          <t>OPC 40450-1 Section 11.1 CU-98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DeleteJoiningProcess method. Read Executable attribute.</t>
        </is>
      </c>
      <c r="E5" s="89" t="inlineStr">
        <is>
          <t>OPC UA session. JoiningProcessManagement node accessible.</t>
        </is>
      </c>
      <c r="F5" s="89" t="inlineStr">
        <is>
          <t>DeleteJoiningProcess method node is found. Executable = True. UserExecutable = True.</t>
        </is>
      </c>
      <c r="G5" s="89" t="inlineStr">
        <is>
          <t>Good</t>
        </is>
      </c>
      <c r="H5" s="89" t="inlineStr">
        <is>
          <t>DeleteJoiningProcess found; Executable=True</t>
        </is>
      </c>
      <c r="I5" s="89" t="n"/>
      <c r="J5" s="89" t="inlineStr">
        <is>
          <t>OPC 40450-1 Section 11.1 CU-98</t>
        </is>
      </c>
      <c r="K5" s="90" t="n"/>
      <c r="L5" s="27" t="n"/>
      <c r="M5" s="28" t="n"/>
      <c r="N5" s="28" t="n"/>
    </row>
    <row r="6" ht="26.1" customHeight="1" s="132">
      <c r="A6" s="56" t="inlineStr">
        <is>
          <t>y</t>
        </is>
      </c>
      <c r="B6" s="57" t="n">
        <v>2</v>
      </c>
      <c r="C6" s="58" t="n">
        <v>0</v>
      </c>
      <c r="D6" s="58" t="inlineStr">
        <is>
          <t>Verify DeleteJoiningProcess removes process from GetJoiningProcessList</t>
        </is>
      </c>
      <c r="E6" s="58" t="n"/>
      <c r="F6" s="58" t="n"/>
      <c r="G6" s="58" t="n"/>
      <c r="H6" s="58" t="n"/>
      <c r="I6" s="58" t="inlineStr">
        <is>
          <t>n</t>
        </is>
      </c>
      <c r="J6" s="58" t="inlineStr">
        <is>
          <t>OPC 40450-1 Section 11.1 CU-98</t>
        </is>
      </c>
      <c r="K6" s="74" t="n"/>
      <c r="L6" s="27" t="n"/>
      <c r="M6" s="28" t="n"/>
      <c r="N6" s="28" t="n"/>
    </row>
    <row r="7" ht="39" customHeight="1" s="132">
      <c r="A7" s="87" t="n"/>
      <c r="B7" s="88" t="n"/>
      <c r="C7" s="89" t="n">
        <v>1</v>
      </c>
      <c r="D7" s="89" t="inlineStr">
        <is>
          <t>Call GetJoiningProcessList to get a process ID. Build JoiningProcessIdentificationDataType with that JoiningProcessId. Call DeleteJoiningProcess(ProductInstanceUri, JoiningProcessIdentification). Call GetJoiningProcessList again to verify removal.</t>
        </is>
      </c>
      <c r="E7" s="89" t="inlineStr">
        <is>
          <t>OPC UA session. At least one JoiningProcessId available. DeleteJoiningProcess Executable=True.</t>
        </is>
      </c>
      <c r="F7" s="89" t="inlineStr">
        <is>
          <t>DeleteJoiningProcess returns Good. The deleted JoiningProcessId is no longer present in the list returned by GetJoiningProcessList. Other processes in the list are unaffected.</t>
        </is>
      </c>
      <c r="G7" s="89" t="inlineStr">
        <is>
          <t>Good</t>
        </is>
      </c>
      <c r="H7" s="89" t="inlineStr">
        <is>
          <t>Good returned; deleted process no longer in GetJoiningProcessList; others unaffected</t>
        </is>
      </c>
      <c r="I7" s="89" t="n"/>
      <c r="J7" s="89" t="inlineStr">
        <is>
          <t>OPC 40450-1 Section 11.1 CU-98</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Uncertain/Status=4 on DeleteJoiningProcess for non-existent JoiningProcessId</t>
        </is>
      </c>
      <c r="E9" s="97" t="n"/>
      <c r="F9" s="97" t="n"/>
      <c r="G9" s="97" t="n"/>
      <c r="H9" s="97" t="n"/>
      <c r="I9" s="97" t="inlineStr">
        <is>
          <t>n</t>
        </is>
      </c>
      <c r="J9" s="97" t="inlineStr">
        <is>
          <t>OPC 40450-1 Section 11.1 CU-98</t>
        </is>
      </c>
      <c r="K9" s="98" t="inlineStr">
        <is>
          <t>CTT=n: requires testing deletion of non-existent process</t>
        </is>
      </c>
      <c r="L9" s="27" t="n"/>
      <c r="M9" s="28" t="n"/>
      <c r="N9" s="28" t="n"/>
    </row>
    <row r="10" ht="39" customHeight="1" s="132">
      <c r="A10" s="87" t="n"/>
      <c r="B10" s="88" t="n"/>
      <c r="C10" s="89" t="n">
        <v>1</v>
      </c>
      <c r="D10" s="89" t="inlineStr">
        <is>
          <t>Call DeleteJoiningProcess(ProductInstanceUri, JoiningProcessIdentification with JoiningProcessId set to a non-existent id).</t>
        </is>
      </c>
      <c r="E10" s="89" t="inlineStr">
        <is>
          <t>OPC UA session. DeleteJoiningProcess Executable=True.</t>
        </is>
      </c>
      <c r="F10" s="89" t="inlineStr">
        <is>
          <t>Call Service returns Good; method result code is Uncertain. Status output is 4 (input identifier/entity not found). StatusMessage explains the rejected input; no state change is performed.</t>
        </is>
      </c>
      <c r="G10" s="89" t="inlineStr">
        <is>
          <t>Good</t>
        </is>
      </c>
      <c r="H10" s="89" t="inlineStr">
        <is>
          <t>Uncertain; Status=4 output with StatusMessage</t>
        </is>
      </c>
      <c r="I10" s="89" t="n"/>
      <c r="J10" s="89" t="inlineStr">
        <is>
          <t>OPC 40450-1 Section 11.1 CU-98</t>
        </is>
      </c>
      <c r="K10" s="90" t="n"/>
      <c r="L10" s="27" t="n"/>
      <c r="M10" s="28" t="n"/>
      <c r="N10" s="28" t="n"/>
    </row>
    <row r="11" ht="39" customHeight="1" s="132">
      <c r="A11" s="95" t="inlineStr">
        <is>
          <t>n</t>
        </is>
      </c>
      <c r="B11" s="96" t="n">
        <v>2</v>
      </c>
      <c r="C11" s="97" t="n">
        <v>0</v>
      </c>
      <c r="D11" s="97" t="inlineStr">
        <is>
          <t>Verify Uncertain/Status=1 or auto-deselect on DeleteJoiningProcess for currently selected process</t>
        </is>
      </c>
      <c r="E11" s="97" t="n"/>
      <c r="F11" s="97" t="n"/>
      <c r="G11" s="97" t="n"/>
      <c r="H11" s="97" t="n"/>
      <c r="I11" s="97" t="inlineStr">
        <is>
          <t>n</t>
        </is>
      </c>
      <c r="J11" s="97" t="inlineStr">
        <is>
          <t>OPC 40450-1 Section 11.1 CU-98</t>
        </is>
      </c>
      <c r="K11" s="98" t="inlineStr">
        <is>
          <t>CTT=n: requires deleting the currently selected process</t>
        </is>
      </c>
      <c r="L11" s="27" t="n"/>
      <c r="M11" s="28" t="n"/>
      <c r="N11" s="28" t="n"/>
    </row>
    <row r="12" ht="51.6" customHeight="1" s="132">
      <c r="A12" s="87" t="n"/>
      <c r="B12" s="88" t="n"/>
      <c r="C12" s="89" t="n">
        <v>1</v>
      </c>
      <c r="D12" s="89" t="inlineStr">
        <is>
          <t>Select a joining process via SelectJoiningProcess. Build the same JoiningProcessIdentification and call DeleteJoiningProcess(ProductInstanceUri, JoiningProcessIdentification).</t>
        </is>
      </c>
      <c r="E12" s="89" t="inlineStr">
        <is>
          <t>OPC UA session. A process currently selected.</t>
        </is>
      </c>
      <c r="F12" s="89" t="inlineStr">
        <is>
          <t>Call Service returns Good; method result code is Uncertain when the requested state transition is not accepted. Status output is 1 (generic not OK/application state). StatusMessage explains the state precondition; no unintended state change is performed.</t>
        </is>
      </c>
      <c r="G12" s="89" t="inlineStr">
        <is>
          <t>Good</t>
        </is>
      </c>
      <c r="H12" s="89" t="inlineStr">
        <is>
          <t>Uncertain; Status=1 output with StatusMessage</t>
        </is>
      </c>
      <c r="I12" s="89" t="n"/>
      <c r="J12" s="89" t="inlineStr">
        <is>
          <t>OPC 40450-1 Section 11.1 CU-98</t>
        </is>
      </c>
      <c r="K12" s="90" t="n"/>
      <c r="L12" s="27" t="n"/>
      <c r="M12" s="28" t="n"/>
      <c r="N12" s="28" t="n"/>
    </row>
    <row r="13" ht="25.8" customHeight="1" s="132">
      <c r="A13" s="95" t="inlineStr">
        <is>
          <t>n</t>
        </is>
      </c>
      <c r="B13" s="96" t="n">
        <v>3</v>
      </c>
      <c r="C13" s="97" t="n">
        <v>0</v>
      </c>
      <c r="D13" s="97" t="inlineStr">
        <is>
          <t>Verify Uncertain/Status=2 on DeleteJoiningProcess with invalid ProductInstanceUri</t>
        </is>
      </c>
      <c r="E13" s="97" t="n"/>
      <c r="F13" s="97" t="n"/>
      <c r="G13" s="97" t="n"/>
      <c r="H13" s="97" t="n"/>
      <c r="I13" s="97" t="inlineStr">
        <is>
          <t>n</t>
        </is>
      </c>
      <c r="J13" s="97" t="inlineStr">
        <is>
          <t>OPC 40450-1 Section 11.1 CU-98</t>
        </is>
      </c>
      <c r="K13" s="98" t="inlineStr">
        <is>
          <t>CTT=n: requires testing invalid argument</t>
        </is>
      </c>
      <c r="L13" s="27" t="n"/>
      <c r="M13" s="28" t="n"/>
      <c r="N13" s="28" t="n"/>
    </row>
    <row r="14" ht="39" customHeight="1" s="132">
      <c r="A14" s="87" t="n"/>
      <c r="B14" s="88" t="n"/>
      <c r="C14" s="89" t="n">
        <v>1</v>
      </c>
      <c r="D14" s="89" t="inlineStr">
        <is>
          <t>Call DeleteJoiningProcess with an invalid ProductInstanceUri.</t>
        </is>
      </c>
      <c r="E14" s="89" t="inlineStr">
        <is>
          <t>OPC UA session. DeleteJoiningProcess Executable=True.</t>
        </is>
      </c>
      <c r="F14" s="89" t="inlineStr">
        <is>
          <t>Call Service returns Good; method result code is Uncertain. Status output is 2 (ProductInstanceUri not found). StatusMessage explains the rejected input; no state change is performed.</t>
        </is>
      </c>
      <c r="G14" s="89" t="inlineStr">
        <is>
          <t>Good</t>
        </is>
      </c>
      <c r="H14" s="89" t="inlineStr">
        <is>
          <t>Uncertain; Status=2 output with StatusMessage</t>
        </is>
      </c>
      <c r="I14" s="89" t="n"/>
      <c r="J14" s="89" t="inlineStr">
        <is>
          <t>OPC 40450-1 Section 11.1 CU-98</t>
        </is>
      </c>
      <c r="K14" s="90" t="n"/>
      <c r="L14" s="27" t="n"/>
      <c r="M14" s="28" t="n"/>
      <c r="N14" s="28" t="n"/>
    </row>
    <row r="15" ht="26.1" customHeight="1" s="132">
      <c r="A15" s="112" t="inlineStr">
        <is>
          <t>n</t>
        </is>
      </c>
      <c r="B15" s="113" t="n">
        <v>4</v>
      </c>
      <c r="C15" s="114" t="n">
        <v>0</v>
      </c>
      <c r="D15" s="114" t="inlineStr">
        <is>
          <t>Call DeleteJoiningProcess with non-existent JoiningProcessId</t>
        </is>
      </c>
      <c r="E15" s="114" t="n"/>
      <c r="F15" s="114" t="n"/>
      <c r="G15" s="114" t="n"/>
      <c r="H15" s="114" t="n"/>
      <c r="I15" s="114" t="inlineStr">
        <is>
          <t>n</t>
        </is>
      </c>
      <c r="J15" s="114" t="inlineStr">
        <is>
          <t>OPC 40450-1 Section 11.1 CU-98</t>
        </is>
      </c>
      <c r="K15" s="115" t="n"/>
      <c r="L15" s="27" t="n"/>
      <c r="M15" s="28" t="n"/>
      <c r="N15" s="28" t="n"/>
    </row>
    <row r="16">
      <c r="A16" s="116" t="n"/>
      <c r="B16" s="117" t="n"/>
      <c r="C16" s="118" t="n">
        <v>1</v>
      </c>
      <c r="D16" s="118" t="inlineStr">
        <is>
          <t>Call DeleteJoiningProcess(ProductInstanceUri, JoiningProcessIdentification with a fabricated JoiningProcessId).</t>
        </is>
      </c>
      <c r="E16" s="118" t="inlineStr">
        <is>
          <t>Server claims this Conformance Unit; no additional runtime setup is needed for this step.</t>
        </is>
      </c>
      <c r="F16" s="118" t="inlineStr">
        <is>
          <t>Call Service returns Good; method result code is Uncertain. Status output is 4 (input identifier/entity not found). StatusMessage explains the rejected input; no state change is performed.</t>
        </is>
      </c>
      <c r="G16" s="118" t="inlineStr">
        <is>
          <t>Good</t>
        </is>
      </c>
      <c r="H16" s="118" t="inlineStr">
        <is>
          <t>Uncertain; Status=4 output with StatusMessage</t>
        </is>
      </c>
      <c r="I16" s="118" t="n"/>
      <c r="J16" s="118" t="inlineStr">
        <is>
          <t>OPC 40450-1 Section 11.1 CU-98</t>
        </is>
      </c>
      <c r="K16" s="119" t="inlineStr">
        <is>
          <t>Requirement source: OPC 40450-1 Section 9.22 - Process must exist.</t>
        </is>
      </c>
      <c r="L16" s="27" t="n"/>
      <c r="M16" s="28" t="n"/>
      <c r="N16" s="28" t="n"/>
    </row>
    <row r="17">
      <c r="A17" s="112" t="inlineStr">
        <is>
          <t>n</t>
        </is>
      </c>
      <c r="B17" s="113" t="n">
        <v>5</v>
      </c>
      <c r="C17" s="114" t="n">
        <v>0</v>
      </c>
      <c r="D17" s="114" t="inlineStr">
        <is>
          <t>Call DeleteJoiningProcess on currently active process</t>
        </is>
      </c>
      <c r="E17" s="114" t="n"/>
      <c r="F17" s="114" t="n"/>
      <c r="G17" s="114" t="n"/>
      <c r="H17" s="114" t="n"/>
      <c r="I17" s="114" t="inlineStr">
        <is>
          <t>n</t>
        </is>
      </c>
      <c r="J17" s="114" t="inlineStr">
        <is>
          <t>OPC 40450-1 Section 11.1 CU-98</t>
        </is>
      </c>
      <c r="K17" s="115" t="n"/>
      <c r="L17" s="27" t="n"/>
      <c r="M17" s="28" t="n"/>
      <c r="N17" s="28" t="n"/>
    </row>
    <row r="18">
      <c r="A18" s="116" t="n"/>
      <c r="B18" s="117" t="n"/>
      <c r="C18" s="118" t="n">
        <v>1</v>
      </c>
      <c r="D18" s="118" t="inlineStr">
        <is>
          <t>Select and start process. Try to delete.</t>
        </is>
      </c>
      <c r="E18" s="118" t="inlineStr">
        <is>
          <t>Server claims this Conformance Unit; no additional runtime setup is needed for this step.</t>
        </is>
      </c>
      <c r="F18" s="118" t="inlineStr">
        <is>
          <t>Call Service returns Good; method result code is Uncertain when the requested state transition is not accepted. Status output is 1 (generic not OK/application state). StatusMessage explains the state precondition; no unintended state change is performed.</t>
        </is>
      </c>
      <c r="G18" s="118" t="inlineStr">
        <is>
          <t>Good</t>
        </is>
      </c>
      <c r="H18" s="118" t="inlineStr">
        <is>
          <t>Uncertain; Status=1 output with StatusMessage</t>
        </is>
      </c>
      <c r="I18" s="118" t="n"/>
      <c r="J18" s="118" t="inlineStr">
        <is>
          <t>OPC 40450-1 Section 11.1 CU-98</t>
        </is>
      </c>
      <c r="K18" s="119" t="inlineStr">
        <is>
          <t>Requirement source: OPC 40450-1 Section 9.22 - Cannot delete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5.xml><?xml version="1.0" encoding="utf-8"?>
<worksheet xmlns="http://schemas.openxmlformats.org/spreadsheetml/2006/main">
  <sheetPr codeName="Sheet9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CU-99: Get Selected Joining Program</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CU-99 — Get Selected Joining Program</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GetSelectedJoiningProgram found in MethodSet with Executable=True</t>
        </is>
      </c>
      <c r="E4" s="58" t="n"/>
      <c r="F4" s="58" t="n"/>
      <c r="G4" s="58" t="n"/>
      <c r="H4" s="58" t="n"/>
      <c r="I4" s="58" t="inlineStr">
        <is>
          <t>n</t>
        </is>
      </c>
      <c r="J4" s="58" t="inlineStr">
        <is>
          <t>OPC 40450-1 Section 11.1 CU-99</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Browse JoiningProcessManagement node for GetSelectedJoiningProgram method. Read Executable attribute.</t>
        </is>
      </c>
      <c r="E5" s="89" t="inlineStr">
        <is>
          <t>OPC UA session. JoiningProcessManagement node accessible.</t>
        </is>
      </c>
      <c r="F5" s="89" t="inlineStr">
        <is>
          <t>GetSelectedJoiningProgram method node is found. Executable = True. UserExecutable = True.</t>
        </is>
      </c>
      <c r="G5" s="89" t="inlineStr">
        <is>
          <t>Good</t>
        </is>
      </c>
      <c r="H5" s="89" t="inlineStr">
        <is>
          <t>GetSelectedJoiningProgram found; Executable=True</t>
        </is>
      </c>
      <c r="I5" s="89" t="n"/>
      <c r="J5" s="89" t="inlineStr">
        <is>
          <t>OPC 40450-1 Section 11.1 CU-99</t>
        </is>
      </c>
      <c r="K5" s="90" t="n"/>
      <c r="L5" s="27" t="n"/>
      <c r="M5" s="28" t="n"/>
      <c r="N5" s="28" t="n"/>
    </row>
    <row r="6" ht="26.1" customHeight="1" s="132">
      <c r="A6" s="56" t="inlineStr">
        <is>
          <t>y</t>
        </is>
      </c>
      <c r="B6" s="57" t="n">
        <v>2</v>
      </c>
      <c r="C6" s="58" t="n">
        <v>0</v>
      </c>
      <c r="D6" s="58" t="inlineStr">
        <is>
          <t>Verify GetSelectedJoiningProgram returns selected program data</t>
        </is>
      </c>
      <c r="E6" s="58" t="n"/>
      <c r="F6" s="58" t="n"/>
      <c r="G6" s="58" t="n"/>
      <c r="H6" s="58" t="n"/>
      <c r="I6" s="58" t="inlineStr">
        <is>
          <t>n</t>
        </is>
      </c>
      <c r="J6" s="58" t="inlineStr">
        <is>
          <t>OPC 40450-1 Section 11.1 CU-99</t>
        </is>
      </c>
      <c r="K6" s="74" t="n"/>
      <c r="L6" s="27" t="n"/>
      <c r="M6" s="28" t="n"/>
      <c r="N6" s="28" t="n"/>
    </row>
    <row r="7" ht="39" customHeight="1" s="132">
      <c r="A7" s="87" t="n"/>
      <c r="B7" s="88" t="n"/>
      <c r="C7" s="89" t="n">
        <v>1</v>
      </c>
      <c r="D7" s="89" t="inlineStr">
        <is>
          <t>Select a process using SelectJoiningProcess(ProductInstanceUri, JoiningProcessIdentification). Call GetSelectedJoiningProgram. Inspect output.</t>
        </is>
      </c>
      <c r="E7" s="89" t="inlineStr">
        <is>
          <t>OPC UA session. GetSelectedJoiningProgram Executable=True. A process selected via SelectJoiningProcess.</t>
        </is>
      </c>
      <c r="F7" s="89" t="inlineStr">
        <is>
          <t>GetSelectedJoiningProgram returns Good. Output argument SelectedJoiningProgram contains JoiningProcessMetaDataType for the selected process. The JoiningProcessId matches the process that was selected.</t>
        </is>
      </c>
      <c r="G7" s="89" t="inlineStr">
        <is>
          <t>Good</t>
        </is>
      </c>
      <c r="H7" s="89" t="inlineStr">
        <is>
          <t>Good returned; SelectedJoiningProgram matches previously selected JoiningProcessId</t>
        </is>
      </c>
      <c r="I7" s="89" t="n"/>
      <c r="J7" s="89" t="inlineStr">
        <is>
          <t>OPC 40450-1 Section 11.1 CU-99</t>
        </is>
      </c>
      <c r="K7" s="90" t="n"/>
      <c r="L7" s="27" t="n"/>
      <c r="M7" s="28" t="n"/>
      <c r="N7" s="28" t="n"/>
    </row>
    <row r="8" ht="39" customHeight="1" s="132">
      <c r="A8" s="56" t="inlineStr">
        <is>
          <t>y</t>
        </is>
      </c>
      <c r="B8" s="57" t="n">
        <v>3</v>
      </c>
      <c r="C8" s="58" t="n">
        <v>0</v>
      </c>
      <c r="D8" s="58" t="inlineStr">
        <is>
          <t>Verify returned SelectedJoiningProgram metadata has valid JoiningProcessId and optional fields</t>
        </is>
      </c>
      <c r="E8" s="58" t="n"/>
      <c r="F8" s="58" t="n"/>
      <c r="G8" s="58" t="n"/>
      <c r="H8" s="58" t="n"/>
      <c r="I8" s="58" t="inlineStr">
        <is>
          <t>n</t>
        </is>
      </c>
      <c r="J8" s="58" t="inlineStr">
        <is>
          <t>OPC 40450-1 Section 11.1 CU-99</t>
        </is>
      </c>
      <c r="K8" s="74" t="n"/>
      <c r="L8" s="27" t="n"/>
      <c r="M8" s="28" t="n"/>
      <c r="N8" s="28" t="n"/>
    </row>
    <row r="9" ht="51.6" customHeight="1" s="132">
      <c r="A9" s="87" t="n"/>
      <c r="B9" s="88" t="n"/>
      <c r="C9" s="89" t="n">
        <v>1</v>
      </c>
      <c r="D9" s="89" t="inlineStr">
        <is>
          <t>Inspect the output from GetSelectedJoiningProgram in TC#2.</t>
        </is>
      </c>
      <c r="E9" s="89" t="inlineStr">
        <is>
          <t>GetSelectedJoiningProgram output from TC#2.</t>
        </is>
      </c>
      <c r="F9" s="89" t="inlineStr">
        <is>
          <t>Each returned joining process entry contains the CU-required fields JoiningProcessId, CreationTime, LastUpdatedTime, Name, JoiningTechnology, and Classification.</t>
        </is>
      </c>
      <c r="G9" s="89" t="inlineStr">
        <is>
          <t>Good</t>
        </is>
      </c>
      <c r="H9" s="89" t="inlineStr">
        <is>
          <t>CU-required joining process fields present and populated</t>
        </is>
      </c>
      <c r="I9" s="89" t="n"/>
      <c r="J9" s="89" t="inlineStr">
        <is>
          <t>OPC 40450-1 Section 11.1 CU-99</t>
        </is>
      </c>
      <c r="K9" s="90" t="n"/>
      <c r="L9" s="27" t="n"/>
      <c r="M9" s="28" t="n"/>
      <c r="N9" s="28" t="n"/>
    </row>
    <row r="10" ht="39" customHeight="1" s="132">
      <c r="A10" s="56" t="inlineStr">
        <is>
          <t>y</t>
        </is>
      </c>
      <c r="B10" s="57" t="n">
        <v>5</v>
      </c>
      <c r="C10" s="58" t="n">
        <v>0</v>
      </c>
      <c r="D10" s="58" t="inlineStr">
        <is>
          <t>Verify GetSelectedJoiningProgram returns no process after DeselectJoiningProcess</t>
        </is>
      </c>
      <c r="E10" s="58" t="n"/>
      <c r="F10" s="58" t="n"/>
      <c r="G10" s="58" t="n"/>
      <c r="H10" s="58" t="n"/>
      <c r="I10" s="58" t="inlineStr">
        <is>
          <t>n</t>
        </is>
      </c>
      <c r="J10" s="58" t="inlineStr">
        <is>
          <t>OPC 40450-1 Section 11.1 CU-99</t>
        </is>
      </c>
      <c r="K10" s="74" t="n"/>
      <c r="L10" s="27" t="n"/>
      <c r="M10" s="28" t="n"/>
      <c r="N10" s="28" t="n"/>
    </row>
    <row r="11" ht="51.6" customHeight="1" s="132">
      <c r="A11" s="87" t="n"/>
      <c r="B11" s="88" t="n"/>
      <c r="C11" s="89" t="n">
        <v>1</v>
      </c>
      <c r="D11" s="89" t="inlineStr">
        <is>
          <t>Call DeselectJoiningProcess to deselect the current program. Call GetSelectedJoiningProgram.</t>
        </is>
      </c>
      <c r="E11" s="89" t="inlineStr">
        <is>
          <t>OPC UA session. DeselectJoiningProcess returned Good. No process selected.</t>
        </is>
      </c>
      <c r="F11" s="89" t="inlineStr">
        <is>
          <t>GetSelectedJoiningProgram returns Good. Output indicates no selected joining program (empty/null according to method output encoding) and no stale prior selection is returned.</t>
        </is>
      </c>
      <c r="G11" s="89" t="inlineStr">
        <is>
          <t>Good</t>
        </is>
      </c>
      <c r="H11" s="89" t="inlineStr">
        <is>
          <t>Good; no selected program returned</t>
        </is>
      </c>
      <c r="I11" s="89" t="n"/>
      <c r="J11" s="89" t="inlineStr">
        <is>
          <t>OPC 40450-1 Section 11.1 CU-99</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Good with empty/null output or Uncertain/Status=1 when no process is selected</t>
        </is>
      </c>
      <c r="E13" s="97" t="n"/>
      <c r="F13" s="97" t="n"/>
      <c r="G13" s="97" t="n"/>
      <c r="H13" s="97" t="n"/>
      <c r="I13" s="97" t="inlineStr">
        <is>
          <t>n</t>
        </is>
      </c>
      <c r="J13" s="97" t="inlineStr">
        <is>
          <t>OPC 40450-1 Section 11.1 CU-99</t>
        </is>
      </c>
      <c r="K13" s="98" t="inlineStr">
        <is>
          <t>CTT=n: requires testing get when no process selected</t>
        </is>
      </c>
      <c r="L13" s="27" t="n"/>
      <c r="M13" s="28" t="n"/>
      <c r="N13" s="28" t="n"/>
    </row>
    <row r="14" ht="51.6" customHeight="1" s="132">
      <c r="A14" s="87" t="n"/>
      <c r="B14" s="88" t="n"/>
      <c r="C14" s="89" t="n">
        <v>1</v>
      </c>
      <c r="D14" s="89" t="inlineStr">
        <is>
          <t>Ensure no process is currently selected (deselect or use fresh state). Call GetSelectedJoiningProgram.</t>
        </is>
      </c>
      <c r="E14" s="89" t="inlineStr">
        <is>
          <t>OPC UA session. No process currently selected.</t>
        </is>
      </c>
      <c r="F14" s="89" t="inlineStr">
        <is>
          <t>Call Service returns Good with an empty/null selected-program output, or method result code Uncertain with Status output 1 when the server represents no selected program as application state. StatusMessage explains the condition; no stale selection is returned.</t>
        </is>
      </c>
      <c r="G14" s="89" t="inlineStr">
        <is>
          <t>Good</t>
        </is>
      </c>
      <c r="H14" s="89" t="inlineStr">
        <is>
          <t>Good or Uncertain; empty/null output or Status=1 with StatusMessage</t>
        </is>
      </c>
      <c r="I14" s="89" t="n"/>
      <c r="J14" s="89" t="inlineStr">
        <is>
          <t>OPC 40450-1 Section 11.1 CU-99</t>
        </is>
      </c>
      <c r="K14" s="90" t="n"/>
      <c r="L14" s="27" t="n"/>
      <c r="M14" s="28" t="n"/>
      <c r="N14" s="28" t="n"/>
    </row>
    <row r="15">
      <c r="A15" s="112" t="inlineStr">
        <is>
          <t>n</t>
        </is>
      </c>
      <c r="B15" s="113" t="n">
        <v>2</v>
      </c>
      <c r="C15" s="114" t="n">
        <v>0</v>
      </c>
      <c r="D15" s="114" t="inlineStr">
        <is>
          <t>Call GetSelectedJoiningProgram when no program selected</t>
        </is>
      </c>
      <c r="E15" s="114" t="n"/>
      <c r="F15" s="114" t="n"/>
      <c r="G15" s="114" t="n"/>
      <c r="H15" s="114" t="n"/>
      <c r="I15" s="114" t="inlineStr">
        <is>
          <t>n</t>
        </is>
      </c>
      <c r="J15" s="114" t="inlineStr">
        <is>
          <t>OPC 40450-1 Section 11.1 CU-99</t>
        </is>
      </c>
      <c r="K15" s="115" t="n"/>
      <c r="L15" s="27" t="n"/>
      <c r="M15" s="28" t="n"/>
      <c r="N15" s="28" t="n"/>
    </row>
    <row r="16">
      <c r="A16" s="116" t="n"/>
      <c r="B16" s="117" t="n"/>
      <c r="C16" s="118" t="n">
        <v>1</v>
      </c>
      <c r="D16" s="118" t="inlineStr">
        <is>
          <t>Call without selection.</t>
        </is>
      </c>
      <c r="E16" s="118" t="inlineStr">
        <is>
          <t>Server claims this Conformance Unit; no additional runtime setup is needed for this step.</t>
        </is>
      </c>
      <c r="F16" s="118" t="inlineStr">
        <is>
          <t>Returns Good with null/empty result, or returns Uncertain/Status=1 with StatusMessage when the server represents "no selection" through method status.</t>
        </is>
      </c>
      <c r="G16" s="118" t="inlineStr">
        <is>
          <t>Good</t>
        </is>
      </c>
      <c r="H16" s="118" t="inlineStr">
        <is>
          <t>Good with null/empty result, or Uncertain/Status=1 with StatusMessage</t>
        </is>
      </c>
      <c r="I16" s="118" t="n"/>
      <c r="J16" s="118" t="inlineStr">
        <is>
          <t>OPC 40450-1 Section 11.1 CU-99</t>
        </is>
      </c>
      <c r="K16" s="119" t="inlineStr">
        <is>
          <t>No-selection representation is controller/server policy; both encodings are accepted when clearly reported.</t>
        </is>
      </c>
    </row>
    <row r="17" customFormat="1" s="138">
      <c r="A17" s="112" t="inlineStr">
        <is>
          <t>n</t>
        </is>
      </c>
      <c r="B17" s="110" t="n">
        <v>3</v>
      </c>
      <c r="C17" s="110" t="n">
        <v>0</v>
      </c>
      <c r="D17" s="110" t="inlineStr">
        <is>
          <t>Verify mandatory metadata fields in result</t>
        </is>
      </c>
      <c r="E17" s="110" t="n"/>
      <c r="F17" s="110" t="n"/>
      <c r="G17" s="110" t="n"/>
      <c r="H17" s="110" t="n"/>
      <c r="I17" s="110" t="inlineStr">
        <is>
          <t>n</t>
        </is>
      </c>
      <c r="J17" s="110" t="inlineStr">
        <is>
          <t>OPC 40450-1 Section 11.1 CU-99</t>
        </is>
      </c>
      <c r="K17" s="115" t="n"/>
    </row>
    <row r="18">
      <c r="A18" s="120" t="n"/>
      <c r="B18" s="121" t="n"/>
      <c r="C18" s="122" t="n">
        <v>1</v>
      </c>
      <c r="D18" s="122" t="inlineStr">
        <is>
          <t>Select process. Call GetSelectedJoiningProgram.</t>
        </is>
      </c>
      <c r="E18" s="122" t="inlineStr">
        <is>
          <t>Server claims this Conformance Unit; no additional runtime setup is needed for this step.</t>
        </is>
      </c>
      <c r="F18" s="122" t="inlineStr">
        <is>
          <t>Returned SelectedJoiningProgram contains the CU-required fields JoiningProcessId, CreationTime, LastUpdatedTime, Name, JoiningTechnology, and Classification.</t>
        </is>
      </c>
      <c r="G18" s="122" t="inlineStr">
        <is>
          <t>Good</t>
        </is>
      </c>
      <c r="H18" s="122" t="inlineStr">
        <is>
          <t>CU-required selected-program metadata fields present and populated</t>
        </is>
      </c>
      <c r="I18" s="122" t="n"/>
      <c r="J18" s="122" t="inlineStr">
        <is>
          <t>OPC 40450-1 Section 11.1 CU-99</t>
        </is>
      </c>
      <c r="K18" s="123" t="inlineStr">
        <is>
          <t>Requirement source: OPC 40450-1 GetSelectedJoiningProgram returns SelectedJoiningProgram as JoiningProcessMetaDataType.</t>
        </is>
      </c>
    </row>
    <row r="19">
      <c r="A19" s="110" t="inlineStr">
        <is>
          <t>n</t>
        </is>
      </c>
      <c r="B19" s="110" t="n">
        <v>4</v>
      </c>
      <c r="C19" s="110" t="n">
        <v>0</v>
      </c>
      <c r="D19" s="110" t="inlineStr">
        <is>
          <t>Verify result matches SelectJoiningProcess input</t>
        </is>
      </c>
      <c r="E19" s="110" t="n"/>
      <c r="F19" s="110" t="n"/>
      <c r="G19" s="110" t="n"/>
      <c r="H19" s="110" t="n"/>
      <c r="I19" s="110" t="inlineStr">
        <is>
          <t>n</t>
        </is>
      </c>
      <c r="J19" s="110" t="inlineStr">
        <is>
          <t>OPC 40450-1 Section 11.1 CU-99</t>
        </is>
      </c>
      <c r="K19" s="110" t="n"/>
    </row>
    <row r="20">
      <c r="A20" s="111" t="n"/>
      <c r="B20" s="111" t="n"/>
      <c r="C20" s="111" t="n">
        <v>1</v>
      </c>
      <c r="D20" s="111" t="inlineStr">
        <is>
          <t>Select process X using SelectJoiningProcess(ProductInstanceUri, JoiningProcessIdentification). Call GetSelectedJoiningProgram.</t>
        </is>
      </c>
      <c r="E20" s="111" t="inlineStr">
        <is>
          <t>Server claims this Conformance Unit; no additional runtime setup is needed for this step.</t>
        </is>
      </c>
      <c r="F20" s="111" t="inlineStr">
        <is>
          <t>Returned JoiningProcessId matches X.</t>
        </is>
      </c>
      <c r="G20" s="111" t="inlineStr">
        <is>
          <t>Good</t>
        </is>
      </c>
      <c r="H20" s="111" t="n"/>
      <c r="I20" s="111" t="n"/>
      <c r="J20" s="111" t="inlineStr">
        <is>
          <t>OPC 40450-1 Section 11.1 CU-99</t>
        </is>
      </c>
      <c r="K20" s="111" t="inlineStr">
        <is>
          <t>Requirement source: OPC 40450-1 Section 9.23 - Consistency check.</t>
        </is>
      </c>
    </row>
  </sheetData>
  <mergeCells count="2">
    <mergeCell ref="A1:K1"/>
    <mergeCell ref="C2:J2"/>
  </mergeCells>
  <pageMargins left="0.7" right="0.7" top="0.75" bottom="0.75" header="0.3" footer="0.3"/>
</worksheet>
</file>

<file path=xl/worksheets/sheet10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CU-100: IJT Send Joining Process</t>
        </is>
      </c>
    </row>
    <row r="2" ht="20.05" customHeight="1" s="132">
      <c r="A2" s="75">
        <f>HYPERLINK("#'Home'!A1","⌂ Home")</f>
        <v/>
      </c>
      <c r="C2" s="150" t="inlineStr">
        <is>
          <t>CU-100 — IJT Send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SendJoiningProcess method exists with correct input signature</t>
        </is>
      </c>
      <c r="E4" s="67" t="n"/>
      <c r="F4" s="67" t="n"/>
      <c r="G4" s="67" t="n"/>
      <c r="H4" s="67" t="n"/>
      <c r="I4" s="67" t="inlineStr">
        <is>
          <t>n</t>
        </is>
      </c>
      <c r="J4" s="67" t="inlineStr">
        <is>
          <t>OPC 40450-1 Section 11 (CU-100) / Section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or JoiningSystem/MethodSet. Verify SendJoiningProcess method node.</t>
        </is>
      </c>
      <c r="E5" s="61" t="inlineStr">
        <is>
          <t>JoiningSystem with JoiningProcessManagement.</t>
        </is>
      </c>
      <c r="F5" s="61" t="inlineStr">
        <is>
          <t>SendJoiningProcess found. NodeClass = Method. InputArguments: ProductInstanceUri (String), JoiningProcess (JoiningProcessDataType ExtensionObject), SelectionName (TrimmedString, optional/empty allowed). OutputArguments: Status (Int64) and StatusMessage (LocalizedText).</t>
        </is>
      </c>
      <c r="G5" s="61" t="inlineStr">
        <is>
          <t>Good</t>
        </is>
      </c>
      <c r="H5" s="61" t="inlineStr">
        <is>
          <t>Good</t>
        </is>
      </c>
      <c r="I5" s="61" t="n"/>
      <c r="J5" s="61" t="inlineStr">
        <is>
          <t>OPC 40450-1 Section 7.3 SendJoiningProcess</t>
        </is>
      </c>
      <c r="K5" s="61" t="n"/>
    </row>
    <row r="6" ht="25.8" customHeight="1" s="132">
      <c r="A6" s="67" t="inlineStr">
        <is>
          <t>y</t>
        </is>
      </c>
      <c r="B6" s="67" t="n">
        <v>2</v>
      </c>
      <c r="C6" s="67" t="n">
        <v>0</v>
      </c>
      <c r="D6" s="67" t="inlineStr">
        <is>
          <t>Verify SendJoiningProcess with a valid JoiningProcessDataType succeeds</t>
        </is>
      </c>
      <c r="E6" s="67" t="n"/>
      <c r="F6" s="67" t="n"/>
      <c r="G6" s="67" t="n"/>
      <c r="H6" s="67" t="n"/>
      <c r="I6" s="67" t="inlineStr">
        <is>
          <t>n</t>
        </is>
      </c>
      <c r="J6" s="67" t="inlineStr">
        <is>
          <t>OPC 40450-1 Section 11 (CU-100) / Section 7.3</t>
        </is>
      </c>
      <c r="K6" s="67" t="n"/>
    </row>
    <row r="7" ht="25.8" customHeight="1" s="132">
      <c r="A7" s="61" t="n"/>
      <c r="B7" s="61" t="n"/>
      <c r="C7" s="61" t="n">
        <v>1</v>
      </c>
      <c r="D7" s="61" t="inlineStr">
        <is>
          <t>Construct a valid JoiningProcessDataType with JoiningProcessMetaData.JoiningProcessId and JoiningProcessContent[] as application-specific BaseDataType[] content. Call SendJoiningProcess.</t>
        </is>
      </c>
      <c r="E7" s="61" t="inlineStr">
        <is>
          <t>SendJoiningProcess available. JoiningProcessDataType schema known: JoiningProcessMetaData plus application-specific JoiningProcessContent[]; do not infer a CDM JoiningProgram structure.</t>
        </is>
      </c>
      <c r="F7" s="61" t="inlineStr">
        <is>
          <t>Returns Good/domain success. Joining process is stored on the device. Subsequent GetJoiningProcessList includes the new JoiningProcessMetaData.JoiningProcessId.</t>
        </is>
      </c>
      <c r="G7" s="61" t="inlineStr">
        <is>
          <t>Good</t>
        </is>
      </c>
      <c r="H7" s="61" t="inlineStr">
        <is>
          <t>Good</t>
        </is>
      </c>
      <c r="I7" s="61" t="n"/>
      <c r="J7" s="61" t="inlineStr">
        <is>
          <t>OPC 40450-1 Section 7.3 / Section 10 JoiningProcessDataType</t>
        </is>
      </c>
      <c r="K7" s="61" t="n"/>
    </row>
    <row r="8" ht="25.8" customHeight="1" s="132">
      <c r="A8" s="67" t="inlineStr">
        <is>
          <t>y</t>
        </is>
      </c>
      <c r="B8" s="67" t="n">
        <v>3</v>
      </c>
      <c r="C8" s="67" t="n">
        <v>0</v>
      </c>
      <c r="D8" s="67" t="inlineStr">
        <is>
          <t>Verify re-sending with same JoiningProcessId updates the process</t>
        </is>
      </c>
      <c r="E8" s="67" t="n"/>
      <c r="F8" s="67" t="n"/>
      <c r="G8" s="67" t="n"/>
      <c r="H8" s="67" t="n"/>
      <c r="I8" s="67" t="inlineStr">
        <is>
          <t>n</t>
        </is>
      </c>
      <c r="J8" s="67" t="inlineStr">
        <is>
          <t>OPC 40450-1 Section 11 (CU-100) / Section 7.3</t>
        </is>
      </c>
      <c r="K8" s="67" t="n"/>
    </row>
    <row r="9" ht="51.6" customHeight="1" s="132">
      <c r="A9" s="61" t="n"/>
      <c r="B9" s="61" t="n"/>
      <c r="C9" s="61" t="n">
        <v>1</v>
      </c>
      <c r="D9" s="61" t="inlineStr">
        <is>
          <t>Send a process with JoiningProcessId = "PROC-001". Then send again with the same JoiningProcessId but modified optional metadata/content.</t>
        </is>
      </c>
      <c r="E9" s="61" t="inlineStr">
        <is>
          <t>JoiningProcessId "PROC-001" already stored from previous step.</t>
        </is>
      </c>
      <c r="F9" s="61" t="inlineStr">
        <is>
          <t>Second SendJoiningProcess returns Good/domain success. GetJoiningProcess("PROC-001") returns updated optional metadata/content where the implementation supports those fields. Device either updates in-place or replaces the existing process.</t>
        </is>
      </c>
      <c r="G9" s="61" t="inlineStr">
        <is>
          <t>Good</t>
        </is>
      </c>
      <c r="H9" s="61" t="inlineStr">
        <is>
          <t>Good</t>
        </is>
      </c>
      <c r="I9" s="61" t="n"/>
      <c r="J9" s="61" t="inlineStr">
        <is>
          <t>OPC 40450-1 Section 7.3 SendJoiningProcess</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SendJoiningProcess with malformed JoiningProcessDataType returns error</t>
        </is>
      </c>
      <c r="E11" s="69" t="n"/>
      <c r="F11" s="69" t="n"/>
      <c r="G11" s="69" t="n"/>
      <c r="H11" s="69" t="n"/>
      <c r="I11" s="69" t="inlineStr">
        <is>
          <t>n</t>
        </is>
      </c>
      <c r="J11" s="69" t="inlineStr">
        <is>
          <t>OPC 40450-1 Section 11 (CU-100) / Section 7.3</t>
        </is>
      </c>
      <c r="K11" s="69" t="n"/>
    </row>
    <row r="12" ht="25.8" customHeight="1" s="132">
      <c r="A12" s="61" t="n"/>
      <c r="B12" s="61" t="n"/>
      <c r="C12" s="61" t="n">
        <v>1</v>
      </c>
      <c r="D12" s="61" t="inlineStr">
        <is>
          <t>Call SendJoiningProcess with a null or empty ExtensionObject for JoiningProcess.</t>
        </is>
      </c>
      <c r="E12" s="61" t="inlineStr">
        <is>
          <t>SendJoiningProcess method available.</t>
        </is>
      </c>
      <c r="F12" s="61" t="inlineStr">
        <is>
          <t>If the OPC UA Call payload is malformed or wrong-typed, the method operation result may be Bad_TypeMismatch or Bad_InvalidArgument. If the JoiningProcess argument is syntactically decoded but empty/null as IJT data, Call Service returns Good and method result code is Uncertain with Status output 5. StatusMessage explains the rejected input; no process is stored.</t>
        </is>
      </c>
      <c r="G12" s="61" t="inlineStr">
        <is>
          <t>Good</t>
        </is>
      </c>
      <c r="H12" s="61" t="inlineStr">
        <is>
          <t>Uncertain; Status=5 output with StatusMessage, or Bad_TypeMismatch/Bad_InvalidArgument for malformed Call arguments</t>
        </is>
      </c>
      <c r="I12" s="61" t="n"/>
      <c r="J12" s="61" t="inlineStr">
        <is>
          <t>OPC 40450-1 Section 7.3</t>
        </is>
      </c>
      <c r="K12" s="61" t="n"/>
    </row>
    <row r="13" ht="25.8" customHeight="1" s="132">
      <c r="A13" s="69" t="inlineStr">
        <is>
          <t>n</t>
        </is>
      </c>
      <c r="B13" s="69" t="n">
        <v>2</v>
      </c>
      <c r="C13" s="69" t="n">
        <v>0</v>
      </c>
      <c r="D13" s="69" t="inlineStr">
        <is>
          <t>Verify SendJoiningProcess with missing mandatory JoiningProcessId returns error</t>
        </is>
      </c>
      <c r="E13" s="69" t="n"/>
      <c r="F13" s="69" t="n"/>
      <c r="G13" s="69" t="n"/>
      <c r="H13" s="69" t="n"/>
      <c r="I13" s="69" t="inlineStr">
        <is>
          <t>n</t>
        </is>
      </c>
      <c r="J13" s="69" t="inlineStr">
        <is>
          <t>OPC 40450-1 Section 11 (CU-100) / Section 7.3</t>
        </is>
      </c>
      <c r="K13" s="69" t="n"/>
    </row>
    <row r="14" ht="25.8" customHeight="1" s="132">
      <c r="A14" s="61" t="n"/>
      <c r="B14" s="61" t="n"/>
      <c r="C14" s="61" t="n">
        <v>1</v>
      </c>
      <c r="D14" s="61" t="inlineStr">
        <is>
          <t>Call SendJoiningProcess with a JoiningProcessDataType where JoiningProcessId is empty.</t>
        </is>
      </c>
      <c r="E14" s="61" t="inlineStr">
        <is>
          <t>SendJoiningProcess method available.</t>
        </is>
      </c>
      <c r="F14" s="61" t="inlineStr">
        <is>
          <t>Call Service returns Good; method result code is Uncertain. Status output is 5 (invalid input). StatusMessage explains the rejected input; no state change is performed.</t>
        </is>
      </c>
      <c r="G14" s="61" t="inlineStr">
        <is>
          <t>Good</t>
        </is>
      </c>
      <c r="H14" s="61" t="inlineStr">
        <is>
          <t>Uncertain; Status=5 output with StatusMessage</t>
        </is>
      </c>
      <c r="I14" s="61" t="n"/>
      <c r="J14" s="61" t="inlineStr">
        <is>
          <t>OPC 40450-1 Section 7.3 / Section 10 JoiningProcessMetaDataType</t>
        </is>
      </c>
      <c r="K14" s="61" t="n"/>
    </row>
    <row r="15">
      <c r="A15" s="110" t="inlineStr">
        <is>
          <t>n</t>
        </is>
      </c>
      <c r="B15" s="110" t="n">
        <v>3</v>
      </c>
      <c r="C15" s="110" t="n">
        <v>0</v>
      </c>
      <c r="D15" s="110" t="inlineStr">
        <is>
          <t>Call SendJoiningProcess with missing JoiningProcessContent</t>
        </is>
      </c>
      <c r="E15" s="110" t="n"/>
      <c r="F15" s="110" t="n"/>
      <c r="G15" s="110" t="n"/>
      <c r="H15" s="110" t="n"/>
      <c r="I15" s="110" t="inlineStr">
        <is>
          <t>n</t>
        </is>
      </c>
      <c r="J15" s="110" t="inlineStr">
        <is>
          <t>OPC 40450-1 Section 11.1 CU-100</t>
        </is>
      </c>
      <c r="K15" s="110" t="n"/>
    </row>
    <row r="16" ht="25.8" customHeight="1" s="132">
      <c r="A16" s="111" t="n"/>
      <c r="B16" s="111" t="n"/>
      <c r="C16" s="111" t="n">
        <v>1</v>
      </c>
      <c r="D16" s="111" t="inlineStr">
        <is>
          <t>Call without JoiningProcessContent.</t>
        </is>
      </c>
      <c r="E16" s="111" t="inlineStr">
        <is>
          <t>Server claims this Conformance Unit; no additional runtime setup is needed for this step.</t>
        </is>
      </c>
      <c r="F16" s="111" t="inlineStr">
        <is>
          <t>Call Service returns Good; method result code is Uncertain. Status output is 5 (invalid input) when JoiningProcessContent is missing from a syntactically decoded JoiningProcessDataType. StatusMessage explains the rejected input; no process is stored.</t>
        </is>
      </c>
      <c r="G16" s="111" t="inlineStr">
        <is>
          <t>Good</t>
        </is>
      </c>
      <c r="H16" s="111" t="inlineStr">
        <is>
          <t>Uncertain; Status=5 output with StatusMessage</t>
        </is>
      </c>
      <c r="I16" s="111" t="n"/>
      <c r="J16" s="111" t="inlineStr">
        <is>
          <t>OPC 40450-1 Section 11.1 CU-100</t>
        </is>
      </c>
      <c r="K16" s="111" t="inlineStr">
        <is>
          <t>Requirement source: OPC 40450-1 Section 9.24 - Mandatory field.</t>
        </is>
      </c>
    </row>
    <row r="17">
      <c r="A17" s="110" t="inlineStr">
        <is>
          <t>n</t>
        </is>
      </c>
      <c r="B17" s="110" t="n">
        <v>4</v>
      </c>
      <c r="C17" s="110" t="n">
        <v>0</v>
      </c>
      <c r="D17" s="110" t="inlineStr">
        <is>
          <t>Call SendJoiningProcess with JoiningProcessId = empty string</t>
        </is>
      </c>
      <c r="E17" s="110" t="n"/>
      <c r="F17" s="110" t="n"/>
      <c r="G17" s="110" t="n"/>
      <c r="H17" s="110" t="n"/>
      <c r="I17" s="110" t="inlineStr">
        <is>
          <t>n</t>
        </is>
      </c>
      <c r="J17" s="110" t="inlineStr">
        <is>
          <t>OPC 40450-1 Section 11.1 CU-100</t>
        </is>
      </c>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Call Service returns Good; method result code is Uncertain. Status output is 5 (invalid input). StatusMessage explains the rejected input; no state change is performed.</t>
        </is>
      </c>
      <c r="G18" s="111" t="inlineStr">
        <is>
          <t>Good</t>
        </is>
      </c>
      <c r="H18" s="111" t="inlineStr">
        <is>
          <t>Uncertain; Status=5 output with StatusMessage</t>
        </is>
      </c>
      <c r="I18" s="111" t="n"/>
      <c r="J18" s="111" t="inlineStr">
        <is>
          <t>OPC 40450-1 Section 11.1 CU-100</t>
        </is>
      </c>
      <c r="K18" s="111" t="inlineStr">
        <is>
          <t>Requirement source: OPC 40450-1 Section 9.24 - TrimmedString, cannot be empty.</t>
        </is>
      </c>
    </row>
    <row r="19">
      <c r="A19" s="110" t="inlineStr">
        <is>
          <t>n</t>
        </is>
      </c>
      <c r="B19" s="110" t="n">
        <v>5</v>
      </c>
      <c r="C19" s="110" t="n">
        <v>0</v>
      </c>
      <c r="D19" s="110" t="inlineStr">
        <is>
          <t>Verify re-sending same JoiningProcessId updates (not duplicate)</t>
        </is>
      </c>
      <c r="E19" s="110" t="n"/>
      <c r="F19" s="110" t="n"/>
      <c r="G19" s="110" t="n"/>
      <c r="H19" s="110" t="n"/>
      <c r="I19" s="110" t="inlineStr">
        <is>
          <t>n</t>
        </is>
      </c>
      <c r="J19" s="110" t="inlineStr">
        <is>
          <t>OPC 40450-1 Section 11.1 CU-100</t>
        </is>
      </c>
      <c r="K19" s="110" t="n"/>
    </row>
    <row r="20">
      <c r="A20" s="111" t="n"/>
      <c r="B20" s="111" t="n"/>
      <c r="C20" s="111" t="n">
        <v>1</v>
      </c>
      <c r="D20" s="111" t="inlineStr">
        <is>
          <t>Send process X twice. Call GetJoiningProcessList.</t>
        </is>
      </c>
      <c r="E20" s="111" t="inlineStr">
        <is>
          <t>Server claims this Conformance Unit; no additional runtime setup is needed for this step.</t>
        </is>
      </c>
      <c r="F20" s="111" t="inlineStr">
        <is>
          <t>List has single entry for X. Metadata updated.</t>
        </is>
      </c>
      <c r="G20" s="111" t="inlineStr">
        <is>
          <t>Good</t>
        </is>
      </c>
      <c r="H20" s="111" t="n"/>
      <c r="I20" s="111" t="n"/>
      <c r="J20" s="111" t="inlineStr">
        <is>
          <t>OPC 40450-1 Section 11.1 CU-100</t>
        </is>
      </c>
      <c r="K20" s="111" t="inlineStr">
        <is>
          <t>Requirement source: OPC 40450-1 Section 9.24 - Update semantics.</t>
        </is>
      </c>
    </row>
  </sheetData>
  <mergeCells count="2">
    <mergeCell ref="A1:K1"/>
    <mergeCell ref="C2:J2"/>
  </mergeCells>
  <pageMargins left="0.75" right="0.75" top="1" bottom="1" header="0.5" footer="0.5"/>
</worksheet>
</file>

<file path=xl/worksheets/sheet10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CU-101: IJT Get Joining Process</t>
        </is>
      </c>
    </row>
    <row r="2" ht="20.05" customHeight="1" s="132">
      <c r="A2" s="75">
        <f>HYPERLINK("#'Home'!A1","⌂ Home")</f>
        <v/>
      </c>
      <c r="C2" s="150" t="inlineStr">
        <is>
          <t>CU-101 — IJT Get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 method exists and accepts JoiningProcessId input</t>
        </is>
      </c>
      <c r="E4" s="67" t="n"/>
      <c r="F4" s="67" t="n"/>
      <c r="G4" s="67" t="n"/>
      <c r="H4" s="67" t="n"/>
      <c r="I4" s="67" t="inlineStr">
        <is>
          <t>n</t>
        </is>
      </c>
      <c r="J4" s="67" t="inlineStr">
        <is>
          <t>OPC 40450-1 Section 11 (CU-101) / Section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 method node.</t>
        </is>
      </c>
      <c r="E5" s="61" t="inlineStr">
        <is>
          <t>JoiningSystem with JoiningProcessManagement.</t>
        </is>
      </c>
      <c r="F5" s="61" t="inlineStr">
        <is>
          <t>GetJoiningProcess found. NodeClass = Method. InputArguments: ProductInstanceUri (String), JoiningProcessId (TrimmedString). OutputArguments: JoiningProcess (JoiningProcessDataType), SelectionName (TrimmedString), Status (Int64), StatusMessage (LocalizedText).</t>
        </is>
      </c>
      <c r="G5" s="61" t="inlineStr">
        <is>
          <t>Good</t>
        </is>
      </c>
      <c r="H5" s="61" t="inlineStr">
        <is>
          <t>Good</t>
        </is>
      </c>
      <c r="I5" s="61" t="n"/>
      <c r="J5" s="61" t="inlineStr">
        <is>
          <t>OPC 40450-1 Section 7.3 GetJoiningProcess</t>
        </is>
      </c>
      <c r="K5" s="61" t="n"/>
    </row>
    <row r="6" ht="25.8" customHeight="1" s="132">
      <c r="A6" s="67" t="inlineStr">
        <is>
          <t>y</t>
        </is>
      </c>
      <c r="B6" s="67" t="n">
        <v>2</v>
      </c>
      <c r="C6" s="67" t="n">
        <v>0</v>
      </c>
      <c r="D6" s="67" t="inlineStr">
        <is>
          <t>Verify GetJoiningProcess returns correct data for existing process</t>
        </is>
      </c>
      <c r="E6" s="67" t="n"/>
      <c r="F6" s="67" t="n"/>
      <c r="G6" s="67" t="n"/>
      <c r="H6" s="67" t="n"/>
      <c r="I6" s="67" t="inlineStr">
        <is>
          <t>n</t>
        </is>
      </c>
      <c r="J6" s="67" t="inlineStr">
        <is>
          <t>OPC 40450-1 Section 11 (CU-101) / Section 7.3</t>
        </is>
      </c>
      <c r="K6" s="67" t="n"/>
    </row>
    <row r="7" ht="51.6" customHeight="1" s="132">
      <c r="A7" s="61" t="n"/>
      <c r="B7" s="61" t="n"/>
      <c r="C7" s="61" t="n">
        <v>1</v>
      </c>
      <c r="D7" s="61" t="inlineStr">
        <is>
          <t>First send a process via SendJoiningProcess with known data. Then call GetJoiningProcess with that JoiningProcessId.</t>
        </is>
      </c>
      <c r="E7" s="61" t="inlineStr">
        <is>
          <t>A stored process with known JoiningProcessId available.</t>
        </is>
      </c>
      <c r="F7" s="61" t="inlineStr">
        <is>
          <t>Returns Good/domain success. Output JoiningProcessDataType has JoiningProcessMetaData.JoiningProcessId matching the requested id. Optional metadata and application-specific JoiningProcessContent[] reflect the data stored by the server.</t>
        </is>
      </c>
      <c r="G7" s="61" t="inlineStr">
        <is>
          <t>Good</t>
        </is>
      </c>
      <c r="H7" s="61" t="inlineStr">
        <is>
          <t>Good</t>
        </is>
      </c>
      <c r="I7" s="61" t="n"/>
      <c r="J7" s="61" t="inlineStr">
        <is>
          <t>OPC 40450-1 Section 7.3 / Section 10 JoiningProcessDataType</t>
        </is>
      </c>
      <c r="K7" s="61" t="n"/>
    </row>
    <row r="8" ht="25.8" customHeight="1" s="132">
      <c r="A8" s="67" t="inlineStr">
        <is>
          <t>y</t>
        </is>
      </c>
      <c r="B8" s="67" t="n">
        <v>3</v>
      </c>
      <c r="C8" s="67" t="n">
        <v>0</v>
      </c>
      <c r="D8" s="67" t="inlineStr">
        <is>
          <t>Verify GetJoiningProcess JoiningProcessMetaData mandatory fields are present</t>
        </is>
      </c>
      <c r="E8" s="67" t="n"/>
      <c r="F8" s="67" t="n"/>
      <c r="G8" s="67" t="n"/>
      <c r="H8" s="67" t="n"/>
      <c r="I8" s="67" t="inlineStr">
        <is>
          <t>n</t>
        </is>
      </c>
      <c r="J8" s="67" t="inlineStr">
        <is>
          <t>OPC 40450-1 Section 11 (CU-101) / Section 7.3</t>
        </is>
      </c>
      <c r="K8" s="67" t="n"/>
    </row>
    <row r="9" ht="64.5" customHeight="1" s="132">
      <c r="A9" s="61" t="n"/>
      <c r="B9" s="61" t="n"/>
      <c r="C9" s="61" t="n">
        <v>1</v>
      </c>
      <c r="D9" s="61" t="inlineStr">
        <is>
          <t>Call GetJoiningProcess for an existing process. Inspect JoiningProcessMetaData.</t>
        </is>
      </c>
      <c r="E9" s="61" t="inlineStr">
        <is>
          <t>An existing stored joining process.</t>
        </is>
      </c>
      <c r="F9" s="61" t="inlineStr">
        <is>
          <t>JoiningProcessMetaData contains mandatory JoiningProcessId (non-empty TrimmedString). Optional fields are valid when present: CreationTime/LastUpdatedTime are UtcTime, Name is String, JoiningTechnology is LocalizedText, Classification is Int16, and AssociatedEntities[] entries are valid EntityDataType.</t>
        </is>
      </c>
      <c r="G9" s="61" t="inlineStr">
        <is>
          <t>Good</t>
        </is>
      </c>
      <c r="H9" s="61" t="inlineStr">
        <is>
          <t>JoiningProcessId present; optional metadata valid when present</t>
        </is>
      </c>
      <c r="I9" s="61" t="n"/>
      <c r="J9" s="61" t="inlineStr">
        <is>
          <t>OPC 40450-1 Section 7.3 / CU-88 / Section 10 JoiningProcessMetaDataType</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 with non-existent JoiningProcessId returns error</t>
        </is>
      </c>
      <c r="E11" s="69" t="n"/>
      <c r="F11" s="69" t="n"/>
      <c r="G11" s="69" t="n"/>
      <c r="H11" s="69" t="n"/>
      <c r="I11" s="69" t="inlineStr">
        <is>
          <t>n</t>
        </is>
      </c>
      <c r="J11" s="69" t="inlineStr">
        <is>
          <t>OPC 40450-1 Section 11 (CU-101) / Section 7.3</t>
        </is>
      </c>
      <c r="K11" s="69" t="n"/>
    </row>
    <row r="12" ht="25.8" customHeight="1" s="132">
      <c r="A12" s="61" t="n"/>
      <c r="B12" s="61" t="n"/>
      <c r="C12" s="61" t="n">
        <v>1</v>
      </c>
      <c r="D12" s="61" t="inlineStr">
        <is>
          <t>Call GetJoiningProcess with JoiningProcessId = "DOES_NOT_EXIST_XYZ".</t>
        </is>
      </c>
      <c r="E12" s="61" t="inlineStr">
        <is>
          <t>GetJoiningProcess method available.</t>
        </is>
      </c>
      <c r="F12" s="61" t="inlineStr">
        <is>
          <t>Call Service returns Good; method result code is Uncertain. Status output is 4 (input identifier/entity not found). StatusMessage explains the rejected input; no state change is performed.</t>
        </is>
      </c>
      <c r="G12" s="61" t="inlineStr">
        <is>
          <t>Good</t>
        </is>
      </c>
      <c r="H12" s="61" t="inlineStr">
        <is>
          <t>Uncertain; Status=4 output with StatusMessage</t>
        </is>
      </c>
      <c r="I12" s="61" t="n"/>
      <c r="J12" s="61" t="inlineStr">
        <is>
          <t>OPC 40450-1 Section 7.3</t>
        </is>
      </c>
      <c r="K12" s="61" t="n"/>
    </row>
    <row r="13" ht="25.8" customHeight="1" s="132">
      <c r="A13" s="69" t="inlineStr">
        <is>
          <t>n</t>
        </is>
      </c>
      <c r="B13" s="69" t="n">
        <v>2</v>
      </c>
      <c r="C13" s="69" t="n">
        <v>0</v>
      </c>
      <c r="D13" s="69" t="inlineStr">
        <is>
          <t>Verify GetJoiningProcess with empty JoiningProcessId returns error</t>
        </is>
      </c>
      <c r="E13" s="69" t="n"/>
      <c r="F13" s="69" t="n"/>
      <c r="G13" s="69" t="n"/>
      <c r="H13" s="69" t="n"/>
      <c r="I13" s="69" t="inlineStr">
        <is>
          <t>n</t>
        </is>
      </c>
      <c r="J13" s="69" t="inlineStr">
        <is>
          <t>OPC 40450-1 Section 11 (CU-101) / Section 7.3</t>
        </is>
      </c>
      <c r="K13" s="69" t="n"/>
    </row>
    <row r="14" ht="25.8" customHeight="1" s="132">
      <c r="A14" s="61" t="n"/>
      <c r="B14" s="61" t="n"/>
      <c r="C14" s="61" t="n">
        <v>1</v>
      </c>
      <c r="D14" s="61" t="inlineStr">
        <is>
          <t>Call GetJoiningProcess with JoiningProcessId = "" (empty string).</t>
        </is>
      </c>
      <c r="E14" s="61" t="inlineStr">
        <is>
          <t>GetJoiningProcess method available.</t>
        </is>
      </c>
      <c r="F14" s="61" t="inlineStr">
        <is>
          <t>Call Service returns Good; method result code is Uncertain. Status output is 5 (invalid input). StatusMessage explains the rejected input; no state change is performed.</t>
        </is>
      </c>
      <c r="G14" s="61" t="inlineStr">
        <is>
          <t>Good</t>
        </is>
      </c>
      <c r="H14" s="61" t="inlineStr">
        <is>
          <t>Uncertain; Status=5 output with StatusMessage</t>
        </is>
      </c>
      <c r="I14" s="61" t="n"/>
      <c r="J14" s="61" t="inlineStr">
        <is>
          <t>OPC 40450-1 Section 7.3</t>
        </is>
      </c>
      <c r="K14" s="61" t="n"/>
    </row>
    <row r="15">
      <c r="A15" s="110" t="inlineStr">
        <is>
          <t>n</t>
        </is>
      </c>
      <c r="B15" s="110" t="n">
        <v>3</v>
      </c>
      <c r="C15" s="110" t="n">
        <v>0</v>
      </c>
      <c r="D15" s="110" t="inlineStr">
        <is>
          <t>Call GetJoiningProcess with non-existent JoiningProcessId</t>
        </is>
      </c>
      <c r="E15" s="110" t="n"/>
      <c r="F15" s="110" t="n"/>
      <c r="G15" s="110" t="n"/>
      <c r="H15" s="110" t="n"/>
      <c r="I15" s="110" t="inlineStr">
        <is>
          <t>n</t>
        </is>
      </c>
      <c r="J15" s="110" t="inlineStr">
        <is>
          <t>OPC 40450-1 Section 11.1 CU-101</t>
        </is>
      </c>
      <c r="K15" s="110" t="n"/>
    </row>
    <row r="16">
      <c r="A16" s="111" t="n"/>
      <c r="B16" s="111" t="n"/>
      <c r="C16" s="111" t="n">
        <v>1</v>
      </c>
      <c r="D16" s="111" t="inlineStr">
        <is>
          <t>Call with fabricated ID.</t>
        </is>
      </c>
      <c r="E16" s="111" t="inlineStr">
        <is>
          <t>Server claims this Conformance Unit; no additional runtime setup is needed for this step.</t>
        </is>
      </c>
      <c r="F16" s="111" t="inlineStr">
        <is>
          <t>Call Service returns Good; method result code is Uncertain. Status output is 4 (input identifier/entity not found). StatusMessage explains the rejected input; no state change is performed.</t>
        </is>
      </c>
      <c r="G16" s="111" t="inlineStr">
        <is>
          <t>Good</t>
        </is>
      </c>
      <c r="H16" s="111" t="inlineStr">
        <is>
          <t>Uncertain; Status=4 output with StatusMessage</t>
        </is>
      </c>
      <c r="I16" s="111" t="n"/>
      <c r="J16" s="111" t="inlineStr">
        <is>
          <t>OPC 40450-1 Section 11.1 CU-101</t>
        </is>
      </c>
      <c r="K16" s="111" t="inlineStr">
        <is>
          <t>Requirement source: OPC 40450-1 Section 9.25 - Process must exist.</t>
        </is>
      </c>
    </row>
    <row r="17">
      <c r="A17" s="110" t="inlineStr">
        <is>
          <t>n</t>
        </is>
      </c>
      <c r="B17" s="110" t="n">
        <v>4</v>
      </c>
      <c r="C17" s="110" t="n">
        <v>0</v>
      </c>
      <c r="D17" s="110" t="inlineStr">
        <is>
          <t>Call GetJoiningProcess with empty JoiningProcessId</t>
        </is>
      </c>
      <c r="E17" s="110" t="n"/>
      <c r="F17" s="110" t="n"/>
      <c r="G17" s="110" t="n"/>
      <c r="H17" s="110" t="n"/>
      <c r="I17" s="110" t="inlineStr">
        <is>
          <t>n</t>
        </is>
      </c>
      <c r="J17" s="110" t="inlineStr">
        <is>
          <t>OPC 40450-1 Section 11.1 CU-101</t>
        </is>
      </c>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Call Service returns Good; method result code is Uncertain. Status output is 5 (invalid input). StatusMessage explains the rejected input; no state change is performed.</t>
        </is>
      </c>
      <c r="G18" s="111" t="inlineStr">
        <is>
          <t>Good</t>
        </is>
      </c>
      <c r="H18" s="111" t="inlineStr">
        <is>
          <t>Uncertain; Status=5 output with StatusMessage</t>
        </is>
      </c>
      <c r="I18" s="111" t="n"/>
      <c r="J18" s="111" t="inlineStr">
        <is>
          <t>OPC 40450-1 Section 11.1 CU-101</t>
        </is>
      </c>
      <c r="K18" s="111" t="inlineStr">
        <is>
          <t>Requirement source: OPC 40450-1 Section 9.25 - Empty string invalid.</t>
        </is>
      </c>
    </row>
    <row r="19">
      <c r="A19" s="110" t="inlineStr">
        <is>
          <t>n</t>
        </is>
      </c>
      <c r="B19" s="110" t="n">
        <v>5</v>
      </c>
      <c r="C19" s="110" t="n">
        <v>0</v>
      </c>
      <c r="D19" s="110" t="inlineStr">
        <is>
          <t>Verify GetJoiningProcess returns full JoiningProcessDataType</t>
        </is>
      </c>
      <c r="E19" s="110" t="n"/>
      <c r="F19" s="110" t="n"/>
      <c r="G19" s="110" t="n"/>
      <c r="H19" s="110" t="n"/>
      <c r="I19" s="110" t="inlineStr">
        <is>
          <t>n</t>
        </is>
      </c>
      <c r="J19" s="110" t="inlineStr">
        <is>
          <t>OPC 40450-1 Section 11.1 CU-101</t>
        </is>
      </c>
      <c r="K19" s="110" t="n"/>
    </row>
    <row r="20" ht="25.8" customHeight="1" s="132">
      <c r="A20" s="111" t="n"/>
      <c r="B20" s="111" t="n"/>
      <c r="C20" s="111" t="n">
        <v>1</v>
      </c>
      <c r="D20" s="111" t="inlineStr">
        <is>
          <t>Call with valid ID.</t>
        </is>
      </c>
      <c r="E20" s="111" t="inlineStr">
        <is>
          <t>Server claims this Conformance Unit; no additional runtime setup is needed for this step.</t>
        </is>
      </c>
      <c r="F20" s="111" t="inlineStr">
        <is>
          <t>Result includes JoiningProcessMetaData and JoiningProcessContent.</t>
        </is>
      </c>
      <c r="G20" s="111" t="inlineStr">
        <is>
          <t>Good</t>
        </is>
      </c>
      <c r="H20" s="111" t="n"/>
      <c r="I20" s="111" t="n"/>
      <c r="J20" s="111" t="inlineStr">
        <is>
          <t>OPC 40450-1 Section 11.1 CU-101</t>
        </is>
      </c>
      <c r="K20" s="111" t="inlineStr">
        <is>
          <t>Requirement source: OPC 40450-1 Section 9.25 - Full data including content.</t>
        </is>
      </c>
    </row>
  </sheetData>
  <mergeCells count="2">
    <mergeCell ref="A1:K1"/>
    <mergeCell ref="C2:J2"/>
  </mergeCells>
  <pageMargins left="0.75" right="0.75" top="1" bottom="1" header="0.5" footer="0.5"/>
</worksheet>
</file>

<file path=xl/worksheets/sheet108.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CU-102: IJT Set Joining Process Counter</t>
        </is>
      </c>
    </row>
    <row r="2" ht="20.05" customHeight="1" s="132">
      <c r="A2" s="75">
        <f>HYPERLINK("#'Home'!A1","⌂ Home")</f>
        <v/>
      </c>
      <c r="C2" s="150" t="inlineStr">
        <is>
          <t>CU-102 — IJT Set Joining Process Counter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SetJoiningProcessCounter method exists with correct signature</t>
        </is>
      </c>
      <c r="E4" s="67" t="n"/>
      <c r="F4" s="67" t="n"/>
      <c r="G4" s="67" t="n"/>
      <c r="H4" s="67" t="n"/>
      <c r="I4" s="67" t="inlineStr">
        <is>
          <t>n</t>
        </is>
      </c>
      <c r="J4" s="67" t="inlineStr">
        <is>
          <t>OPC 40450-1 Section 11 (CU-102) / Section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SetJoiningProcessCounter node.</t>
        </is>
      </c>
      <c r="E5" s="61" t="inlineStr">
        <is>
          <t>JoiningSystem with JoiningProcessManagement.</t>
        </is>
      </c>
      <c r="F5" s="61" t="inlineStr">
        <is>
          <t>SetJoiningProcessCounter found. NodeClass = Method. InputArguments: ProductInstanceUri (String), JoiningProcessIdentification (JoiningProcessIdentificationDataType), CounterValue (UInt32). OutputArguments: Status (Int64), StatusMessage (LocalizedText).</t>
        </is>
      </c>
      <c r="G5" s="61" t="inlineStr">
        <is>
          <t>Good</t>
        </is>
      </c>
      <c r="H5" s="61" t="inlineStr">
        <is>
          <t>Good</t>
        </is>
      </c>
      <c r="I5" s="61" t="n"/>
      <c r="J5" s="61" t="inlineStr">
        <is>
          <t>OPC 40450-1 Section 7.3 SetJoiningProcessCounter</t>
        </is>
      </c>
      <c r="K5" s="61" t="n"/>
    </row>
    <row r="6" ht="25.8" customHeight="1" s="132">
      <c r="A6" s="67" t="inlineStr">
        <is>
          <t>n</t>
        </is>
      </c>
      <c r="B6" s="67" t="n">
        <v>2</v>
      </c>
      <c r="C6" s="67" t="n">
        <v>0</v>
      </c>
      <c r="D6" s="67" t="inlineStr">
        <is>
          <t>Verify SetJoiningProcessCounter with a valid counter value succeeds</t>
        </is>
      </c>
      <c r="E6" s="67" t="n"/>
      <c r="F6" s="67" t="n"/>
      <c r="G6" s="67" t="n"/>
      <c r="H6" s="67" t="n"/>
      <c r="I6" s="67" t="inlineStr">
        <is>
          <t>n</t>
        </is>
      </c>
      <c r="J6" s="67" t="inlineStr">
        <is>
          <t>OPC 40450-1 Section 11 (CU-102) / Section 7.3</t>
        </is>
      </c>
      <c r="K6" s="67" t="inlineStr">
        <is>
          <t>CTT=n: modifies process counter on device</t>
        </is>
      </c>
    </row>
    <row r="7" ht="38.7" customHeight="1" s="132">
      <c r="A7" s="61" t="n"/>
      <c r="B7" s="61" t="n"/>
      <c r="C7" s="61" t="n">
        <v>1</v>
      </c>
      <c r="D7" s="61" t="inlineStr">
        <is>
          <t>Call SetJoiningProcessCounter(ProductInstanceUri, JoiningProcessIdentification, CounterValue=5).</t>
        </is>
      </c>
      <c r="E7" s="61" t="inlineStr">
        <is>
          <t>JoiningProcess with counter management configured. Valid JoiningProcessIdentification available.</t>
        </is>
      </c>
      <c r="F7" s="61" t="inlineStr">
        <is>
          <t>Returns Good. Process counter is set to 5. Subsequent counter reads (via GetJoiningProcessList or address space) reflect the new value.</t>
        </is>
      </c>
      <c r="G7" s="61" t="inlineStr">
        <is>
          <t>Good</t>
        </is>
      </c>
      <c r="H7" s="61" t="inlineStr">
        <is>
          <t>Good</t>
        </is>
      </c>
      <c r="I7" s="61" t="n"/>
      <c r="J7" s="61" t="inlineStr">
        <is>
          <t>OPC 40450-1 Section 7.3 SetJoiningProcessCounter</t>
        </is>
      </c>
      <c r="K7" s="61" t="n"/>
    </row>
    <row r="8" ht="25.8" customHeight="1" s="132">
      <c r="A8" s="67" t="inlineStr">
        <is>
          <t>y</t>
        </is>
      </c>
      <c r="B8" s="67" t="n">
        <v>3</v>
      </c>
      <c r="C8" s="67" t="n">
        <v>0</v>
      </c>
      <c r="D8" s="67" t="inlineStr">
        <is>
          <t>Verify SetJoiningProcessCounter with CounterValue = 0 resets the counter</t>
        </is>
      </c>
      <c r="E8" s="67" t="n"/>
      <c r="F8" s="67" t="n"/>
      <c r="G8" s="67" t="n"/>
      <c r="H8" s="67" t="n"/>
      <c r="I8" s="67" t="inlineStr">
        <is>
          <t>n</t>
        </is>
      </c>
      <c r="J8" s="67" t="inlineStr">
        <is>
          <t>OPC 40450-1 Section 11 (CU-102) / Section 7.3</t>
        </is>
      </c>
      <c r="K8" s="67" t="n"/>
    </row>
    <row r="9" ht="25.8" customHeight="1" s="132">
      <c r="A9" s="61" t="n"/>
      <c r="B9" s="61" t="n"/>
      <c r="C9" s="61" t="n">
        <v>1</v>
      </c>
      <c r="D9" s="61" t="inlineStr">
        <is>
          <t>Call SetJoiningProcessCounter(ProductInstanceUri, JoiningProcessIdentification, CounterValue) using a value that is valid for the selected joining process.</t>
        </is>
      </c>
      <c r="E9" s="61" t="inlineStr">
        <is>
          <t>SetJoiningProcessCounter method available. Selected joining process accepts the requested CounterValue.</t>
        </is>
      </c>
      <c r="F9" s="61" t="inlineStr">
        <is>
          <t>Returns Good. Counter is set to the requested CounterValue.</t>
        </is>
      </c>
      <c r="G9" s="61" t="inlineStr">
        <is>
          <t>Good</t>
        </is>
      </c>
      <c r="H9" s="61" t="inlineStr">
        <is>
          <t>Counter is set to requested CounterValue</t>
        </is>
      </c>
      <c r="I9" s="61" t="n"/>
      <c r="J9" s="61" t="inlineStr">
        <is>
          <t>OPC 40450-1 Section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SetJoiningProcessCounter with counter exceeding batch size returns error</t>
        </is>
      </c>
      <c r="E11" s="69" t="n"/>
      <c r="F11" s="69" t="n"/>
      <c r="G11" s="69" t="n"/>
      <c r="H11" s="69" t="n"/>
      <c r="I11" s="69" t="inlineStr">
        <is>
          <t>n</t>
        </is>
      </c>
      <c r="J11" s="69" t="inlineStr">
        <is>
          <t>OPC 40450-1 Section 11 (CU-102) / Section 7.3</t>
        </is>
      </c>
      <c r="K11" s="69" t="n"/>
    </row>
    <row r="12" ht="25.8" customHeight="1" s="132">
      <c r="A12" s="61" t="n"/>
      <c r="B12" s="61" t="n"/>
      <c r="C12" s="61" t="n">
        <v>1</v>
      </c>
      <c r="D12" s="61" t="inlineStr">
        <is>
          <t>Set batch size to 10. Call SetJoiningProcessCounter(ProductInstanceUri, JoiningProcessIdentification, CounterValue=15).</t>
        </is>
      </c>
      <c r="E12" s="61" t="inlineStr">
        <is>
          <t>Batch size configured to 10 via SetJoiningProcessSize.</t>
        </is>
      </c>
      <c r="F12" s="61" t="inlineStr">
        <is>
          <t>Call Service returns Good; method result code is Uncertain. Status output is 5 (invalid input). StatusMessage explains the rejected input; no state change is performed.</t>
        </is>
      </c>
      <c r="G12" s="61" t="inlineStr">
        <is>
          <t>Good</t>
        </is>
      </c>
      <c r="H12" s="61" t="inlineStr">
        <is>
          <t>Uncertain; Status=5 output with StatusMessage</t>
        </is>
      </c>
      <c r="I12" s="61" t="n"/>
      <c r="J12" s="61" t="inlineStr">
        <is>
          <t>OPC 40450-1 Section 7.3 / CU-96 (Set Joining Process Size)</t>
        </is>
      </c>
      <c r="K12" s="61" t="n"/>
    </row>
    <row r="13">
      <c r="A13" s="110" t="inlineStr">
        <is>
          <t>n</t>
        </is>
      </c>
      <c r="B13" s="110" t="n">
        <v>2</v>
      </c>
      <c r="C13" s="110" t="n">
        <v>0</v>
      </c>
      <c r="D13" s="110" t="inlineStr">
        <is>
          <t>Call SetJoiningProcessCounter with null identification</t>
        </is>
      </c>
      <c r="E13" s="110" t="n"/>
      <c r="F13" s="110" t="n"/>
      <c r="G13" s="110" t="n"/>
      <c r="H13" s="110" t="n"/>
      <c r="I13" s="110" t="inlineStr">
        <is>
          <t>n</t>
        </is>
      </c>
      <c r="J13" s="110" t="inlineStr">
        <is>
          <t>OPC 40450-1 Section 11.1 CU-102</t>
        </is>
      </c>
      <c r="K13" s="110" t="n"/>
    </row>
    <row r="14" ht="25.8" customHeight="1" s="132">
      <c r="A14" s="111" t="n"/>
      <c r="B14" s="111" t="n"/>
      <c r="C14" s="111" t="n">
        <v>1</v>
      </c>
      <c r="D14" s="111" t="inlineStr">
        <is>
          <t>Call SetJoiningProcessCounter(ProductInstanceUri, null JoiningProcessIdentification, CounterValue=0).</t>
        </is>
      </c>
      <c r="E14" s="111" t="inlineStr">
        <is>
          <t>Server claims this Conformance Unit; no additional runtime setup is needed for this step.</t>
        </is>
      </c>
      <c r="F14" s="111" t="inlineStr">
        <is>
          <t>Call Service returns Good; method result code is Uncertain. Status output is 5 (invalid input). StatusMessage explains the rejected input; no state change is performed.</t>
        </is>
      </c>
      <c r="G14" s="111" t="inlineStr">
        <is>
          <t>Good</t>
        </is>
      </c>
      <c r="H14" s="111" t="inlineStr">
        <is>
          <t>Uncertain; Status=5 output with StatusMessage</t>
        </is>
      </c>
      <c r="I14" s="111" t="n"/>
      <c r="J14" s="111" t="inlineStr">
        <is>
          <t>OPC 40450-1 Section 11.1 CU-102</t>
        </is>
      </c>
      <c r="K14" s="111" t="inlineStr">
        <is>
          <t>Requirement source: OPC 40450-1 Section 9.26 - Required.</t>
        </is>
      </c>
    </row>
    <row r="15">
      <c r="A15" s="110" t="inlineStr">
        <is>
          <t>n</t>
        </is>
      </c>
      <c r="B15" s="110" t="n">
        <v>3</v>
      </c>
      <c r="C15" s="110" t="n">
        <v>0</v>
      </c>
      <c r="D15" s="110" t="inlineStr">
        <is>
          <t>Call SetJoiningProcessCounter during active operation</t>
        </is>
      </c>
      <c r="E15" s="110" t="n"/>
      <c r="F15" s="110" t="n"/>
      <c r="G15" s="110" t="n"/>
      <c r="H15" s="110" t="n"/>
      <c r="I15" s="110" t="inlineStr">
        <is>
          <t>n</t>
        </is>
      </c>
      <c r="J15" s="110" t="inlineStr">
        <is>
          <t>OPC 40450-1 Section 11.1 CU-102</t>
        </is>
      </c>
      <c r="K15" s="110" t="n"/>
    </row>
    <row r="16">
      <c r="A16" s="111" t="n"/>
      <c r="B16" s="111" t="n"/>
      <c r="C16" s="111" t="n">
        <v>1</v>
      </c>
      <c r="D16" s="111" t="inlineStr">
        <is>
          <t>Start operation. Call SetJoiningProcessCounter(ProductInstanceUri, JoiningProcessIdentification, CounterValue=5).</t>
        </is>
      </c>
      <c r="E16" s="111" t="inlineStr">
        <is>
          <t>Server claims this Conformance Unit; no additional runtime setup is needed for this step.</t>
        </is>
      </c>
      <c r="F16" s="111" t="inlineStr">
        <is>
          <t>Call Service returns Good; method result code is Uncertain when the requested state transition is not accepted. Status output is 1 (generic not OK/application state). StatusMessage explains the state precondition; no unintended state change is performed.</t>
        </is>
      </c>
      <c r="G16" s="111" t="inlineStr">
        <is>
          <t>Good</t>
        </is>
      </c>
      <c r="H16" s="111" t="inlineStr">
        <is>
          <t>Uncertain; Status=1 output with StatusMessage</t>
        </is>
      </c>
      <c r="I16" s="111" t="n"/>
      <c r="J16" s="111" t="inlineStr">
        <is>
          <t>OPC 40450-1 Section 11.1 CU-102</t>
        </is>
      </c>
      <c r="K16" s="111" t="inlineStr">
        <is>
          <t>Requirement source: OPC 40450-1 Section 9.26 - Cannot set during active.</t>
        </is>
      </c>
    </row>
    <row r="17">
      <c r="A17" s="110" t="inlineStr">
        <is>
          <t>n</t>
        </is>
      </c>
      <c r="B17" s="110" t="n">
        <v>4</v>
      </c>
      <c r="C17" s="110" t="n">
        <v>0</v>
      </c>
      <c r="D17" s="110" t="inlineStr">
        <is>
          <t>Verify counter value reflected in subsequent reads</t>
        </is>
      </c>
      <c r="E17" s="110" t="n"/>
      <c r="F17" s="110" t="n"/>
      <c r="G17" s="110" t="n"/>
      <c r="H17" s="110" t="n"/>
      <c r="I17" s="110" t="inlineStr">
        <is>
          <t>n</t>
        </is>
      </c>
      <c r="J17" s="110" t="inlineStr">
        <is>
          <t>OPC 40450-1 Section 11.1 CU-102</t>
        </is>
      </c>
      <c r="K17" s="110" t="n"/>
    </row>
    <row r="18">
      <c r="A18" s="111" t="n"/>
      <c r="B18" s="111" t="n"/>
      <c r="C18" s="111" t="n">
        <v>1</v>
      </c>
      <c r="D18" s="111" t="inlineStr">
        <is>
          <t>Call SetJoiningProcessCounter(ProductInstanceUri, JoiningProcessIdentification, CounterValue=5). Read counter.</t>
        </is>
      </c>
      <c r="E18" s="111" t="inlineStr">
        <is>
          <t>Server claims this Conformance Unit; no additional runtime setup is needed for this step.</t>
        </is>
      </c>
      <c r="F18" s="111" t="inlineStr">
        <is>
          <t>Counter reads as 5.</t>
        </is>
      </c>
      <c r="G18" s="111" t="inlineStr">
        <is>
          <t>Good</t>
        </is>
      </c>
      <c r="H18" s="111" t="n"/>
      <c r="I18" s="111" t="n"/>
      <c r="J18" s="111" t="inlineStr">
        <is>
          <t>OPC 40450-1 Section 11.1 CU-102</t>
        </is>
      </c>
      <c r="K18" s="111" t="inlineStr">
        <is>
          <t>Requirement source: OPC 40450-1 Section 9.26 - Set then verify.</t>
        </is>
      </c>
    </row>
  </sheetData>
  <mergeCells count="2">
    <mergeCell ref="A1:K1"/>
    <mergeCell ref="C2:J2"/>
  </mergeCells>
  <pageMargins left="0.75" right="0.75" top="1" bottom="1" header="0.5" footer="0.5"/>
</worksheet>
</file>

<file path=xl/worksheets/sheet109.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CU-103: IJT Set Joining Process Mapping</t>
        </is>
      </c>
    </row>
    <row r="2" ht="20.05" customHeight="1" s="132">
      <c r="A2" s="75">
        <f>HYPERLINK("#'Home'!A1","⌂ Home")</f>
        <v/>
      </c>
      <c r="C2" s="150" t="inlineStr">
        <is>
          <t>CU-103 — IJT Set Joining Process Mapping</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SetJoiningProcessMapping method exists with correct input signature</t>
        </is>
      </c>
      <c r="E4" s="67" t="n"/>
      <c r="F4" s="67" t="n"/>
      <c r="G4" s="67" t="n"/>
      <c r="H4" s="67" t="n"/>
      <c r="I4" s="67" t="inlineStr">
        <is>
          <t>n</t>
        </is>
      </c>
      <c r="J4" s="67" t="inlineStr">
        <is>
          <t>OPC 40450-1 Section 11 (CU-103) / Section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Verify SetJoiningProcessMapping node.</t>
        </is>
      </c>
      <c r="E5" s="61" t="inlineStr">
        <is>
          <t>JoiningSystem with JoiningProcessManagement.</t>
        </is>
      </c>
      <c r="F5" s="61" t="inlineStr">
        <is>
          <t>SetJoiningProcessMapping found. NodeClass = Method. InputArguments: ProductInstanceUri (String), JoiningProcessIdentification (JoiningProcessIdentificationDataType). OutputArguments: Status (Int64), StatusMessage (LocalizedText).</t>
        </is>
      </c>
      <c r="G5" s="61" t="inlineStr">
        <is>
          <t>Good</t>
        </is>
      </c>
      <c r="H5" s="61" t="inlineStr">
        <is>
          <t>Good</t>
        </is>
      </c>
      <c r="I5" s="61" t="n"/>
      <c r="J5" s="61" t="inlineStr">
        <is>
          <t>OPC 40450-1 Section 7.3 SetJoiningProcessMapping</t>
        </is>
      </c>
      <c r="K5" s="61" t="n"/>
    </row>
    <row r="6" ht="25.8" customHeight="1" s="132">
      <c r="A6" s="67" t="inlineStr">
        <is>
          <t>n</t>
        </is>
      </c>
      <c r="B6" s="67" t="n">
        <v>2</v>
      </c>
      <c r="C6" s="67" t="n">
        <v>0</v>
      </c>
      <c r="D6" s="67" t="inlineStr">
        <is>
          <t>Verify SetJoiningProcessMapping with valid mapping succeeds</t>
        </is>
      </c>
      <c r="E6" s="67" t="n"/>
      <c r="F6" s="67" t="n"/>
      <c r="G6" s="67" t="n"/>
      <c r="H6" s="67" t="n"/>
      <c r="I6" s="67" t="inlineStr">
        <is>
          <t>n</t>
        </is>
      </c>
      <c r="J6" s="67" t="inlineStr">
        <is>
          <t>OPC 40450-1 Section 11 (CU-103) / Section 7.3</t>
        </is>
      </c>
      <c r="K6" s="67" t="inlineStr">
        <is>
          <t>CTT=n: modifies device process-to-socket mapping</t>
        </is>
      </c>
    </row>
    <row r="7" ht="25.8" customHeight="1" s="132">
      <c r="A7" s="61" t="n"/>
      <c r="B7" s="61" t="n"/>
      <c r="C7" s="61" t="n">
        <v>1</v>
      </c>
      <c r="D7" s="61" t="inlineStr">
        <is>
          <t>Build JoiningProcessIdentificationDataType with a valid JoiningProcessId or JoiningProcessOriginId and the desired SelectionName. Call SetJoiningProcessMapping(ProductInstanceUri, JoiningProcessIdentification).</t>
        </is>
      </c>
      <c r="E7" s="61" t="inlineStr">
        <is>
          <t>A stored joining process exists. SelectionName or another selector value is known and valid for the server.</t>
        </is>
      </c>
      <c r="F7" s="61" t="inlineStr">
        <is>
          <t>Returns Good/domain success. The joining process can be selected using the mapped SelectionName or equivalent identification data.</t>
        </is>
      </c>
      <c r="G7" s="61" t="inlineStr">
        <is>
          <t>Good</t>
        </is>
      </c>
      <c r="H7" s="61" t="inlineStr">
        <is>
          <t>Good</t>
        </is>
      </c>
      <c r="I7" s="61" t="n"/>
      <c r="J7" s="61" t="inlineStr">
        <is>
          <t>OPC 40450-1 Section 7.3 SetJoiningProcessMapping</t>
        </is>
      </c>
      <c r="K7" s="61" t="n"/>
    </row>
    <row r="8" ht="38.7" customHeight="1" s="132">
      <c r="A8" s="68" t="inlineStr">
        <is>
          <t>Error Test Cases</t>
        </is>
      </c>
      <c r="B8" s="68" t="n"/>
      <c r="C8" s="68" t="n"/>
      <c r="D8" s="68" t="n"/>
      <c r="E8" s="68" t="n"/>
      <c r="F8" s="68" t="n"/>
      <c r="G8" s="68" t="n"/>
      <c r="H8" s="68" t="n"/>
      <c r="I8" s="68" t="n"/>
      <c r="J8" s="68" t="n"/>
      <c r="K8" s="68" t="n"/>
    </row>
    <row r="9" ht="25.8" customHeight="1" s="132">
      <c r="A9" s="69" t="inlineStr">
        <is>
          <t>n</t>
        </is>
      </c>
      <c r="B9" s="69" t="n">
        <v>1</v>
      </c>
      <c r="C9" s="69" t="n">
        <v>0</v>
      </c>
      <c r="D9" s="69" t="inlineStr">
        <is>
          <t>Verify SetJoiningProcessMapping with unknown JoiningProcessId returns error</t>
        </is>
      </c>
      <c r="E9" s="69" t="n"/>
      <c r="F9" s="69" t="n"/>
      <c r="G9" s="69" t="n"/>
      <c r="H9" s="69" t="n"/>
      <c r="I9" s="69" t="inlineStr">
        <is>
          <t>n</t>
        </is>
      </c>
      <c r="J9" s="69" t="inlineStr">
        <is>
          <t>OPC 40450-1 Section 11 (CU-103) / Section 7.3</t>
        </is>
      </c>
      <c r="K9" s="69" t="n"/>
    </row>
    <row r="10" ht="25.8" customHeight="1" s="132">
      <c r="A10" s="61" t="n"/>
      <c r="B10" s="61" t="n"/>
      <c r="C10" s="61" t="n">
        <v>1</v>
      </c>
      <c r="D10" s="61" t="inlineStr">
        <is>
          <t>Call SetJoiningProcessMapping(ProductInstanceUri, JoiningProcessIdentification) with JoiningProcessId set to "NON_EXISTENT_PROC".</t>
        </is>
      </c>
      <c r="E10" s="61" t="inlineStr">
        <is>
          <t>SetJoiningProcessMapping method available.</t>
        </is>
      </c>
      <c r="F10" s="61" t="inlineStr">
        <is>
          <t>Call Service returns Good; method result code is Uncertain. Status output is 4 (input identifier/entity not found). StatusMessage explains the rejected input; no state change is performed.</t>
        </is>
      </c>
      <c r="G10" s="61" t="inlineStr">
        <is>
          <t>Good</t>
        </is>
      </c>
      <c r="H10" s="61" t="inlineStr">
        <is>
          <t>Uncertain; Status=4 output with StatusMessage</t>
        </is>
      </c>
      <c r="I10" s="61" t="n"/>
      <c r="J10" s="61" t="inlineStr">
        <is>
          <t>OPC 40450-1 Section 7.3</t>
        </is>
      </c>
      <c r="K10" s="61" t="n"/>
    </row>
    <row r="11" ht="25.8" customHeight="1" s="132">
      <c r="A11" s="69" t="inlineStr">
        <is>
          <t>n</t>
        </is>
      </c>
      <c r="B11" s="69" t="n">
        <v>2</v>
      </c>
      <c r="C11" s="69" t="n">
        <v>0</v>
      </c>
      <c r="D11" s="69" t="inlineStr">
        <is>
          <t>Verify SetJoiningProcessMapping with empty JoiningProcessIdentification returns error</t>
        </is>
      </c>
      <c r="E11" s="69" t="n"/>
      <c r="F11" s="69" t="n"/>
      <c r="G11" s="69" t="n"/>
      <c r="H11" s="69" t="n"/>
      <c r="I11" s="69" t="inlineStr">
        <is>
          <t>n</t>
        </is>
      </c>
      <c r="J11" s="69" t="inlineStr">
        <is>
          <t>OPC 40450-1 Section 11 (CU-103) / Section 7.3</t>
        </is>
      </c>
      <c r="K11" s="69" t="n"/>
    </row>
    <row r="12" ht="25.8" customHeight="1" s="132">
      <c r="A12" s="61" t="n"/>
      <c r="B12" s="61" t="n"/>
      <c r="C12" s="61" t="n">
        <v>1</v>
      </c>
      <c r="D12" s="61" t="inlineStr">
        <is>
          <t>Call SetJoiningProcessMapping(ProductInstanceUri, JoiningProcessIdentification) with all identification fields empty.</t>
        </is>
      </c>
      <c r="E12" s="61" t="inlineStr">
        <is>
          <t>SetJoiningProcessMapping method available.</t>
        </is>
      </c>
      <c r="F12" s="61" t="inlineStr">
        <is>
          <t>Call Service returns Good; method result code is Uncertain. Status output is 5 (invalid input). StatusMessage explains the rejected input; no state change is performed.</t>
        </is>
      </c>
      <c r="G12" s="61" t="inlineStr">
        <is>
          <t>Good</t>
        </is>
      </c>
      <c r="H12" s="61" t="inlineStr">
        <is>
          <t>Uncertain; Status=5 output with StatusMessage</t>
        </is>
      </c>
      <c r="I12" s="61" t="n"/>
      <c r="J12" s="61" t="inlineStr">
        <is>
          <t>OPC 40450-1 Section 7.3</t>
        </is>
      </c>
      <c r="K12" s="61" t="n"/>
    </row>
    <row r="13">
      <c r="A13" s="110" t="inlineStr">
        <is>
          <t>n</t>
        </is>
      </c>
      <c r="B13" s="110" t="n">
        <v>3</v>
      </c>
      <c r="C13" s="110" t="n">
        <v>0</v>
      </c>
      <c r="D13" s="110" t="inlineStr">
        <is>
          <t>Call SetJoiningProcessMapping with duplicate channel mapping</t>
        </is>
      </c>
      <c r="E13" s="110" t="n"/>
      <c r="F13" s="110" t="n"/>
      <c r="G13" s="110" t="n"/>
      <c r="H13" s="110" t="n"/>
      <c r="I13" s="110" t="inlineStr">
        <is>
          <t>n</t>
        </is>
      </c>
      <c r="J13" s="110" t="inlineStr">
        <is>
          <t>OPC 40450-1 Section 11.1 CU-103</t>
        </is>
      </c>
      <c r="K13" s="110" t="n"/>
    </row>
    <row r="14" ht="25.8" customHeight="1" s="132">
      <c r="A14" s="111" t="n"/>
      <c r="B14" s="111" t="n"/>
      <c r="C14" s="111" t="n">
        <v>1</v>
      </c>
      <c r="D14" s="111" t="inlineStr">
        <is>
          <t>Call SetJoiningProcessMapping with a SelectionName that is already mapped to a different joining process.</t>
        </is>
      </c>
      <c r="E14" s="111" t="inlineStr">
        <is>
          <t>Server claims this Conformance Unit; no additional runtime setup is needed for this step.</t>
        </is>
      </c>
      <c r="F14" s="111" t="inlineStr">
        <is>
          <t>Call Service returns Good; method result code is Uncertain. Status output is 5 (invalid input). StatusMessage explains the rejected input; no state change is performed.</t>
        </is>
      </c>
      <c r="G14" s="111" t="inlineStr">
        <is>
          <t>Good</t>
        </is>
      </c>
      <c r="H14" s="111" t="inlineStr">
        <is>
          <t>Uncertain; Status=5 output with StatusMessage</t>
        </is>
      </c>
      <c r="I14" s="111" t="n"/>
      <c r="J14" s="111" t="inlineStr">
        <is>
          <t>OPC 40450-1 Section 11.1 CU-103</t>
        </is>
      </c>
      <c r="K14" s="111" t="inlineStr">
        <is>
          <t>Requirement source: OPC 40450-1 Section 9.27 - Duplicate mapping invalid.</t>
        </is>
      </c>
    </row>
    <row r="15">
      <c r="A15" s="110" t="inlineStr">
        <is>
          <t>n</t>
        </is>
      </c>
      <c r="B15" s="110" t="n">
        <v>4</v>
      </c>
      <c r="C15" s="110" t="n">
        <v>0</v>
      </c>
      <c r="D15" s="110" t="inlineStr">
        <is>
          <t>Call SetJoiningProcessMapping with invalid ProductInstanceUri</t>
        </is>
      </c>
      <c r="E15" s="110" t="n"/>
      <c r="F15" s="110" t="n"/>
      <c r="G15" s="110" t="n"/>
      <c r="H15" s="110" t="n"/>
      <c r="I15" s="110" t="inlineStr">
        <is>
          <t>n</t>
        </is>
      </c>
      <c r="J15" s="110" t="inlineStr">
        <is>
          <t>OPC 40450-1 Section 11.1 CU-103</t>
        </is>
      </c>
      <c r="K15" s="110" t="n"/>
    </row>
    <row r="16" ht="25.8" customHeight="1" s="132">
      <c r="A16" s="111" t="n"/>
      <c r="B16" s="111" t="n"/>
      <c r="C16" s="111" t="n">
        <v>1</v>
      </c>
      <c r="D16" s="111" t="inlineStr">
        <is>
          <t>Call SetJoiningProcessMapping(invalid ProductInstanceUri, JoiningProcessIdentification).</t>
        </is>
      </c>
      <c r="E16" s="111" t="inlineStr">
        <is>
          <t>Server claims this Conformance Unit; no additional runtime setup is needed for this step.</t>
        </is>
      </c>
      <c r="F16" s="111" t="inlineStr">
        <is>
          <t>Call Service returns Good; method result code is Uncertain. Status output is 2 (ProductInstanceUri not found). StatusMessage explains the rejected input; no state change is performed.</t>
        </is>
      </c>
      <c r="G16" s="111" t="inlineStr">
        <is>
          <t>Good</t>
        </is>
      </c>
      <c r="H16" s="111" t="inlineStr">
        <is>
          <t>Uncertain; Status=2 output with StatusMessage</t>
        </is>
      </c>
      <c r="I16" s="111" t="n"/>
      <c r="J16" s="111" t="inlineStr">
        <is>
          <t>OPC 40450-1 Section 11.1 CU-103</t>
        </is>
      </c>
      <c r="K16" s="111" t="inlineStr">
        <is>
          <t>Requirement source: SetJoiningProcessMapping inputs are ProductInstanceUri and JoiningProcessIdentification only; no channel argument.</t>
        </is>
      </c>
    </row>
  </sheetData>
  <mergeCells count="2">
    <mergeCell ref="A1:K1"/>
    <mergeCell ref="C2:J2"/>
  </mergeCells>
  <pageMargins left="0.75" right="0.75" top="1" bottom="1" header="0.5" footer="0.5"/>
</worksheet>
</file>

<file path=xl/worksheets/sheet11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CU-104: IJT Get Joining Process Revision List</t>
        </is>
      </c>
    </row>
    <row r="2" ht="20.05" customHeight="1" s="132">
      <c r="A2" s="75">
        <f>HYPERLINK("#'Home'!A1","⌂ Home")</f>
        <v/>
      </c>
      <c r="C2" s="150" t="inlineStr">
        <is>
          <t>CU-104 — IJT Get Joining Process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GetJoiningProcessRevisionList method exists with correct signature</t>
        </is>
      </c>
      <c r="E4" s="67" t="n"/>
      <c r="F4" s="67" t="n"/>
      <c r="G4" s="67" t="n"/>
      <c r="H4" s="67" t="n"/>
      <c r="I4" s="67" t="inlineStr">
        <is>
          <t>n</t>
        </is>
      </c>
      <c r="J4" s="67" t="inlineStr">
        <is>
          <t>OPC 40450-1 Section 11 (CU-104) / Section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GetJoiningProcessRevisionList.</t>
        </is>
      </c>
      <c r="E5" s="61" t="inlineStr">
        <is>
          <t>JoiningSystem with JoiningProcessManagement.</t>
        </is>
      </c>
      <c r="F5" s="61" t="inlineStr">
        <is>
          <t>GetJoiningProcessRevisionList found. NodeClass = Method. InputArguments: ProductInstanceUri (String), JoiningProcessOriginId (TrimmedString). OutputArguments: JoiningProcessList (JoiningProcessMetaDataType[]), Status (Int64), StatusMessage (LocalizedText).</t>
        </is>
      </c>
      <c r="G5" s="61" t="inlineStr">
        <is>
          <t>Good</t>
        </is>
      </c>
      <c r="H5" s="61" t="inlineStr">
        <is>
          <t>Good</t>
        </is>
      </c>
      <c r="I5" s="61" t="n"/>
      <c r="J5" s="61" t="inlineStr">
        <is>
          <t>OPC 40450-1 Section 7.3 GetJoiningProcessRevisionList</t>
        </is>
      </c>
      <c r="K5" s="61" t="n"/>
    </row>
    <row r="6" ht="25.8" customHeight="1" s="132">
      <c r="A6" s="67" t="inlineStr">
        <is>
          <t>y</t>
        </is>
      </c>
      <c r="B6" s="67" t="n">
        <v>2</v>
      </c>
      <c r="C6" s="67" t="n">
        <v>0</v>
      </c>
      <c r="D6" s="67" t="inlineStr">
        <is>
          <t>Verify GetJoiningProcessRevisionList returns revision history for existing process</t>
        </is>
      </c>
      <c r="E6" s="67" t="n"/>
      <c r="F6" s="67" t="n"/>
      <c r="G6" s="67" t="n"/>
      <c r="H6" s="67" t="n"/>
      <c r="I6" s="67" t="inlineStr">
        <is>
          <t>n</t>
        </is>
      </c>
      <c r="J6" s="67" t="inlineStr">
        <is>
          <t>OPC 40450-1 Section 11 (CU-104) / Section 7.3</t>
        </is>
      </c>
      <c r="K6" s="67" t="n"/>
    </row>
    <row r="7" ht="51.6" customHeight="1" s="132">
      <c r="A7" s="61" t="n"/>
      <c r="B7" s="61" t="n"/>
      <c r="C7" s="61" t="n">
        <v>1</v>
      </c>
      <c r="D7" s="61" t="inlineStr">
        <is>
          <t>Store or configure multiple joining-process revisions that share the same JoiningProcessOriginId. Call GetJoiningProcessRevisionList(ProductInstanceUri, JoiningProcessOriginId).</t>
        </is>
      </c>
      <c r="E7" s="61" t="inlineStr">
        <is>
          <t>A process with at least 2 stored revisions available.</t>
        </is>
      </c>
      <c r="F7" s="61" t="inlineStr">
        <is>
          <t>Returns Good/domain success. Output JoiningProcessList contains JoiningProcessMetaDataType entries for available revisions of the origin id. Each entry has a non-empty JoiningProcessId; CreationTime/LastUpdatedTime are validated when present.</t>
        </is>
      </c>
      <c r="G7" s="61" t="inlineStr">
        <is>
          <t>Good</t>
        </is>
      </c>
      <c r="H7" s="61" t="inlineStr">
        <is>
          <t>Good</t>
        </is>
      </c>
      <c r="I7" s="61" t="n"/>
      <c r="J7" s="61" t="inlineStr">
        <is>
          <t>OPC 40450-1 Section 7.3 GetJoiningProcessRevisionList</t>
        </is>
      </c>
      <c r="K7" s="61" t="n"/>
    </row>
    <row r="8" ht="25.8" customHeight="1" s="132">
      <c r="A8" s="67" t="inlineStr">
        <is>
          <t>y</t>
        </is>
      </c>
      <c r="B8" s="67" t="n">
        <v>3</v>
      </c>
      <c r="C8" s="67" t="n">
        <v>0</v>
      </c>
      <c r="D8" s="67" t="inlineStr">
        <is>
          <t>Verify GetJoiningProcessRevisionList for process with single revision</t>
        </is>
      </c>
      <c r="E8" s="67" t="n"/>
      <c r="F8" s="67" t="n"/>
      <c r="G8" s="67" t="n"/>
      <c r="H8" s="67" t="n"/>
      <c r="I8" s="67" t="inlineStr">
        <is>
          <t>n</t>
        </is>
      </c>
      <c r="J8" s="67" t="inlineStr">
        <is>
          <t>OPC 40450-1 Section 11 (CU-104) / Section 7.3</t>
        </is>
      </c>
      <c r="K8" s="67" t="n"/>
    </row>
    <row r="9" ht="25.8" customHeight="1" s="132">
      <c r="A9" s="61" t="n"/>
      <c r="B9" s="61" t="n"/>
      <c r="C9" s="61" t="n">
        <v>1</v>
      </c>
      <c r="D9" s="61" t="inlineStr">
        <is>
          <t>Call GetJoiningProcessRevisionList for a JoiningProcessOriginId with exactly one available revision.</t>
        </is>
      </c>
      <c r="E9" s="61" t="inlineStr">
        <is>
          <t>A process with exactly one revision available.</t>
        </is>
      </c>
      <c r="F9" s="61" t="inlineStr">
        <is>
          <t>Returns Good/domain success. Output JoiningProcessList has one JoiningProcessMetaDataType entry with non-empty JoiningProcessId.</t>
        </is>
      </c>
      <c r="G9" s="61" t="inlineStr">
        <is>
          <t>Good</t>
        </is>
      </c>
      <c r="H9" s="61" t="inlineStr">
        <is>
          <t>Good</t>
        </is>
      </c>
      <c r="I9" s="61" t="n"/>
      <c r="J9" s="61" t="inlineStr">
        <is>
          <t>OPC 40450-1 Section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GetJoiningProcessRevisionList with non-existent JoiningProcessOriginId returns empty list or error</t>
        </is>
      </c>
      <c r="E11" s="69" t="n"/>
      <c r="F11" s="69" t="n"/>
      <c r="G11" s="69" t="n"/>
      <c r="H11" s="69" t="n"/>
      <c r="I11" s="69" t="inlineStr">
        <is>
          <t>n</t>
        </is>
      </c>
      <c r="J11" s="69" t="inlineStr">
        <is>
          <t>OPC 40450-1 Section 11 (CU-104) / Section 7.3</t>
        </is>
      </c>
      <c r="K11" s="69" t="n"/>
    </row>
    <row r="12" ht="25.8" customHeight="1" s="132">
      <c r="A12" s="61" t="n"/>
      <c r="B12" s="61" t="n"/>
      <c r="C12" s="61" t="n">
        <v>1</v>
      </c>
      <c r="D12" s="61" t="inlineStr">
        <is>
          <t>Call GetJoiningProcessRevisionList(ProductInstanceUri, JoiningProcessOriginId="DOES_NOT_EXIST").</t>
        </is>
      </c>
      <c r="E12" s="61" t="inlineStr">
        <is>
          <t>GetJoiningProcessRevisionList method available.</t>
        </is>
      </c>
      <c r="F12" s="61" t="inlineStr">
        <is>
          <t>Call Service returns Good; method result code is Uncertain. Status output is 4 (input identifier/entity not found). StatusMessage explains the rejected input; no state change is performed.</t>
        </is>
      </c>
      <c r="G12" s="61" t="inlineStr">
        <is>
          <t>Good</t>
        </is>
      </c>
      <c r="H12" s="61" t="inlineStr">
        <is>
          <t>Uncertain; Status=4 output with StatusMessage</t>
        </is>
      </c>
      <c r="I12" s="61" t="n"/>
      <c r="J12" s="61" t="inlineStr">
        <is>
          <t>OPC 40450-1 Section 7.3</t>
        </is>
      </c>
      <c r="K12" s="61" t="n"/>
    </row>
    <row r="13">
      <c r="A13" s="110" t="inlineStr">
        <is>
          <t>n</t>
        </is>
      </c>
      <c r="B13" s="110" t="n">
        <v>2</v>
      </c>
      <c r="C13" s="110" t="n">
        <v>0</v>
      </c>
      <c r="D13" s="110" t="inlineStr">
        <is>
          <t>Call GetJoiningProcessRevisionList with non-existent ID</t>
        </is>
      </c>
      <c r="E13" s="110" t="n"/>
      <c r="F13" s="110" t="n"/>
      <c r="G13" s="110" t="n"/>
      <c r="H13" s="110" t="n"/>
      <c r="I13" s="110" t="inlineStr">
        <is>
          <t>n</t>
        </is>
      </c>
      <c r="J13" s="110" t="inlineStr">
        <is>
          <t>OPC 40450-1 Section 11.1 CU-104</t>
        </is>
      </c>
      <c r="K13" s="110" t="n"/>
    </row>
    <row r="14">
      <c r="A14" s="111" t="n"/>
      <c r="B14" s="111" t="n"/>
      <c r="C14" s="111" t="n">
        <v>1</v>
      </c>
      <c r="D14" s="111" t="inlineStr">
        <is>
          <t>Call with fabricated JoiningProcessOriginId.</t>
        </is>
      </c>
      <c r="E14" s="111" t="inlineStr">
        <is>
          <t>Server claims this Conformance Unit; no additional runtime setup is needed for this step.</t>
        </is>
      </c>
      <c r="F14" s="111" t="inlineStr">
        <is>
          <t>Call Service returns Good; method result code is Uncertain. Status output is 4 (input identifier/entity not found). StatusMessage explains the rejected input; no state change is performed.</t>
        </is>
      </c>
      <c r="G14" s="111" t="inlineStr">
        <is>
          <t>Good</t>
        </is>
      </c>
      <c r="H14" s="111" t="inlineStr">
        <is>
          <t>Uncertain; Status=4 output with StatusMessage</t>
        </is>
      </c>
      <c r="I14" s="111" t="n"/>
      <c r="J14" s="111" t="inlineStr">
        <is>
          <t>OPC 40450-1 Section 11.1 CU-104</t>
        </is>
      </c>
      <c r="K14" s="111" t="inlineStr">
        <is>
          <t>Requirement source: OPC 40450-1 Section 9.28 - Process must exist.</t>
        </is>
      </c>
    </row>
    <row r="15">
      <c r="A15" s="110" t="inlineStr">
        <is>
          <t>n</t>
        </is>
      </c>
      <c r="B15" s="110" t="n">
        <v>3</v>
      </c>
      <c r="C15" s="110" t="n">
        <v>0</v>
      </c>
      <c r="D15" s="110" t="inlineStr">
        <is>
          <t>Call GetJoiningProcessRevisionList when no revisions exist</t>
        </is>
      </c>
      <c r="E15" s="110" t="n"/>
      <c r="F15" s="110" t="n"/>
      <c r="G15" s="110" t="n"/>
      <c r="H15" s="110" t="n"/>
      <c r="I15" s="110" t="inlineStr">
        <is>
          <t>n</t>
        </is>
      </c>
      <c r="J15" s="110" t="inlineStr">
        <is>
          <t>OPC 40450-1 Section 11.1 CU-104</t>
        </is>
      </c>
      <c r="K15" s="110" t="n"/>
    </row>
    <row r="16">
      <c r="A16" s="111" t="n"/>
      <c r="B16" s="111" t="n"/>
      <c r="C16" s="111" t="n">
        <v>1</v>
      </c>
      <c r="D16" s="111" t="inlineStr">
        <is>
          <t>Call for process with single version.</t>
        </is>
      </c>
      <c r="E16" s="111" t="inlineStr">
        <is>
          <t>Server claims this Conformance Unit; no additional runtime setup is needed for this step.</t>
        </is>
      </c>
      <c r="F16" s="111" t="inlineStr">
        <is>
          <t>Returns Good with empty or single-entry array.</t>
        </is>
      </c>
      <c r="G16" s="111" t="inlineStr">
        <is>
          <t>Good</t>
        </is>
      </c>
      <c r="H16" s="111" t="n"/>
      <c r="I16" s="111" t="n"/>
      <c r="J16" s="111" t="inlineStr">
        <is>
          <t>OPC 40450-1 Section 11.1 CU-104</t>
        </is>
      </c>
      <c r="K16" s="111" t="inlineStr">
        <is>
          <t>Requirement source: OPC 40450-1 Section 9.28 - Empty revision list.</t>
        </is>
      </c>
    </row>
    <row r="17">
      <c r="A17" s="110" t="inlineStr">
        <is>
          <t>n</t>
        </is>
      </c>
      <c r="B17" s="110" t="n">
        <v>4</v>
      </c>
      <c r="C17" s="110" t="n">
        <v>0</v>
      </c>
      <c r="D17" s="110" t="inlineStr">
        <is>
          <t>Verify revision list entries ordered by timestamp</t>
        </is>
      </c>
      <c r="E17" s="110" t="n"/>
      <c r="F17" s="110" t="n"/>
      <c r="G17" s="110" t="n"/>
      <c r="H17" s="110" t="n"/>
      <c r="I17" s="110" t="inlineStr">
        <is>
          <t>n</t>
        </is>
      </c>
      <c r="J17" s="110" t="inlineStr">
        <is>
          <t>OPC 40450-1 Section 11.1 CU-104</t>
        </is>
      </c>
      <c r="K17" s="110" t="n"/>
    </row>
    <row r="18">
      <c r="A18" s="111" t="n"/>
      <c r="B18" s="111" t="n"/>
      <c r="C18" s="111" t="n">
        <v>1</v>
      </c>
      <c r="D18" s="111" t="inlineStr">
        <is>
          <t>Call. Check ordering using available metadata timestamps when CreationTime or LastUpdatedTime are present.</t>
        </is>
      </c>
      <c r="E18" s="111" t="inlineStr">
        <is>
          <t>Server claims this Conformance Unit; no additional runtime setup is needed for this step.</t>
        </is>
      </c>
      <c r="F18" s="111" t="inlineStr">
        <is>
          <t>Entries are consistently ordered by server-defined revision order or by available metadata timestamps. Optional timestamps are not required to exist on every entry.</t>
        </is>
      </c>
      <c r="G18" s="111" t="inlineStr">
        <is>
          <t>Good</t>
        </is>
      </c>
      <c r="H18" s="111" t="n"/>
      <c r="I18" s="111" t="n"/>
      <c r="J18" s="111" t="inlineStr">
        <is>
          <t>OPC 40450-1 Section 11.1 CU-104</t>
        </is>
      </c>
      <c r="K18" s="111" t="inlineStr">
        <is>
          <t>Requirement source: OPC 40450-1 Section 9.28 - Consistent ordering.</t>
        </is>
      </c>
    </row>
  </sheetData>
  <mergeCells count="2">
    <mergeCell ref="A1:K1"/>
    <mergeCell ref="C2:J2"/>
  </mergeCells>
  <pageMargins left="0.75" right="0.75" top="1" bottom="1" header="0.5" footer="0.5"/>
</worksheet>
</file>

<file path=xl/worksheets/sheet111.xml><?xml version="1.0" encoding="utf-8"?>
<worksheet xmlns="http://schemas.openxmlformats.org/spreadsheetml/2006/main">
  <sheetPr codeName="Sheet9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CU-105: Joint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CU-105 — Joint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JM-1: Browse JoiningSystemType instance for JointManagement component; verify present</t>
        </is>
      </c>
      <c r="E4" s="58" t="n"/>
      <c r="F4" s="58" t="n"/>
      <c r="G4" s="58" t="n"/>
      <c r="H4" s="58" t="n"/>
      <c r="I4" s="58" t="inlineStr">
        <is>
          <t>n</t>
        </is>
      </c>
      <c r="J4" s="58" t="inlineStr">
        <is>
          <t>OPC 40450-1 Section 11.1 CU-105</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Connect to the IJT server. Browse the JoiningSystem Object node for a component named "JointManagement".</t>
        </is>
      </c>
      <c r="E5" s="105" t="inlineStr">
        <is>
          <t>IJT server running. JoiningSystem Object accessible. JointManagement is declared as part of JoiningSystemType.</t>
        </is>
      </c>
      <c r="F5" s="105" t="inlineStr">
        <is>
          <t>A child node named "JointManagement" is found under the JoiningSystem Object. NodeClass = Object. BrowseName = "JointManagement".</t>
        </is>
      </c>
      <c r="G5" s="105" t="inlineStr">
        <is>
          <t>Good</t>
        </is>
      </c>
      <c r="H5" s="105" t="inlineStr">
        <is>
          <t>JointManagement component node found; BrowseName confirmed</t>
        </is>
      </c>
      <c r="I5" s="105" t="n"/>
      <c r="J5" s="105" t="inlineStr">
        <is>
          <t>OPC 40450-1 Section 11.1 CU-105</t>
        </is>
      </c>
      <c r="K5" s="106" t="n"/>
      <c r="L5" s="27" t="n"/>
      <c r="M5" s="28" t="n"/>
      <c r="N5" s="28" t="n"/>
    </row>
    <row r="6" ht="26.1" customHeight="1" s="132">
      <c r="A6" s="56" t="inlineStr">
        <is>
          <t>y</t>
        </is>
      </c>
      <c r="B6" s="57" t="n">
        <v>2</v>
      </c>
      <c r="C6" s="58" t="n">
        <v>0</v>
      </c>
      <c r="D6" s="58" t="inlineStr">
        <is>
          <t>JM-2: Verify TypeDefinition of JointManagement = JointManagementType (IJT namespace)</t>
        </is>
      </c>
      <c r="E6" s="58" t="n"/>
      <c r="F6" s="58" t="n"/>
      <c r="G6" s="58" t="n"/>
      <c r="H6" s="58" t="n"/>
      <c r="I6" s="58" t="inlineStr">
        <is>
          <t>n</t>
        </is>
      </c>
      <c r="J6" s="58" t="inlineStr">
        <is>
          <t>OPC 40450-1 Section 11.1 CU-105</t>
        </is>
      </c>
      <c r="K6" s="74" t="n"/>
      <c r="L6" s="27" t="n"/>
      <c r="M6" s="28" t="n"/>
      <c r="N6" s="28" t="n"/>
    </row>
    <row r="7" ht="26.1" customHeight="1" s="132">
      <c r="A7" s="103" t="n"/>
      <c r="B7" s="104" t="n"/>
      <c r="C7" s="105" t="n">
        <v>1</v>
      </c>
      <c r="D7" s="105" t="inlineStr">
        <is>
          <t>Read the HasTypeDefinition reference of the JointManagement node. Resolve the NodeId against the server NamespaceArray to confirm IJT namespace.</t>
        </is>
      </c>
      <c r="E7" s="105" t="inlineStr">
        <is>
          <t>JointManagement node accessible. IJT namespace URI known.</t>
        </is>
      </c>
      <c r="F7" s="105" t="inlineStr">
        <is>
          <t>TypeDefinition NodeId resolves to JointManagementType in the OPC 40450-1 namespace. BrowseName of the TypeDefinition node = "JointManagementType".</t>
        </is>
      </c>
      <c r="G7" s="105" t="inlineStr">
        <is>
          <t>Good</t>
        </is>
      </c>
      <c r="H7" s="105" t="inlineStr">
        <is>
          <t>HasTypeDefinition reference = JointManagementType; namespace URI = OPC 40450-1</t>
        </is>
      </c>
      <c r="I7" s="105" t="n"/>
      <c r="J7" s="105" t="inlineStr">
        <is>
          <t>OPC 40450-1 Section 11.1 CU-105</t>
        </is>
      </c>
      <c r="K7" s="106" t="n"/>
      <c r="L7" s="27" t="n"/>
      <c r="M7" s="28" t="n"/>
      <c r="N7" s="28" t="n"/>
    </row>
    <row r="8" ht="26.1" customHeight="1" s="132">
      <c r="A8" s="56" t="inlineStr">
        <is>
          <t>y</t>
        </is>
      </c>
      <c r="B8" s="57" t="n">
        <v>3</v>
      </c>
      <c r="C8" s="58" t="n">
        <v>0</v>
      </c>
      <c r="D8" s="58" t="inlineStr">
        <is>
          <t>JM-3: Browse JointManagement for MethodSet; verify SendJoint, GetJointList, SelectJoint, GetJoint present</t>
        </is>
      </c>
      <c r="E8" s="58" t="n"/>
      <c r="F8" s="58" t="n"/>
      <c r="G8" s="58" t="n"/>
      <c r="H8" s="58" t="n"/>
      <c r="I8" s="58" t="inlineStr">
        <is>
          <t>n</t>
        </is>
      </c>
      <c r="J8" s="58" t="inlineStr">
        <is>
          <t>OPC 40450-1 Section 11.1 CU-105</t>
        </is>
      </c>
      <c r="K8" s="74" t="n"/>
      <c r="L8" s="27" t="n"/>
      <c r="M8" s="28" t="n"/>
      <c r="N8" s="28" t="n"/>
    </row>
    <row r="9" ht="35.1" customHeight="1" s="132">
      <c r="A9" s="103" t="n"/>
      <c r="B9" s="104" t="n"/>
      <c r="C9" s="105" t="n">
        <v>1</v>
      </c>
      <c r="D9" s="105" t="inlineStr">
        <is>
          <t>Browse JointManagement for its MethodSet component. Enumerate all Method nodes within MethodSet.</t>
        </is>
      </c>
      <c r="E9" s="105" t="inlineStr">
        <is>
          <t>JointManagement accessible. MethodSet component present.</t>
        </is>
      </c>
      <c r="F9" s="105" t="inlineStr">
        <is>
          <t>MethodSet contains at least the following Method nodes: SendJoint, GetJointList, SelectJoint, GetJoint. Each has NodeClass = Method.</t>
        </is>
      </c>
      <c r="G9" s="105" t="inlineStr">
        <is>
          <t>Good</t>
        </is>
      </c>
      <c r="H9" s="105" t="inlineStr">
        <is>
          <t>SendJoint, GetJointList, SelectJoint, GetJoint all found in MethodSet</t>
        </is>
      </c>
      <c r="I9" s="105" t="n"/>
      <c r="J9" s="105" t="inlineStr">
        <is>
          <t>OPC 40450-1 Section 11.1 CU-105</t>
        </is>
      </c>
      <c r="K9" s="106" t="n"/>
      <c r="L9" s="27" t="n"/>
      <c r="M9" s="28" t="n"/>
      <c r="N9" s="28" t="n"/>
    </row>
    <row r="10" ht="39" customHeight="1" s="132">
      <c r="A10" s="56" t="inlineStr">
        <is>
          <t>y</t>
        </is>
      </c>
      <c r="B10" s="57" t="n">
        <v>4</v>
      </c>
      <c r="C10" s="58" t="n">
        <v>0</v>
      </c>
      <c r="D10" s="58" t="inlineStr">
        <is>
          <t>JM-4: Verify all mandatory methods in MethodSet have Executable=True</t>
        </is>
      </c>
      <c r="E10" s="58" t="n"/>
      <c r="F10" s="58" t="n"/>
      <c r="G10" s="58" t="n"/>
      <c r="H10" s="58" t="n"/>
      <c r="I10" s="58" t="inlineStr">
        <is>
          <t>n</t>
        </is>
      </c>
      <c r="J10" s="58" t="inlineStr">
        <is>
          <t>OPC 40450-1 Section 11.1 CU-105</t>
        </is>
      </c>
      <c r="K10" s="74" t="n"/>
      <c r="L10" s="27" t="n"/>
      <c r="M10" s="28" t="n"/>
      <c r="N10" s="28" t="n"/>
    </row>
    <row r="11" ht="46.8" customHeight="1" s="132">
      <c r="A11" s="103" t="n"/>
      <c r="B11" s="104" t="n"/>
      <c r="C11" s="105" t="n">
        <v>1</v>
      </c>
      <c r="D11" s="105" t="inlineStr">
        <is>
          <t>For each mandatory method (SendJoint, GetJointList, SelectJoint, GetJoint) in JointManagement.MethodSet, read the Executable attribute.</t>
        </is>
      </c>
      <c r="E11" s="105" t="inlineStr">
        <is>
          <t>JointManagement object and MethodSet are accessible.</t>
        </is>
      </c>
      <c r="F11" s="105" t="inlineStr">
        <is>
          <t>Executable attribute = True for all four mandatory methods. UserExecutable = True for the current session user.</t>
        </is>
      </c>
      <c r="G11" s="105" t="inlineStr">
        <is>
          <t>Good</t>
        </is>
      </c>
      <c r="H11" s="105" t="inlineStr">
        <is>
          <t>Executable=True and UserExecutable=True confirmed for all mandatory methods</t>
        </is>
      </c>
      <c r="I11" s="105" t="n"/>
      <c r="J11" s="105" t="inlineStr">
        <is>
          <t>OPC 40450-1 Section 11.1 CU-105</t>
        </is>
      </c>
      <c r="K11" s="106" t="inlineStr">
        <is>
          <t>Requirement source: All four mandatory methods must be present: SendJoint, GetJointList, SelectJoint, GetJoint.</t>
        </is>
      </c>
      <c r="L11" s="27" t="n"/>
      <c r="M11" s="28" t="n"/>
      <c r="N11" s="28" t="n"/>
    </row>
    <row r="12">
      <c r="A12" s="56" t="inlineStr">
        <is>
          <t>y</t>
        </is>
      </c>
      <c r="B12" s="57" t="n">
        <v>5</v>
      </c>
      <c r="C12" s="58" t="n">
        <v>0</v>
      </c>
      <c r="D12" s="58" t="inlineStr">
        <is>
          <t>JM-5: Verify JointManagement NodeClass = Object</t>
        </is>
      </c>
      <c r="E12" s="58" t="n"/>
      <c r="F12" s="58" t="n"/>
      <c r="G12" s="58" t="n"/>
      <c r="H12" s="58" t="n"/>
      <c r="I12" s="58" t="inlineStr">
        <is>
          <t>n</t>
        </is>
      </c>
      <c r="J12" s="58" t="inlineStr">
        <is>
          <t>OPC 40450-1 Section 11.1 CU-105</t>
        </is>
      </c>
      <c r="K12" s="74" t="n"/>
      <c r="L12" s="27" t="n"/>
      <c r="M12" s="28" t="n"/>
      <c r="N12" s="28" t="n"/>
    </row>
    <row r="13" ht="26.1" customHeight="1" s="132">
      <c r="A13" s="103" t="n"/>
      <c r="B13" s="104" t="n"/>
      <c r="C13" s="105" t="n">
        <v>1</v>
      </c>
      <c r="D13" s="105" t="inlineStr">
        <is>
          <t>Read the NodeClass attribute of the JointManagement node.</t>
        </is>
      </c>
      <c r="E13" s="105" t="inlineStr">
        <is>
          <t>JointManagement node accessible via Browse or NodeId.</t>
        </is>
      </c>
      <c r="F13" s="105" t="inlineStr">
        <is>
          <t>NodeClass attribute value = 1 (Object). Confirms JointManagement is an Object node, not a Variable or Method.</t>
        </is>
      </c>
      <c r="G13" s="105" t="inlineStr">
        <is>
          <t>Good</t>
        </is>
      </c>
      <c r="H13" s="105" t="inlineStr">
        <is>
          <t>NodeClass = Object (1) confirmed for JointManagement node</t>
        </is>
      </c>
      <c r="I13" s="105" t="n"/>
      <c r="J13" s="105" t="inlineStr">
        <is>
          <t>OPC 40450-1 Section 11.1 CU-105</t>
        </is>
      </c>
      <c r="K13" s="106"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6</v>
      </c>
      <c r="C15" s="97" t="n">
        <v>0</v>
      </c>
      <c r="D15" s="97" t="inlineStr">
        <is>
          <t>JM-6 (error): Attempt to delete JointManagement node using DeleteNodes Service; verify rejection</t>
        </is>
      </c>
      <c r="E15" s="97" t="n"/>
      <c r="F15" s="97" t="n"/>
      <c r="G15" s="97" t="n"/>
      <c r="H15" s="97" t="n"/>
      <c r="I15" s="97" t="inlineStr">
        <is>
          <t>n</t>
        </is>
      </c>
      <c r="J15" s="97" t="inlineStr">
        <is>
          <t>OPC 40450-1 Section 11.1 CU-105</t>
        </is>
      </c>
      <c r="K15" s="98" t="n"/>
      <c r="L15" s="27" t="n"/>
      <c r="M15" s="28" t="n"/>
      <c r="N15" s="28" t="n"/>
    </row>
    <row r="16" ht="58.5" customHeight="1" s="132">
      <c r="A16" s="103" t="n"/>
      <c r="B16" s="104" t="n"/>
      <c r="C16" s="105" t="n">
        <v>1</v>
      </c>
      <c r="D16" s="105" t="inlineStr">
        <is>
          <t>Attempt to delete the JointManagement node using the DeleteNodes Service.</t>
        </is>
      </c>
      <c r="E16" s="105" t="inlineStr">
        <is>
          <t>JointManagement node accessible. Client has a session with the server.</t>
        </is>
      </c>
      <c r="F16" s="105" t="inlineStr">
        <is>
          <t>DeleteNodes is rejected. StatusCode = Bad_NotSupported, Bad_UserAccessDenied, or Bad_NotWritable. JointManagement node remains present after the attempt.</t>
        </is>
      </c>
      <c r="G16" s="105" t="inlineStr">
        <is>
          <t>Good</t>
        </is>
      </c>
      <c r="H16" s="105" t="inlineStr">
        <is>
          <t>StatusCode = Bad_NotSupported, Bad_UserAccessDenied, or Bad_NotWritable; JointManagement still present after attempt</t>
        </is>
      </c>
      <c r="I16" s="105" t="n"/>
      <c r="J16" s="105" t="inlineStr">
        <is>
          <t>OPC 40450-1 Section 11.1 CU-105</t>
        </is>
      </c>
      <c r="K16" s="106" t="n"/>
    </row>
    <row r="17" customFormat="1" s="138">
      <c r="A17" s="112" t="inlineStr">
        <is>
          <t>n</t>
        </is>
      </c>
      <c r="B17" s="110" t="n">
        <v>7</v>
      </c>
      <c r="C17" s="110" t="n">
        <v>0</v>
      </c>
      <c r="D17" s="110" t="inlineStr">
        <is>
          <t>Verify JointManagement is of JointManagementType</t>
        </is>
      </c>
      <c r="E17" s="110" t="n"/>
      <c r="F17" s="110" t="n"/>
      <c r="G17" s="110" t="n"/>
      <c r="H17" s="110" t="n"/>
      <c r="I17" s="110" t="inlineStr">
        <is>
          <t>n</t>
        </is>
      </c>
      <c r="J17" s="110" t="inlineStr">
        <is>
          <t>OPC 40450-1 Section 11.1 CU-105</t>
        </is>
      </c>
      <c r="K17" s="115" t="n"/>
    </row>
    <row r="18">
      <c r="A18" s="120" t="n"/>
      <c r="B18" s="121" t="n"/>
      <c r="C18" s="122" t="n">
        <v>1</v>
      </c>
      <c r="D18" s="122" t="inlineStr">
        <is>
          <t>Read TypeDefinitionId of JointManagement.</t>
        </is>
      </c>
      <c r="E18" s="122" t="inlineStr">
        <is>
          <t>Server claims this Conformance Unit; no additional runtime setup is needed for this step.</t>
        </is>
      </c>
      <c r="F18" s="122" t="inlineStr">
        <is>
          <t>TypeDefinitionId matches JointManagementType.</t>
        </is>
      </c>
      <c r="G18" s="122" t="inlineStr">
        <is>
          <t>Good</t>
        </is>
      </c>
      <c r="H18" s="122" t="n"/>
      <c r="I18" s="122" t="n"/>
      <c r="J18" s="122" t="inlineStr">
        <is>
          <t>OPC 40450-1 Section 11.1 CU-105</t>
        </is>
      </c>
      <c r="K18" s="123" t="inlineStr">
        <is>
          <t>Requirement source: OPC 40450-1 Section 7.7 - TypeDefinition.</t>
        </is>
      </c>
    </row>
    <row r="19">
      <c r="A19" s="110" t="inlineStr">
        <is>
          <t>n</t>
        </is>
      </c>
      <c r="B19" s="110" t="n">
        <v>8</v>
      </c>
      <c r="C19" s="110" t="n">
        <v>0</v>
      </c>
      <c r="D19" s="110" t="inlineStr">
        <is>
          <t>Verify MethodSet present under JointManagement</t>
        </is>
      </c>
      <c r="E19" s="110" t="n"/>
      <c r="F19" s="110" t="n"/>
      <c r="G19" s="110" t="n"/>
      <c r="H19" s="110" t="n"/>
      <c r="I19" s="110" t="inlineStr">
        <is>
          <t>n</t>
        </is>
      </c>
      <c r="J19" s="110" t="inlineStr">
        <is>
          <t>OPC 40450-1 Section 11.1 CU-105</t>
        </is>
      </c>
      <c r="K19" s="110" t="n"/>
    </row>
    <row r="20">
      <c r="A20" s="111" t="n"/>
      <c r="B20" s="111" t="n"/>
      <c r="C20" s="111" t="n">
        <v>1</v>
      </c>
      <c r="D20" s="111" t="inlineStr">
        <is>
          <t>Browse JointManagement for 2:MethodSet.</t>
        </is>
      </c>
      <c r="E20" s="111" t="inlineStr">
        <is>
          <t>Server claims this Conformance Unit; no additional runtime setup is needed for this step.</t>
        </is>
      </c>
      <c r="F20" s="111" t="inlineStr">
        <is>
          <t>2:MethodSet found.</t>
        </is>
      </c>
      <c r="G20" s="111" t="inlineStr">
        <is>
          <t>Good</t>
        </is>
      </c>
      <c r="H20" s="111" t="n"/>
      <c r="I20" s="111" t="n"/>
      <c r="J20" s="111" t="inlineStr">
        <is>
          <t>OPC 40450-1 Section 11.1 CU-105</t>
        </is>
      </c>
      <c r="K20" s="111" t="inlineStr">
        <is>
          <t>Requirement source: OPC 40450-1 Section 7.7 - Mandatory.</t>
        </is>
      </c>
    </row>
    <row r="21">
      <c r="A21" s="110" t="inlineStr">
        <is>
          <t>n</t>
        </is>
      </c>
      <c r="B21" s="110" t="n">
        <v>9</v>
      </c>
      <c r="C21" s="110" t="n">
        <v>0</v>
      </c>
      <c r="D21" s="110" t="inlineStr">
        <is>
          <t>Verify JointManagement absent when profile not declared</t>
        </is>
      </c>
      <c r="E21" s="110" t="n"/>
      <c r="F21" s="110" t="n"/>
      <c r="G21" s="110" t="n"/>
      <c r="H21" s="110" t="n"/>
      <c r="I21" s="110" t="inlineStr">
        <is>
          <t>n</t>
        </is>
      </c>
      <c r="J21" s="110" t="inlineStr">
        <is>
          <t>OPC 40450-1 Section 11.1 CU-105</t>
        </is>
      </c>
      <c r="K21" s="110" t="n"/>
    </row>
    <row r="22">
      <c r="A22" s="111" t="n"/>
      <c r="B22" s="111" t="n"/>
      <c r="C22" s="111" t="n">
        <v>1</v>
      </c>
      <c r="D22" s="111" t="inlineStr">
        <is>
          <t>If CU-105 not in profiles, browse for JointManagement.</t>
        </is>
      </c>
      <c r="E22" s="111" t="inlineStr">
        <is>
          <t>Server claims this Conformance Unit; no additional runtime setup is needed for this step.</t>
        </is>
      </c>
      <c r="F22" s="111" t="inlineStr">
        <is>
          <t>JointManagement absent.</t>
        </is>
      </c>
      <c r="G22" s="111" t="inlineStr">
        <is>
          <t>Good</t>
        </is>
      </c>
      <c r="H22" s="111" t="n"/>
      <c r="I22" s="111" t="n"/>
      <c r="J22" s="111" t="inlineStr">
        <is>
          <t>OPC 40450-1 Section 11.1 CU-105</t>
        </is>
      </c>
      <c r="K22" s="111" t="inlineStr">
        <is>
          <t>Requirement source: OPC 40450-1 Section 7.7 - Conditional on profile.</t>
        </is>
      </c>
    </row>
  </sheetData>
  <mergeCells count="2">
    <mergeCell ref="A1:K1"/>
    <mergeCell ref="C2:J2"/>
  </mergeCells>
  <pageMargins left="0.7" right="0.7" top="0.75" bottom="0.75" header="0.3" footer="0.3"/>
</worksheet>
</file>

<file path=xl/worksheets/sheet112.xml><?xml version="1.0" encoding="utf-8"?>
<worksheet xmlns="http://schemas.openxmlformats.org/spreadsheetml/2006/main">
  <sheetPr codeName="Sheet9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CU-106: Send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CU-106 — Send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SJ-1: Browse JointManagement.MethodSet for SendJoint; verify Executable=True</t>
        </is>
      </c>
      <c r="E4" s="58" t="n"/>
      <c r="F4" s="58" t="n"/>
      <c r="G4" s="58" t="n"/>
      <c r="H4" s="58" t="n"/>
      <c r="I4" s="58" t="inlineStr">
        <is>
          <t>n</t>
        </is>
      </c>
      <c r="J4" s="58" t="inlineStr">
        <is>
          <t>OPC 40450-1 Section 11.1 CU-106</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 Method node. Read Executable and UserExecutable attributes.</t>
        </is>
      </c>
      <c r="E5" s="105" t="inlineStr">
        <is>
          <t>IJT server running. JointManagement.MethodSet accessible.</t>
        </is>
      </c>
      <c r="F5" s="105" t="inlineStr">
        <is>
          <t>SendJoint Method node found. Executable = True. UserExecutable = True.</t>
        </is>
      </c>
      <c r="G5" s="105" t="inlineStr">
        <is>
          <t>Good</t>
        </is>
      </c>
      <c r="H5" s="105" t="inlineStr">
        <is>
          <t>SendJoint found in MethodSet; Executable=True; UserExecutable=True</t>
        </is>
      </c>
      <c r="I5" s="105" t="n"/>
      <c r="J5" s="105" t="inlineStr">
        <is>
          <t>OPC 40450-1 Section 11.1 CU-106</t>
        </is>
      </c>
      <c r="K5" s="106" t="n"/>
      <c r="L5" s="27" t="n"/>
      <c r="M5" s="28" t="n"/>
      <c r="N5" s="28" t="n"/>
    </row>
    <row r="6" ht="26.1" customHeight="1" s="132">
      <c r="A6" s="56" t="inlineStr">
        <is>
          <t>y</t>
        </is>
      </c>
      <c r="B6" s="57" t="n">
        <v>2</v>
      </c>
      <c r="C6" s="58" t="n">
        <v>0</v>
      </c>
      <c r="D6" s="58" t="inlineStr">
        <is>
          <t>SJ-2: Call SendJoint(ProductInstanceUri, Joint) with valid JointDataType; verify Good</t>
        </is>
      </c>
      <c r="E6" s="58" t="n"/>
      <c r="F6" s="58" t="n"/>
      <c r="G6" s="58" t="n"/>
      <c r="H6" s="58" t="n"/>
      <c r="I6" s="58" t="inlineStr">
        <is>
          <t>n</t>
        </is>
      </c>
      <c r="J6" s="58" t="inlineStr">
        <is>
          <t>OPC 40450-1 Section 11.1 CU-106</t>
        </is>
      </c>
      <c r="K6" s="74" t="n"/>
      <c r="L6" s="27" t="n"/>
      <c r="M6" s="28" t="n"/>
      <c r="N6" s="28" t="n"/>
    </row>
    <row r="7" ht="39" customHeight="1" s="132">
      <c r="A7" s="103" t="n"/>
      <c r="B7" s="104" t="n"/>
      <c r="C7" s="105" t="n">
        <v>1</v>
      </c>
      <c r="D7" s="105" t="inlineStr">
        <is>
          <t>Construct a JointDataType with JointId="JOINT-TC-001" and optional AssociatedEntities[] entries as needed. Call JointManagement.SendJoint with ProductInstanceUri and Joint.</t>
        </is>
      </c>
      <c r="E7" s="105" t="inlineStr">
        <is>
          <t>SendJoint method executable. ProductInstanceUri selected. JointDataType has non-empty JointId.</t>
        </is>
      </c>
      <c r="F7" s="105" t="inlineStr">
        <is>
          <t>Method returns Good/domain success. No error is returned. Joint is stored on the server.</t>
        </is>
      </c>
      <c r="G7" s="105" t="inlineStr">
        <is>
          <t>Good</t>
        </is>
      </c>
      <c r="H7" s="105" t="inlineStr">
        <is>
          <t>Good returned; JointDataType accepted; joint stored on server</t>
        </is>
      </c>
      <c r="I7" s="105" t="n"/>
      <c r="J7" s="105" t="inlineStr">
        <is>
          <t>OPC 40450-1 Section 11.1 CU-106</t>
        </is>
      </c>
      <c r="K7" s="106" t="inlineStr">
        <is>
          <t>JointDataType has no direct JoiningProcessId field; represent process linkage through AssociatedEntities[] when applicable.</t>
        </is>
      </c>
      <c r="L7" s="27" t="n"/>
      <c r="M7" s="28" t="n"/>
      <c r="N7" s="28" t="n"/>
    </row>
    <row r="8" ht="39" customHeight="1" s="132">
      <c r="A8" s="56" t="inlineStr">
        <is>
          <t>y</t>
        </is>
      </c>
      <c r="B8" s="57" t="n">
        <v>3</v>
      </c>
      <c r="C8" s="58" t="n">
        <v>0</v>
      </c>
      <c r="D8" s="58" t="inlineStr">
        <is>
          <t>SJ-3: Verify joint appears in GetJointList after SendJoint</t>
        </is>
      </c>
      <c r="E8" s="58" t="n"/>
      <c r="F8" s="58" t="n"/>
      <c r="G8" s="58" t="n"/>
      <c r="H8" s="58" t="n"/>
      <c r="I8" s="58" t="inlineStr">
        <is>
          <t>n</t>
        </is>
      </c>
      <c r="J8" s="58" t="inlineStr">
        <is>
          <t>OPC 40450-1 Section 11.1 CU-106</t>
        </is>
      </c>
      <c r="K8" s="74" t="n"/>
      <c r="L8" s="27" t="n"/>
      <c r="M8" s="28" t="n"/>
      <c r="N8" s="28" t="n"/>
    </row>
    <row r="9" ht="35.1" customHeight="1" s="132">
      <c r="A9" s="103" t="n"/>
      <c r="B9" s="104" t="n"/>
      <c r="C9" s="105" t="n">
        <v>1</v>
      </c>
      <c r="D9" s="105" t="inlineStr">
        <is>
          <t>After SJ-2 succeeds, call GetJointList(ProductInstanceUri) and check whether a JointDataType entry with JointId "JOINT-TC-001" is present.</t>
        </is>
      </c>
      <c r="E9" s="105" t="inlineStr">
        <is>
          <t>SJ-2 completed successfully. GetJointList method executable.</t>
        </is>
      </c>
      <c r="F9" s="105" t="inlineStr">
        <is>
          <t>GetJointList returns JointList as JointDataType[]. One entry has JointId="JOINT-TC-001". This confirms persistence of the sent joint.</t>
        </is>
      </c>
      <c r="G9" s="105" t="inlineStr">
        <is>
          <t>Good</t>
        </is>
      </c>
      <c r="H9" s="105" t="inlineStr">
        <is>
          <t>JointDataType entry for "JOINT-TC-001" present in GetJointList response</t>
        </is>
      </c>
      <c r="I9" s="105" t="n"/>
      <c r="J9" s="105" t="inlineStr">
        <is>
          <t>OPC 40450-1 Section 11.1 CU-106</t>
        </is>
      </c>
      <c r="K9" s="106" t="n"/>
      <c r="L9" s="27" t="n"/>
      <c r="M9" s="28" t="n"/>
      <c r="N9" s="28" t="n"/>
    </row>
    <row r="10" ht="39" customHeight="1" s="132">
      <c r="A10" s="56" t="inlineStr">
        <is>
          <t>y</t>
        </is>
      </c>
      <c r="B10" s="57" t="n">
        <v>4</v>
      </c>
      <c r="C10" s="58" t="n">
        <v>0</v>
      </c>
      <c r="D10" s="58" t="inlineStr">
        <is>
          <t>SJ-4: Send same joint again (update); verify Good and data updated</t>
        </is>
      </c>
      <c r="E10" s="58" t="n"/>
      <c r="F10" s="58" t="n"/>
      <c r="G10" s="58" t="n"/>
      <c r="H10" s="58" t="n"/>
      <c r="I10" s="58" t="inlineStr">
        <is>
          <t>n</t>
        </is>
      </c>
      <c r="J10" s="58" t="inlineStr">
        <is>
          <t>OPC 40450-1 Section 11.1 CU-106</t>
        </is>
      </c>
      <c r="K10" s="74" t="n"/>
      <c r="L10" s="27" t="n"/>
      <c r="M10" s="28" t="n"/>
      <c r="N10" s="28" t="n"/>
    </row>
    <row r="11" ht="26.1" customHeight="1" s="132">
      <c r="A11" s="103" t="n"/>
      <c r="B11" s="104" t="n"/>
      <c r="C11" s="105" t="n">
        <v>1</v>
      </c>
      <c r="D11" s="105" t="inlineStr">
        <is>
          <t>Construct a JointDataType with JointId="JOINT-TC-001" (same as SJ-2) but with different AssociatedEntities. Call SendJoint again.</t>
        </is>
      </c>
      <c r="E11" s="105" t="inlineStr">
        <is>
          <t>SJ-2 completed. "JOINT-TC-001" already stored on server.</t>
        </is>
      </c>
      <c r="F11" s="105" t="inlineStr">
        <is>
          <t>Method returns Good. Subsequent GetJoint(ProductInstanceUri, "JOINT-TC-001") returns the updated AssociatedEntities, confirming the server updated rather than rejected the duplicate.</t>
        </is>
      </c>
      <c r="G11" s="105" t="inlineStr">
        <is>
          <t>Good</t>
        </is>
      </c>
      <c r="H11" s="105" t="inlineStr">
        <is>
          <t>Good returned on re-send; GetJoint returns updated data; original data overwritten</t>
        </is>
      </c>
      <c r="I11" s="105" t="n"/>
      <c r="J11" s="105" t="inlineStr">
        <is>
          <t>OPC 40450-1 Section 11.1 CU-106</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SJ-5 (error): Call SendJoint with empty JointId; verify Uncertain with Status=5</t>
        </is>
      </c>
      <c r="E13" s="97" t="n"/>
      <c r="F13" s="97" t="n"/>
      <c r="G13" s="97" t="n"/>
      <c r="H13" s="97" t="n"/>
      <c r="I13" s="97" t="inlineStr">
        <is>
          <t>n</t>
        </is>
      </c>
      <c r="J13" s="97" t="inlineStr">
        <is>
          <t>OPC 40450-1 Section 11.1 CU-106</t>
        </is>
      </c>
      <c r="K13" s="98" t="n"/>
      <c r="L13" s="27" t="n"/>
      <c r="M13" s="28" t="n"/>
      <c r="N13" s="28" t="n"/>
    </row>
    <row r="14" ht="26.1" customHeight="1" s="132">
      <c r="A14" s="103" t="n"/>
      <c r="B14" s="104" t="n"/>
      <c r="C14" s="105" t="n">
        <v>1</v>
      </c>
      <c r="D14" s="105" t="inlineStr">
        <is>
          <t>Construct a JointDataType with JointId="" (empty string). Call SendJoint.</t>
        </is>
      </c>
      <c r="E14" s="105" t="inlineStr">
        <is>
          <t>SendJoint method executable.</t>
        </is>
      </c>
      <c r="F14" s="105" t="inlineStr">
        <is>
          <t>Call Service returns Good; method result code is Uncertain. Status output is 5 (invalid input). StatusMessage explains the rejected input; no state change is performed.</t>
        </is>
      </c>
      <c r="G14" s="105" t="inlineStr">
        <is>
          <t>Good</t>
        </is>
      </c>
      <c r="H14" s="105" t="inlineStr">
        <is>
          <t>Uncertain; Status=5 output with StatusMessage</t>
        </is>
      </c>
      <c r="I14" s="105" t="n"/>
      <c r="J14" s="105" t="inlineStr">
        <is>
          <t>OPC 40450-1 Section 11.1 CU-106</t>
        </is>
      </c>
      <c r="K14" s="106" t="n"/>
      <c r="L14" s="27" t="n"/>
      <c r="M14" s="28" t="n"/>
      <c r="N14" s="28" t="n"/>
    </row>
    <row r="15" ht="26.1" customHeight="1" s="132">
      <c r="A15" s="95" t="inlineStr">
        <is>
          <t>n</t>
        </is>
      </c>
      <c r="B15" s="96" t="n">
        <v>6</v>
      </c>
      <c r="C15" s="97" t="n">
        <v>0</v>
      </c>
      <c r="D15" s="97" t="inlineStr">
        <is>
          <t>SJ-6 (error): Call SendJoint with malformed AssociatedEntities[]; verify Uncertain with Status=5 when validation applies</t>
        </is>
      </c>
      <c r="E15" s="97" t="n"/>
      <c r="F15" s="97" t="n"/>
      <c r="G15" s="97" t="n"/>
      <c r="H15" s="97" t="n"/>
      <c r="I15" s="97" t="inlineStr">
        <is>
          <t>n</t>
        </is>
      </c>
      <c r="J15" s="97" t="inlineStr">
        <is>
          <t>OPC 40450-1 Section 11.1 CU-106</t>
        </is>
      </c>
      <c r="K15" s="98" t="n"/>
      <c r="L15" s="27" t="n"/>
      <c r="M15" s="28" t="n"/>
      <c r="N15" s="28" t="n"/>
    </row>
    <row r="16" ht="46.8" customHeight="1" s="132">
      <c r="A16" s="103" t="n"/>
      <c r="B16" s="104" t="n"/>
      <c r="C16" s="105" t="n">
        <v>1</v>
      </c>
      <c r="D16" s="105" t="inlineStr">
        <is>
          <t>Construct a JointDataType with valid JointId and an invalid AssociatedEntities[] entry, for example missing EntityId or invalid EntityType. Call SendJoint.</t>
        </is>
      </c>
      <c r="E16" s="105" t="inlineStr">
        <is>
          <t>SendJoint method executable.</t>
        </is>
      </c>
      <c r="F16" s="105" t="inlineStr">
        <is>
          <t>Call Service returns Good; method result code is Uncertain. Status output is 5 (invalid input). StatusMessage explains the rejected input; no state change is performed.</t>
        </is>
      </c>
      <c r="G16" s="105" t="inlineStr">
        <is>
          <t>Good</t>
        </is>
      </c>
      <c r="H16" s="105" t="inlineStr">
        <is>
          <t>Uncertain; Status=5 output with StatusMessage</t>
        </is>
      </c>
      <c r="I16" s="105" t="n"/>
      <c r="J16" s="105" t="inlineStr">
        <is>
          <t>OPC 40450-1 Section 11.1 CU-106</t>
        </is>
      </c>
      <c r="K16" s="106" t="n"/>
      <c r="L16" s="27" t="n"/>
      <c r="M16" s="28" t="n"/>
      <c r="N16" s="28" t="n"/>
    </row>
    <row r="17">
      <c r="A17" s="112" t="inlineStr">
        <is>
          <t>n</t>
        </is>
      </c>
      <c r="B17" s="113" t="n">
        <v>7</v>
      </c>
      <c r="C17" s="114" t="n">
        <v>0</v>
      </c>
      <c r="D17" s="114" t="inlineStr">
        <is>
          <t>Call SendJoint with JointId = empty string</t>
        </is>
      </c>
      <c r="E17" s="114" t="n"/>
      <c r="F17" s="114" t="n"/>
      <c r="G17" s="114" t="n"/>
      <c r="H17" s="114" t="n"/>
      <c r="I17" s="114" t="inlineStr">
        <is>
          <t>n</t>
        </is>
      </c>
      <c r="J17" s="114" t="inlineStr">
        <is>
          <t>OPC 40450-1 Section 11.1 CU-106</t>
        </is>
      </c>
      <c r="K17" s="115" t="n"/>
      <c r="L17" s="27" t="n"/>
      <c r="M17" s="28" t="n"/>
      <c r="N17" s="28" t="n"/>
    </row>
    <row r="18" ht="25.8" customHeight="1" s="132">
      <c r="A18" s="116" t="n"/>
      <c r="B18" s="117" t="n"/>
      <c r="C18" s="118" t="n">
        <v>1</v>
      </c>
      <c r="D18" s="118" t="inlineStr">
        <is>
          <t>Call with JointId=''.</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CU-106</t>
        </is>
      </c>
      <c r="K18" s="119" t="inlineStr">
        <is>
          <t>Requirement source: OPC 40450-1 Section 9.29 - TrimmedString, cannot be empty.</t>
        </is>
      </c>
    </row>
    <row r="19" customFormat="1" s="138">
      <c r="A19" s="112" t="inlineStr">
        <is>
          <t>n</t>
        </is>
      </c>
      <c r="B19" s="110" t="n">
        <v>8</v>
      </c>
      <c r="C19" s="110" t="n">
        <v>0</v>
      </c>
      <c r="D19" s="110" t="inlineStr">
        <is>
          <t>Call SendJoint with non-existent JointDesignId reference</t>
        </is>
      </c>
      <c r="E19" s="110" t="n"/>
      <c r="F19" s="110" t="n"/>
      <c r="G19" s="110" t="n"/>
      <c r="H19" s="110" t="n"/>
      <c r="I19" s="110" t="inlineStr">
        <is>
          <t>n</t>
        </is>
      </c>
      <c r="J19" s="110" t="inlineStr">
        <is>
          <t>OPC 40450-1 Section 11.1 CU-106</t>
        </is>
      </c>
      <c r="K19" s="115" t="n"/>
    </row>
    <row r="20">
      <c r="A20" s="120" t="n"/>
      <c r="B20" s="121" t="n"/>
      <c r="C20" s="122" t="n">
        <v>1</v>
      </c>
      <c r="D20" s="122" t="inlineStr">
        <is>
          <t>Call referencing non-existent JointDesignId.</t>
        </is>
      </c>
      <c r="E20" s="122" t="inlineStr">
        <is>
          <t>Server claims this Conformance Unit; no additional runtime setup is needed for this step.</t>
        </is>
      </c>
      <c r="F20" s="122" t="inlineStr">
        <is>
          <t>Call Service returns Good; method result code is Uncertain. Status output is 4 (input identifier/entity not found). StatusMessage explains the rejected input; no state change is performed.</t>
        </is>
      </c>
      <c r="G20" s="122" t="inlineStr">
        <is>
          <t>Good</t>
        </is>
      </c>
      <c r="H20" s="122" t="inlineStr">
        <is>
          <t>Uncertain; Status=4 output with StatusMessage</t>
        </is>
      </c>
      <c r="I20" s="122" t="n"/>
      <c r="J20" s="122" t="inlineStr">
        <is>
          <t>OPC 40450-1 Section 11.1 CU-106</t>
        </is>
      </c>
      <c r="K20" s="123" t="inlineStr">
        <is>
          <t>Requirement source: OPC 40450-1 Section 9.29 - Reference validation.</t>
        </is>
      </c>
    </row>
    <row r="21">
      <c r="A21" s="110" t="inlineStr">
        <is>
          <t>n</t>
        </is>
      </c>
      <c r="B21" s="110" t="n">
        <v>9</v>
      </c>
      <c r="C21" s="110" t="n">
        <v>0</v>
      </c>
      <c r="D21" s="110" t="inlineStr">
        <is>
          <t>Verify SendJoint re-send updates (not duplicates)</t>
        </is>
      </c>
      <c r="E21" s="110" t="n"/>
      <c r="F21" s="110" t="n"/>
      <c r="G21" s="110" t="n"/>
      <c r="H21" s="110" t="n"/>
      <c r="I21" s="110" t="inlineStr">
        <is>
          <t>n</t>
        </is>
      </c>
      <c r="J21" s="110" t="inlineStr">
        <is>
          <t>OPC 40450-1 Section 11.1 CU-106</t>
        </is>
      </c>
      <c r="K21" s="110" t="n"/>
    </row>
    <row r="22">
      <c r="A22" s="111" t="n"/>
      <c r="B22" s="111" t="n"/>
      <c r="C22" s="111" t="n">
        <v>1</v>
      </c>
      <c r="D22" s="111" t="inlineStr">
        <is>
          <t>Send Joint X twice. Call GetJointList.</t>
        </is>
      </c>
      <c r="E22" s="111" t="inlineStr">
        <is>
          <t>Server claims this Conformance Unit; no additional runtime setup is needed for this step.</t>
        </is>
      </c>
      <c r="F22" s="111" t="inlineStr">
        <is>
          <t>List has single entry for X.</t>
        </is>
      </c>
      <c r="G22" s="111" t="inlineStr">
        <is>
          <t>Good</t>
        </is>
      </c>
      <c r="H22" s="111" t="n"/>
      <c r="I22" s="111" t="n"/>
      <c r="J22" s="111" t="inlineStr">
        <is>
          <t>OPC 40450-1 Section 11.1 CU-106</t>
        </is>
      </c>
      <c r="K22" s="111" t="inlineStr">
        <is>
          <t>Requirement source: OPC 40450-1 Section 9.29 - Update semantics.</t>
        </is>
      </c>
    </row>
  </sheetData>
  <mergeCells count="2">
    <mergeCell ref="A1:K1"/>
    <mergeCell ref="C2:J2"/>
  </mergeCells>
  <pageMargins left="0.7" right="0.7" top="0.75" bottom="0.75" header="0.3" footer="0.3"/>
</worksheet>
</file>

<file path=xl/worksheets/sheet113.xml><?xml version="1.0" encoding="utf-8"?>
<worksheet xmlns="http://schemas.openxmlformats.org/spreadsheetml/2006/main">
  <sheetPr codeName="Sheet9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CU-107: Get Joint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CU-107 — Get Joint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GJL-1: Browse MethodSet for GetJointList; verify Executable=True</t>
        </is>
      </c>
      <c r="E4" s="58" t="n"/>
      <c r="F4" s="58" t="n"/>
      <c r="G4" s="58" t="n"/>
      <c r="H4" s="58" t="n"/>
      <c r="I4" s="58" t="inlineStr">
        <is>
          <t>n</t>
        </is>
      </c>
      <c r="J4" s="58" t="inlineStr">
        <is>
          <t>OPC 40450-1 Section 11.1 CU-107</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GetJointList Method node. Read the Executable and UserExecutable attributes.</t>
        </is>
      </c>
      <c r="E5" s="105" t="inlineStr">
        <is>
          <t>IJT server running. JointManagement.MethodSet accessible.</t>
        </is>
      </c>
      <c r="F5" s="105" t="inlineStr">
        <is>
          <t>GetJointList found in MethodSet. Executable = True. UserExecutable = True.</t>
        </is>
      </c>
      <c r="G5" s="105" t="inlineStr">
        <is>
          <t>Good</t>
        </is>
      </c>
      <c r="H5" s="105" t="inlineStr">
        <is>
          <t>GetJointList found; Executable=True; UserExecutable=True</t>
        </is>
      </c>
      <c r="I5" s="105" t="n"/>
      <c r="J5" s="105" t="inlineStr">
        <is>
          <t>OPC 40450-1 Section 11.1 CU-107</t>
        </is>
      </c>
      <c r="K5" s="106" t="n"/>
      <c r="L5" s="27" t="n"/>
      <c r="M5" s="28" t="n"/>
      <c r="N5" s="28" t="n"/>
    </row>
    <row r="6" ht="26.1" customHeight="1" s="132">
      <c r="A6" s="56" t="inlineStr">
        <is>
          <t>y</t>
        </is>
      </c>
      <c r="B6" s="57" t="n">
        <v>2</v>
      </c>
      <c r="C6" s="58" t="n">
        <v>0</v>
      </c>
      <c r="D6" s="58" t="inlineStr">
        <is>
          <t>GJL-2: Call GetJointList(ProductInstanceUri); verify JointDataType[] output</t>
        </is>
      </c>
      <c r="E6" s="58" t="n"/>
      <c r="F6" s="58" t="n"/>
      <c r="G6" s="58" t="n"/>
      <c r="H6" s="58" t="n"/>
      <c r="I6" s="58" t="inlineStr">
        <is>
          <t>n</t>
        </is>
      </c>
      <c r="J6" s="58" t="inlineStr">
        <is>
          <t>OPC 40450-1 Section 11.1 CU-107</t>
        </is>
      </c>
      <c r="K6" s="74" t="n"/>
      <c r="L6" s="27" t="n"/>
      <c r="M6" s="28" t="n"/>
      <c r="N6" s="28" t="n"/>
    </row>
    <row r="7" ht="39" customHeight="1" s="132">
      <c r="A7" s="103" t="n"/>
      <c r="B7" s="104" t="n"/>
      <c r="C7" s="105" t="n">
        <v>1</v>
      </c>
      <c r="D7" s="105" t="inlineStr">
        <is>
          <t>Call JointManagement.GetJointList with ProductInstanceUri. Inspect the returned JointList output argument.</t>
        </is>
      </c>
      <c r="E7" s="105" t="inlineStr">
        <is>
          <t>GetJointList method executable. At least one joint stored.</t>
        </is>
      </c>
      <c r="F7" s="105" t="inlineStr">
        <is>
          <t>Method returns Good/domain success. Output argument JointList is an array of JointDataType values representing stored joints.</t>
        </is>
      </c>
      <c r="G7" s="105" t="inlineStr">
        <is>
          <t>Good</t>
        </is>
      </c>
      <c r="H7" s="105" t="inlineStr">
        <is>
          <t>Good returned; JointList is JointDataType[]</t>
        </is>
      </c>
      <c r="I7" s="105" t="n"/>
      <c r="J7" s="105" t="inlineStr">
        <is>
          <t>OPC 40450-1 Section 11.1 CU-107</t>
        </is>
      </c>
      <c r="K7" s="106" t="n"/>
      <c r="L7" s="27" t="n"/>
      <c r="M7" s="28" t="n"/>
      <c r="N7" s="28" t="n"/>
    </row>
    <row r="8" ht="39" customHeight="1" s="132">
      <c r="A8" s="56" t="inlineStr">
        <is>
          <t>y</t>
        </is>
      </c>
      <c r="B8" s="57" t="n">
        <v>3</v>
      </c>
      <c r="C8" s="58" t="n">
        <v>0</v>
      </c>
      <c r="D8" s="58" t="inlineStr">
        <is>
          <t>GJL-3: Verify each returned JointDataType has non-empty JointId</t>
        </is>
      </c>
      <c r="E8" s="58" t="n"/>
      <c r="F8" s="58" t="n"/>
      <c r="G8" s="58" t="n"/>
      <c r="H8" s="58" t="n"/>
      <c r="I8" s="58" t="inlineStr">
        <is>
          <t>n</t>
        </is>
      </c>
      <c r="J8" s="58" t="inlineStr">
        <is>
          <t>OPC 40450-1 Section 11.1 CU-107</t>
        </is>
      </c>
      <c r="K8" s="74" t="n"/>
      <c r="L8" s="27" t="n"/>
      <c r="M8" s="28" t="n"/>
      <c r="N8" s="28" t="n"/>
    </row>
    <row r="9" ht="35.1" customHeight="1" s="132">
      <c r="A9" s="103" t="n"/>
      <c r="B9" s="104" t="n"/>
      <c r="C9" s="105" t="n">
        <v>1</v>
      </c>
      <c r="D9" s="105" t="inlineStr">
        <is>
          <t>From the JointDataType[] returned by GetJointList, inspect each entry and verify JointId.</t>
        </is>
      </c>
      <c r="E9" s="105" t="inlineStr">
        <is>
          <t>GetJointList returns a non-empty array.</t>
        </is>
      </c>
      <c r="F9" s="105" t="inlineStr">
        <is>
          <t>All returned JointDataType entries have non-null, non-empty JointId values. No blank or duplicate JointId entries are present.</t>
        </is>
      </c>
      <c r="G9" s="105" t="inlineStr">
        <is>
          <t>Good</t>
        </is>
      </c>
      <c r="H9" s="105" t="inlineStr">
        <is>
          <t>All returned JointDataType entries have non-empty unique JointId values</t>
        </is>
      </c>
      <c r="I9" s="105" t="n"/>
      <c r="J9" s="105" t="inlineStr">
        <is>
          <t>OPC 40450-1 Section 11.1 CU-107</t>
        </is>
      </c>
      <c r="K9" s="106" t="n"/>
      <c r="L9" s="27" t="n"/>
      <c r="M9" s="28" t="n"/>
      <c r="N9" s="28" t="n"/>
    </row>
    <row r="10" ht="39" customHeight="1" s="132">
      <c r="A10" s="56" t="inlineStr">
        <is>
          <t>y</t>
        </is>
      </c>
      <c r="B10" s="57" t="n">
        <v>4</v>
      </c>
      <c r="C10" s="58" t="n">
        <v>0</v>
      </c>
      <c r="D10" s="58" t="inlineStr">
        <is>
          <t>GJL-4: Send a joint then call GetJointList; verify new JointId appears in list</t>
        </is>
      </c>
      <c r="E10" s="58" t="n"/>
      <c r="F10" s="58" t="n"/>
      <c r="G10" s="58" t="n"/>
      <c r="H10" s="58" t="n"/>
      <c r="I10" s="58" t="inlineStr">
        <is>
          <t>n</t>
        </is>
      </c>
      <c r="J10" s="58" t="inlineStr">
        <is>
          <t>OPC 40450-1 Section 11.1 CU-107</t>
        </is>
      </c>
      <c r="K10" s="74" t="n"/>
      <c r="L10" s="27" t="n"/>
      <c r="M10" s="28" t="n"/>
      <c r="N10" s="28" t="n"/>
    </row>
    <row r="11" ht="26.1" customHeight="1" s="132">
      <c r="A11" s="103" t="n"/>
      <c r="B11" s="104" t="n"/>
      <c r="C11" s="105" t="n">
        <v>1</v>
      </c>
      <c r="D11" s="105" t="inlineStr">
        <is>
          <t>Call SendJoint with JointId="JOINT-GJL-004". Then call GetJointList and check whether "JOINT-GJL-004" appears.</t>
        </is>
      </c>
      <c r="E11" s="105" t="inlineStr">
        <is>
          <t>SendJoint method executable. GetJointList method executable.</t>
        </is>
      </c>
      <c r="F11" s="105" t="inlineStr">
        <is>
          <t>A JointDataType entry with JointId="JOINT-GJL-004" is present in the GetJointList response. List reflects joints added via SendJoint.</t>
        </is>
      </c>
      <c r="G11" s="105" t="inlineStr">
        <is>
          <t>Good</t>
        </is>
      </c>
      <c r="H11" s="105" t="inlineStr">
        <is>
          <t>JointDataType entry for "JOINT-GJL-004" found after SendJoint</t>
        </is>
      </c>
      <c r="I11" s="105" t="n"/>
      <c r="J11" s="105" t="inlineStr">
        <is>
          <t>OPC 40450-1 Section 11.1 CU-107</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GJL-5 (error): Call GetJointList when no joints stored; verify Good with empty array</t>
        </is>
      </c>
      <c r="E13" s="97" t="n"/>
      <c r="F13" s="97" t="n"/>
      <c r="G13" s="97" t="n"/>
      <c r="H13" s="97" t="n"/>
      <c r="I13" s="97" t="inlineStr">
        <is>
          <t>n</t>
        </is>
      </c>
      <c r="J13" s="97" t="inlineStr">
        <is>
          <t>OPC 40450-1 Section 11.1 CU-107</t>
        </is>
      </c>
      <c r="K13" s="98" t="n"/>
      <c r="L13" s="27" t="n"/>
      <c r="M13" s="28" t="n"/>
      <c r="N13" s="28" t="n"/>
    </row>
    <row r="14" ht="26.1" customHeight="1" s="132">
      <c r="A14" s="103" t="n"/>
      <c r="B14" s="104" t="n"/>
      <c r="C14" s="105" t="n">
        <v>1</v>
      </c>
      <c r="D14" s="105" t="inlineStr">
        <is>
          <t>Ensure no joints are stored on the server (delete any existing joints or use a fresh server state). Call GetJointList.</t>
        </is>
      </c>
      <c r="E14" s="105" t="inlineStr">
        <is>
          <t>No joints currently stored. GetJointList method executable.</t>
        </is>
      </c>
      <c r="F14" s="105" t="inlineStr">
        <is>
          <t>Method returns Good. Output array is empty (length = 0) or a zero-element array. No error code is returned for an empty list.</t>
        </is>
      </c>
      <c r="G14" s="105" t="inlineStr">
        <is>
          <t>Good</t>
        </is>
      </c>
      <c r="H14" s="105" t="inlineStr">
        <is>
          <t>Good returned; output array is empty (length=0); no error for empty list</t>
        </is>
      </c>
      <c r="I14" s="105" t="n"/>
      <c r="J14" s="105" t="inlineStr">
        <is>
          <t>OPC 40450-1 Section 11.1 CU-107</t>
        </is>
      </c>
      <c r="K14" s="106" t="n"/>
      <c r="L14" s="27" t="n"/>
      <c r="M14" s="28" t="n"/>
      <c r="N14" s="28" t="n"/>
    </row>
    <row r="15" ht="26.1" customHeight="1" s="132">
      <c r="A15" s="112" t="inlineStr">
        <is>
          <t>n</t>
        </is>
      </c>
      <c r="B15" s="113" t="n">
        <v>6</v>
      </c>
      <c r="C15" s="114" t="n">
        <v>0</v>
      </c>
      <c r="D15" s="114" t="inlineStr">
        <is>
          <t>Call GetJointList when no joints exist</t>
        </is>
      </c>
      <c r="E15" s="114" t="n"/>
      <c r="F15" s="114" t="n"/>
      <c r="G15" s="114" t="n"/>
      <c r="H15" s="114" t="n"/>
      <c r="I15" s="114" t="inlineStr">
        <is>
          <t>n</t>
        </is>
      </c>
      <c r="J15" s="114" t="inlineStr">
        <is>
          <t>OPC 40450-1 Section 11.1 CU-107</t>
        </is>
      </c>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inlineStr">
        <is>
          <t>OPC 40450-1 Section 11.1 CU-107</t>
        </is>
      </c>
      <c r="K16" s="119" t="inlineStr">
        <is>
          <t>Requirement source: OPC 40450-1 Section 9.30 - Empty list valid.</t>
        </is>
      </c>
      <c r="L16" s="27" t="n"/>
      <c r="M16" s="28" t="n"/>
      <c r="N16" s="28" t="n"/>
    </row>
    <row r="17">
      <c r="A17" s="112" t="inlineStr">
        <is>
          <t>n</t>
        </is>
      </c>
      <c r="B17" s="113" t="n">
        <v>7</v>
      </c>
      <c r="C17" s="114" t="n">
        <v>0</v>
      </c>
      <c r="D17" s="114" t="inlineStr">
        <is>
          <t>Call GetJointList with invalid date filter (StartTime &gt; EndTime)</t>
        </is>
      </c>
      <c r="E17" s="114" t="n"/>
      <c r="F17" s="114" t="n"/>
      <c r="G17" s="114" t="n"/>
      <c r="H17" s="114" t="n"/>
      <c r="I17" s="114" t="inlineStr">
        <is>
          <t>n</t>
        </is>
      </c>
      <c r="J17" s="114" t="inlineStr">
        <is>
          <t>OPC 40450-1 Section 11.1 CU-107</t>
        </is>
      </c>
      <c r="K17" s="115" t="n"/>
      <c r="L17" s="27" t="n"/>
      <c r="M17" s="28" t="n"/>
      <c r="N17" s="28" t="n"/>
    </row>
    <row r="18" ht="25.8" customHeight="1" s="132">
      <c r="A18" s="116" t="n"/>
      <c r="B18" s="117" t="n"/>
      <c r="C18" s="118" t="n">
        <v>1</v>
      </c>
      <c r="D18" s="118" t="inlineStr">
        <is>
          <t>Call with StartTime &gt; EndTime.</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CU-107</t>
        </is>
      </c>
      <c r="K18" s="119" t="inlineStr">
        <is>
          <t>Requirement source: OPC 40450-1 Section 9.30 - Invalid date range.</t>
        </is>
      </c>
    </row>
    <row r="19" customFormat="1" s="138">
      <c r="A19" s="112" t="inlineStr">
        <is>
          <t>n</t>
        </is>
      </c>
      <c r="B19" s="110" t="n">
        <v>8</v>
      </c>
      <c r="C19" s="110" t="n">
        <v>0</v>
      </c>
      <c r="D19" s="110" t="inlineStr">
        <is>
          <t>Verify GetJointList pagination consistency</t>
        </is>
      </c>
      <c r="E19" s="110" t="n"/>
      <c r="F19" s="110" t="n"/>
      <c r="G19" s="110" t="n"/>
      <c r="H19" s="110" t="n"/>
      <c r="I19" s="110" t="inlineStr">
        <is>
          <t>n</t>
        </is>
      </c>
      <c r="J19" s="110" t="inlineStr">
        <is>
          <t>OPC 40450-1 Section 11.1 CU-107</t>
        </is>
      </c>
      <c r="K19" s="115" t="n"/>
    </row>
    <row r="20">
      <c r="A20" s="120" t="n"/>
      <c r="B20" s="121" t="n"/>
      <c r="C20" s="122" t="n">
        <v>1</v>
      </c>
      <c r="D20" s="122" t="inlineStr">
        <is>
          <t>If pagination supported, fetch pages. Check gaps/duplicates.</t>
        </is>
      </c>
      <c r="E20" s="122" t="inlineStr">
        <is>
          <t>Server claims this Conformance Unit; no additional runtime setup is needed for this step.</t>
        </is>
      </c>
      <c r="F20" s="122" t="inlineStr">
        <is>
          <t>No gaps or duplicates across pages.</t>
        </is>
      </c>
      <c r="G20" s="122" t="inlineStr">
        <is>
          <t>Good</t>
        </is>
      </c>
      <c r="H20" s="122" t="n"/>
      <c r="I20" s="122" t="n"/>
      <c r="J20" s="122" t="inlineStr">
        <is>
          <t>OPC 40450-1 Section 11.1 CU-107</t>
        </is>
      </c>
      <c r="K20" s="123" t="inlineStr">
        <is>
          <t>Requirement source: OPC 40450-1 Section 9.30 - Consistent pagination.</t>
        </is>
      </c>
    </row>
  </sheetData>
  <mergeCells count="2">
    <mergeCell ref="A1:K1"/>
    <mergeCell ref="C2:J2"/>
  </mergeCells>
  <pageMargins left="0.7" right="0.7" top="0.75" bottom="0.75" header="0.3" footer="0.3"/>
</worksheet>
</file>

<file path=xl/worksheets/sheet114.xml><?xml version="1.0" encoding="utf-8"?>
<worksheet xmlns="http://schemas.openxmlformats.org/spreadsheetml/2006/main">
  <sheetPr codeName="Sheet96">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CU-108: Select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CU-108 — Select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SLJT-1: Browse MethodSet for SelectJoint; verify Executable=True</t>
        </is>
      </c>
      <c r="E4" s="58" t="n"/>
      <c r="F4" s="58" t="n"/>
      <c r="G4" s="58" t="n"/>
      <c r="H4" s="58" t="n"/>
      <c r="I4" s="58" t="inlineStr">
        <is>
          <t>n</t>
        </is>
      </c>
      <c r="J4" s="58" t="inlineStr">
        <is>
          <t>OPC 40450-1 Section 11.1 CU-108</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SelectJoint Method node. Read Executable and UserExecutable attributes.</t>
        </is>
      </c>
      <c r="E5" s="105" t="inlineStr">
        <is>
          <t>IJT server running. JointManagement.MethodSet accessible.</t>
        </is>
      </c>
      <c r="F5" s="105" t="inlineStr">
        <is>
          <t>SelectJoint found in MethodSet. Executable = True. UserExecutable = True.</t>
        </is>
      </c>
      <c r="G5" s="105" t="inlineStr">
        <is>
          <t>Good</t>
        </is>
      </c>
      <c r="H5" s="105" t="inlineStr">
        <is>
          <t>SelectJoint found; Executable=True; UserExecutable=True</t>
        </is>
      </c>
      <c r="I5" s="105" t="n"/>
      <c r="J5" s="105" t="inlineStr">
        <is>
          <t>OPC 40450-1 Section 11.1 CU-108</t>
        </is>
      </c>
      <c r="K5" s="106" t="n"/>
      <c r="L5" s="27" t="n"/>
      <c r="M5" s="28" t="n"/>
      <c r="N5" s="28" t="n"/>
    </row>
    <row r="6" ht="26.1" customHeight="1" s="132">
      <c r="A6" s="56" t="inlineStr">
        <is>
          <t>y</t>
        </is>
      </c>
      <c r="B6" s="57" t="n">
        <v>2</v>
      </c>
      <c r="C6" s="58" t="n">
        <v>0</v>
      </c>
      <c r="D6" s="58" t="inlineStr">
        <is>
          <t>SLJT-2: Call SelectJoint with valid JointId; verify Good returned</t>
        </is>
      </c>
      <c r="E6" s="58" t="n"/>
      <c r="F6" s="58" t="n"/>
      <c r="G6" s="58" t="n"/>
      <c r="H6" s="58" t="n"/>
      <c r="I6" s="58" t="inlineStr">
        <is>
          <t>n</t>
        </is>
      </c>
      <c r="J6" s="58" t="inlineStr">
        <is>
          <t>OPC 40450-1 Section 11.1 CU-108</t>
        </is>
      </c>
      <c r="K6" s="74" t="n"/>
      <c r="L6" s="27" t="n"/>
      <c r="M6" s="28" t="n"/>
      <c r="N6" s="28" t="n"/>
    </row>
    <row r="7" ht="39" customHeight="1" s="132">
      <c r="A7" s="103" t="n"/>
      <c r="B7" s="104" t="n"/>
      <c r="C7" s="105" t="n">
        <v>1</v>
      </c>
      <c r="D7" s="105" t="inlineStr">
        <is>
          <t>Call SendJoint to store "JOINT-SEL-001". Then call SelectJoint(ProductInstanceUri, JointId="JOINT-SEL-001", JointOriginId="").</t>
        </is>
      </c>
      <c r="E7" s="105" t="inlineStr">
        <is>
          <t>SendJoint completed. "JOINT-SEL-001" stored. SelectJoint executable. No active joining operation in progress.</t>
        </is>
      </c>
      <c r="F7" s="105" t="inlineStr">
        <is>
          <t>Method returns StatusCode = Good. The joint is selected on the server.</t>
        </is>
      </c>
      <c r="G7" s="105" t="inlineStr">
        <is>
          <t>Good</t>
        </is>
      </c>
      <c r="H7" s="105" t="inlineStr">
        <is>
          <t>Good returned; joint "JOINT-SEL-001" selected successfully</t>
        </is>
      </c>
      <c r="I7" s="105" t="n"/>
      <c r="J7" s="105" t="inlineStr">
        <is>
          <t>OPC 40450-1 Section 11.1 CU-108</t>
        </is>
      </c>
      <c r="K7" s="106" t="n"/>
      <c r="L7" s="27" t="n"/>
      <c r="M7" s="28" t="n"/>
      <c r="N7" s="28" t="n"/>
    </row>
    <row r="8" ht="39" customHeight="1" s="132">
      <c r="A8" s="56" t="inlineStr">
        <is>
          <t>y</t>
        </is>
      </c>
      <c r="B8" s="57" t="n">
        <v>3</v>
      </c>
      <c r="C8" s="58" t="n">
        <v>0</v>
      </c>
      <c r="D8" s="58" t="inlineStr">
        <is>
          <t>SLJT-3: Verify SelectJoint also selects the associated JoiningProcess</t>
        </is>
      </c>
      <c r="E8" s="58" t="n"/>
      <c r="F8" s="58" t="n"/>
      <c r="G8" s="58" t="n"/>
      <c r="H8" s="58" t="n"/>
      <c r="I8" s="58" t="inlineStr">
        <is>
          <t>n</t>
        </is>
      </c>
      <c r="J8" s="58" t="inlineStr">
        <is>
          <t>OPC 40450-1 Section 11.1 CU-108</t>
        </is>
      </c>
      <c r="K8" s="74" t="n"/>
      <c r="L8" s="27" t="n"/>
      <c r="M8" s="28" t="n"/>
      <c r="N8" s="28" t="n"/>
    </row>
    <row r="9" ht="35.1" customHeight="1" s="132">
      <c r="A9" s="103" t="n"/>
      <c r="B9" s="104" t="n"/>
      <c r="C9" s="105" t="n">
        <v>1</v>
      </c>
      <c r="D9" s="105" t="inlineStr">
        <is>
          <t>After SLJT-2 succeeds, verify the selected joint and, when the implementation maps joints to joining processes, verify the associated joining process via state or event.</t>
        </is>
      </c>
      <c r="E9" s="105" t="inlineStr">
        <is>
          <t>SLJT-2 completed. Any joining-process association is represented through JointDataType.AssociatedEntities[] or implementation mapping, not a direct JointDataType.JoiningProcessId field.</t>
        </is>
      </c>
      <c r="F9" s="105" t="inlineStr">
        <is>
          <t>The selected joint is reflected in server state. If the server supports joint-to-process mapping, the associated joining process selection is consistent with the joint metadata.</t>
        </is>
      </c>
      <c r="G9" s="105" t="inlineStr">
        <is>
          <t>Good</t>
        </is>
      </c>
      <c r="H9" s="105" t="inlineStr">
        <is>
          <t>Selected joint state verified; associated process consistent when supported</t>
        </is>
      </c>
      <c r="I9" s="105" t="n"/>
      <c r="J9" s="105" t="inlineStr">
        <is>
          <t>OPC 40450-1 Section 11.1 CU-108</t>
        </is>
      </c>
      <c r="K9" s="106" t="n"/>
      <c r="L9" s="27" t="n"/>
      <c r="M9" s="28" t="n"/>
      <c r="N9" s="28" t="n"/>
    </row>
    <row r="10" ht="39" customHeight="1" s="132">
      <c r="A10" s="56" t="inlineStr">
        <is>
          <t>y</t>
        </is>
      </c>
      <c r="B10" s="57" t="n">
        <v>6</v>
      </c>
      <c r="C10" s="58" t="n">
        <v>0</v>
      </c>
      <c r="D10" s="58" t="inlineStr">
        <is>
          <t>SLJT-6: Verify appropriate event generated on joint selection</t>
        </is>
      </c>
      <c r="E10" s="58" t="n"/>
      <c r="F10" s="58" t="n"/>
      <c r="G10" s="58" t="n"/>
      <c r="H10" s="58" t="n"/>
      <c r="I10" s="58" t="inlineStr">
        <is>
          <t>n</t>
        </is>
      </c>
      <c r="J10" s="58" t="inlineStr">
        <is>
          <t>OPC 40450-1 Section 11.1 CU-108</t>
        </is>
      </c>
      <c r="K10" s="74" t="n"/>
      <c r="L10" s="27" t="n"/>
      <c r="M10" s="28" t="n"/>
      <c r="N10" s="28" t="n"/>
    </row>
    <row r="11" ht="26.1" customHeight="1" s="132">
      <c r="A11" s="103" t="n"/>
      <c r="B11" s="104" t="n"/>
      <c r="C11" s="105" t="n">
        <v>1</v>
      </c>
      <c r="D11" s="105" t="inlineStr">
        <is>
          <t>Subscribe to events on the JoiningSystem or JointManagement node. Call SelectJoint(ProductInstanceUri, valid JointId, JointOriginId=""). Wait for an event notification.</t>
        </is>
      </c>
      <c r="E11" s="105" t="inlineStr">
        <is>
          <t>Event subscription active. SelectJoint executable.</t>
        </is>
      </c>
      <c r="F11" s="105" t="inlineStr">
        <is>
          <t>If the server also supports the relevant event/monitoring CU, subscribe to joint-related events and treat any selection-related event as an optional cross-CU consistency check. Do not require this event as evidence for the SelectJoint method CU alone.</t>
        </is>
      </c>
      <c r="G11" s="105" t="inlineStr">
        <is>
          <t>Good</t>
        </is>
      </c>
      <c r="H11" s="105" t="inlineStr">
        <is>
          <t>Optional cross-CU consistency evidence only</t>
        </is>
      </c>
      <c r="I11" s="105" t="n"/>
      <c r="J11" s="105" t="inlineStr">
        <is>
          <t>OPC 40450-1 Section 11.1 CU-108</t>
        </is>
      </c>
      <c r="K11" s="106" t="inlineStr">
        <is>
          <t>Optional cross-CU event consistency check only</t>
        </is>
      </c>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SLJT-4 (error): Call SelectJoint with non-existent JointId; verify Uncertain with Status=4</t>
        </is>
      </c>
      <c r="E13" s="97" t="n"/>
      <c r="F13" s="97" t="n"/>
      <c r="G13" s="97" t="n"/>
      <c r="H13" s="97" t="n"/>
      <c r="I13" s="97" t="inlineStr">
        <is>
          <t>n</t>
        </is>
      </c>
      <c r="J13" s="97" t="inlineStr">
        <is>
          <t>OPC 40450-1 Section 11.1 CU-108</t>
        </is>
      </c>
      <c r="K13" s="98" t="n"/>
      <c r="L13" s="27" t="n"/>
      <c r="M13" s="28" t="n"/>
      <c r="N13" s="28" t="n"/>
    </row>
    <row r="14" ht="26.1" customHeight="1" s="132">
      <c r="A14" s="103" t="n"/>
      <c r="B14" s="104" t="n"/>
      <c r="C14" s="105" t="n">
        <v>1</v>
      </c>
      <c r="D14" s="105" t="inlineStr">
        <is>
          <t>Call SelectJoint(ProductInstanceUri, JointId="NON-EXISTENT-JOINT-XYZ", JointOriginId="") where the joint is not stored.</t>
        </is>
      </c>
      <c r="E14" s="105" t="inlineStr">
        <is>
          <t>SelectJoint method executable. The given JointId does not exist.</t>
        </is>
      </c>
      <c r="F14" s="105" t="inlineStr">
        <is>
          <t>Call Service returns Good; method result code is Uncertain. Status output is 4 (input identifier/entity not found). StatusMessage explains the rejected input; no state change is performed.</t>
        </is>
      </c>
      <c r="G14" s="105" t="inlineStr">
        <is>
          <t>Good</t>
        </is>
      </c>
      <c r="H14" s="105" t="inlineStr">
        <is>
          <t>Uncertain; Status=4 output with StatusMessage</t>
        </is>
      </c>
      <c r="I14" s="105" t="n"/>
      <c r="J14" s="105" t="inlineStr">
        <is>
          <t>OPC 40450-1 Section 11.1 CU-108</t>
        </is>
      </c>
      <c r="K14" s="106" t="n"/>
      <c r="L14" s="27" t="n"/>
      <c r="M14" s="28" t="n"/>
      <c r="N14" s="28" t="n"/>
    </row>
    <row r="15" ht="26.1" customHeight="1" s="132">
      <c r="A15" s="95" t="inlineStr">
        <is>
          <t>n</t>
        </is>
      </c>
      <c r="B15" s="96" t="n">
        <v>5</v>
      </c>
      <c r="C15" s="97" t="n">
        <v>0</v>
      </c>
      <c r="D15" s="97" t="inlineStr">
        <is>
          <t>SLJT-5 (policy): SelectJoint during active joining follows controller policy</t>
        </is>
      </c>
      <c r="E15" s="97" t="n"/>
      <c r="F15" s="97" t="n"/>
      <c r="G15" s="97" t="n"/>
      <c r="H15" s="97" t="n"/>
      <c r="I15" s="97" t="inlineStr">
        <is>
          <t>n</t>
        </is>
      </c>
      <c r="J15" s="97" t="inlineStr">
        <is>
          <t>OPC 40450-1 Section 11.1 CU-108</t>
        </is>
      </c>
      <c r="K15" s="98" t="n"/>
      <c r="L15" s="27" t="n"/>
      <c r="M15" s="28" t="n"/>
      <c r="N15" s="28" t="n"/>
    </row>
    <row r="16" ht="46.8" customHeight="1" s="132">
      <c r="A16" s="103" t="n"/>
      <c r="B16" s="104" t="n"/>
      <c r="C16" s="105" t="n">
        <v>1</v>
      </c>
      <c r="D16" s="105" t="inlineStr">
        <is>
          <t>While a joining operation is actively in progress (JobState = Running), call SelectJoint(ProductInstanceUri, valid JointId, JointOriginId="").</t>
        </is>
      </c>
      <c r="E16" s="105" t="inlineStr">
        <is>
          <t>Active joining operation in progress. SelectJoint method executable. Controller supports either next-execution selection or explicit rejection of state transition.</t>
        </is>
      </c>
      <c r="F16" s="105" t="inlineStr">
        <is>
          <t>Server handles the request according to controller policy: either accepts the selection for a future/next execution, or returns a documented domain status indicating the selection is not accepted in the current state. The active operation is not corrupted.</t>
        </is>
      </c>
      <c r="G16" s="105" t="inlineStr">
        <is>
          <t>Good</t>
        </is>
      </c>
      <c r="H16" s="105" t="inlineStr">
        <is>
          <t>Good with next-execution selection, or Uncertain/status output with StatusMessage when rejected by controller policy</t>
        </is>
      </c>
      <c r="I16" s="105" t="n"/>
      <c r="J16" s="105" t="inlineStr">
        <is>
          <t>OPC 40450-1 Section 11.1 CU-108</t>
        </is>
      </c>
      <c r="K16" s="106" t="inlineStr">
        <is>
          <t>Controller policy observation. OPC 40450-1 does not require every controller to reject SelectJoint during active joining.</t>
        </is>
      </c>
      <c r="L16" s="27" t="n"/>
      <c r="M16" s="28" t="n"/>
      <c r="N16" s="28" t="n"/>
    </row>
    <row r="17">
      <c r="A17" s="112" t="inlineStr">
        <is>
          <t>n</t>
        </is>
      </c>
      <c r="B17" s="113" t="n">
        <v>6</v>
      </c>
      <c r="C17" s="114" t="n">
        <v>0</v>
      </c>
      <c r="D17" s="114" t="inlineStr">
        <is>
          <t>Call SelectJoint with Classification=UNDEFINED allowed</t>
        </is>
      </c>
      <c r="E17" s="114" t="n"/>
      <c r="F17" s="114" t="n"/>
      <c r="G17" s="114" t="n"/>
      <c r="H17" s="114" t="n"/>
      <c r="I17" s="114" t="inlineStr">
        <is>
          <t>n</t>
        </is>
      </c>
      <c r="J17" s="114" t="inlineStr">
        <is>
          <t>OPC 40450-1 Section 11.1 CU-108</t>
        </is>
      </c>
      <c r="K17" s="115" t="n"/>
      <c r="L17" s="27" t="n"/>
      <c r="M17" s="28" t="n"/>
      <c r="N17" s="28" t="n"/>
    </row>
    <row r="18" ht="25.8" customHeight="1" s="132">
      <c r="A18" s="116" t="n"/>
      <c r="B18" s="117" t="n"/>
      <c r="C18" s="118" t="n">
        <v>1</v>
      </c>
      <c r="D18" s="118" t="inlineStr">
        <is>
          <t>Call SelectJoint with ProductInstanceUri, a JointId whose optional Classification=0, and JointOriginId="".</t>
        </is>
      </c>
      <c r="E18" s="118" t="inlineStr">
        <is>
          <t>Server claims this Conformance Unit; no additional runtime setup is needed for this step.</t>
        </is>
      </c>
      <c r="F18" s="118" t="inlineStr">
        <is>
          <t>Returns Good. Joint selected.</t>
        </is>
      </c>
      <c r="G18" s="118" t="inlineStr">
        <is>
          <t>Good</t>
        </is>
      </c>
      <c r="H18" s="118" t="n"/>
      <c r="I18" s="118" t="n"/>
      <c r="J18" s="118" t="inlineStr">
        <is>
          <t>OPC 40450-1 Section 11.1 CU-108</t>
        </is>
      </c>
      <c r="K18" s="119" t="inlineStr">
        <is>
          <t>Requirement source: OPC 40450-1 Section 9.31 - UNDEFINED permitted for selection.</t>
        </is>
      </c>
    </row>
    <row r="19" customFormat="1" s="138">
      <c r="A19" s="112" t="inlineStr">
        <is>
          <t>n</t>
        </is>
      </c>
      <c r="B19" s="110" t="n">
        <v>7</v>
      </c>
      <c r="C19" s="110" t="n">
        <v>0</v>
      </c>
      <c r="D19" s="110" t="inlineStr">
        <is>
          <t>Call SelectJoint with null JointId</t>
        </is>
      </c>
      <c r="E19" s="110" t="n"/>
      <c r="F19" s="110" t="n"/>
      <c r="G19" s="110" t="n"/>
      <c r="H19" s="110" t="n"/>
      <c r="I19" s="110" t="inlineStr">
        <is>
          <t>n</t>
        </is>
      </c>
      <c r="J19" s="110" t="inlineStr">
        <is>
          <t>OPC 40450-1 Section 11.1 CU-108</t>
        </is>
      </c>
      <c r="K19" s="115" t="n"/>
    </row>
    <row r="20" ht="25.8" customHeight="1" s="132">
      <c r="A20" s="120" t="n"/>
      <c r="B20" s="121" t="n"/>
      <c r="C20" s="122" t="n">
        <v>1</v>
      </c>
      <c r="D20" s="122" t="inlineStr">
        <is>
          <t>Call SelectJoint with ProductInstanceUri, JointId=null/empty, and JointOriginId empty so no valid selector is provided.</t>
        </is>
      </c>
      <c r="E20" s="122" t="inlineStr">
        <is>
          <t>Server claims this Conformance Unit; no additional runtime setup is needed for this step.</t>
        </is>
      </c>
      <c r="F20" s="122" t="inlineStr">
        <is>
          <t>Call Service returns Good; method result code is Uncertain. Status output is 5 (invalid input). StatusMessage explains the rejected input; no state change is performed.</t>
        </is>
      </c>
      <c r="G20" s="122" t="inlineStr">
        <is>
          <t>Good</t>
        </is>
      </c>
      <c r="H20" s="122" t="inlineStr">
        <is>
          <t>Uncertain; Status=5 output with StatusMessage</t>
        </is>
      </c>
      <c r="I20" s="122" t="n"/>
      <c r="J20" s="122" t="inlineStr">
        <is>
          <t>OPC 40450-1 Section 11.1 CU-108</t>
        </is>
      </c>
      <c r="K20" s="123" t="inlineStr">
        <is>
          <t>Requirement source: OPC 40450-1 Section 9.31 - JointId required.</t>
        </is>
      </c>
    </row>
    <row r="21">
      <c r="A21" s="110" t="inlineStr">
        <is>
          <t>n</t>
        </is>
      </c>
      <c r="B21" s="110" t="n">
        <v>8</v>
      </c>
      <c r="C21" s="110" t="n">
        <v>0</v>
      </c>
      <c r="D21" s="110" t="inlineStr">
        <is>
          <t>Manual policy observation: SelectJoint during active joining operation</t>
        </is>
      </c>
      <c r="E21" s="110" t="n"/>
      <c r="F21" s="110" t="n"/>
      <c r="G21" s="110" t="n"/>
      <c r="H21" s="110" t="n"/>
      <c r="I21" s="110" t="inlineStr">
        <is>
          <t>n</t>
        </is>
      </c>
      <c r="J21" s="110" t="inlineStr">
        <is>
          <t>OPC 40450-1 Section 11.1 CU-108</t>
        </is>
      </c>
      <c r="K21" s="110" t="n"/>
    </row>
    <row r="22">
      <c r="A22" s="111" t="n"/>
      <c r="B22" s="111" t="n"/>
      <c r="C22" s="111" t="n">
        <v>1</v>
      </c>
      <c r="D22" s="111" t="inlineStr">
        <is>
          <t>Start operation. Call SelectJoint with a valid joint identifier while the operation is active.</t>
        </is>
      </c>
      <c r="E22" s="111" t="inlineStr">
        <is>
          <t>Server/controller supports observing an active joining state and has a valid joint available for selection.</t>
        </is>
      </c>
      <c r="F22" s="111" t="inlineStr">
        <is>
          <t>Document controller policy. Accepting a selection for the next execution and rejecting the transition for the current state are both acceptable when the current operation remains stable and the method status is clear.</t>
        </is>
      </c>
      <c r="G22" s="111" t="inlineStr">
        <is>
          <t>Good</t>
        </is>
      </c>
      <c r="H22" s="111" t="inlineStr">
        <is>
          <t>Good for accepted next-execution selection, or documented Uncertain/status output for rejected transition</t>
        </is>
      </c>
      <c r="I22" s="111" t="n"/>
      <c r="J22" s="111" t="inlineStr">
        <is>
          <t>OPC 40450-1 Section 11.1 CU-108</t>
        </is>
      </c>
      <c r="K22" s="111" t="inlineStr">
        <is>
          <t>Manual/diagnostic policy check only; not a portable hard conformance failure.</t>
        </is>
      </c>
    </row>
  </sheetData>
  <mergeCells count="2">
    <mergeCell ref="A1:K1"/>
    <mergeCell ref="C2:J2"/>
  </mergeCells>
  <pageMargins left="0.7" right="0.7" top="0.75" bottom="0.75" header="0.3" footer="0.3"/>
</worksheet>
</file>

<file path=xl/worksheets/sheet115.xml><?xml version="1.0" encoding="utf-8"?>
<worksheet xmlns="http://schemas.openxmlformats.org/spreadsheetml/2006/main">
  <sheetPr codeName="Sheet9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CU-109: Get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CU-109 — Get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GJ-1: Browse MethodSet for GetJoint; verify Executable=True</t>
        </is>
      </c>
      <c r="E4" s="58" t="n"/>
      <c r="F4" s="58" t="n"/>
      <c r="G4" s="58" t="n"/>
      <c r="H4" s="58" t="n"/>
      <c r="I4" s="58" t="inlineStr">
        <is>
          <t>n</t>
        </is>
      </c>
      <c r="J4" s="58" t="inlineStr">
        <is>
          <t>OPC 40450-1 Section 11.1 CU-109</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 Method node. Read Executable and UserExecutable attributes.</t>
        </is>
      </c>
      <c r="E5" s="105" t="inlineStr">
        <is>
          <t>IJT server running. JointManagement.MethodSet accessible.</t>
        </is>
      </c>
      <c r="F5" s="105" t="inlineStr">
        <is>
          <t>GetJoint found in MethodSet. Executable = True. UserExecutable = True.</t>
        </is>
      </c>
      <c r="G5" s="105" t="inlineStr">
        <is>
          <t>Good</t>
        </is>
      </c>
      <c r="H5" s="105" t="inlineStr">
        <is>
          <t>GetJoint found; Executable=True; UserExecutable=True</t>
        </is>
      </c>
      <c r="I5" s="105" t="n"/>
      <c r="J5" s="105" t="inlineStr">
        <is>
          <t>OPC 40450-1 Section 11.1 CU-109</t>
        </is>
      </c>
      <c r="K5" s="106" t="n"/>
      <c r="L5" s="27" t="n"/>
      <c r="M5" s="28" t="n"/>
      <c r="N5" s="28" t="n"/>
    </row>
    <row r="6" ht="26.1" customHeight="1" s="132">
      <c r="A6" s="56" t="inlineStr">
        <is>
          <t>y</t>
        </is>
      </c>
      <c r="B6" s="57" t="n">
        <v>2</v>
      </c>
      <c r="C6" s="58" t="n">
        <v>0</v>
      </c>
      <c r="D6" s="58" t="inlineStr">
        <is>
          <t>GJ-2: SendJoint first; call GetJoint with that JointId; verify returned JointDataType matches sent data</t>
        </is>
      </c>
      <c r="E6" s="58" t="n"/>
      <c r="F6" s="58" t="n"/>
      <c r="G6" s="58" t="n"/>
      <c r="H6" s="58" t="n"/>
      <c r="I6" s="58" t="inlineStr">
        <is>
          <t>n</t>
        </is>
      </c>
      <c r="J6" s="58" t="inlineStr">
        <is>
          <t>OPC 40450-1 Section 11.1 CU-109</t>
        </is>
      </c>
      <c r="K6" s="74" t="n"/>
      <c r="L6" s="27" t="n"/>
      <c r="M6" s="28" t="n"/>
      <c r="N6" s="28" t="n"/>
    </row>
    <row r="7" ht="39" customHeight="1" s="132">
      <c r="A7" s="103" t="n"/>
      <c r="B7" s="104" t="n"/>
      <c r="C7" s="105" t="n">
        <v>1</v>
      </c>
      <c r="D7" s="105" t="inlineStr">
        <is>
          <t>Call SendJoint with JointId="JOINT-GJ-002" and a specific AssociatedEntities[] set. Then call GetJoint(ProductInstanceUri, JointId="JOINT-GJ-002").</t>
        </is>
      </c>
      <c r="E7" s="105" t="inlineStr">
        <is>
          <t>SendJoint executable. GetJoint executable. Known test data used.</t>
        </is>
      </c>
      <c r="F7" s="105" t="inlineStr">
        <is>
          <t>GetJoint returns JointDataType with JointId="JOINT-GJ-002" and matching optional AssociatedEntities[]. All configured fields match the data sent by SendJoint.</t>
        </is>
      </c>
      <c r="G7" s="105" t="inlineStr">
        <is>
          <t>Good</t>
        </is>
      </c>
      <c r="H7" s="105" t="inlineStr">
        <is>
          <t>Returned JointDataType matches sent JointId and AssociatedEntities</t>
        </is>
      </c>
      <c r="I7" s="105" t="n"/>
      <c r="J7" s="105" t="inlineStr">
        <is>
          <t>OPC 40450-1 Section 11.1 CU-109</t>
        </is>
      </c>
      <c r="K7" s="106" t="n"/>
      <c r="L7" s="27" t="n"/>
      <c r="M7" s="28" t="n"/>
      <c r="N7" s="28" t="n"/>
    </row>
    <row r="8" ht="39" customHeight="1" s="132">
      <c r="A8" s="56" t="inlineStr">
        <is>
          <t>y</t>
        </is>
      </c>
      <c r="B8" s="57" t="n">
        <v>3</v>
      </c>
      <c r="C8" s="58" t="n">
        <v>0</v>
      </c>
      <c r="D8" s="58" t="inlineStr">
        <is>
          <t>GJ-3: Verify returned JointDataType has mandatory JointId and valid optional fields</t>
        </is>
      </c>
      <c r="E8" s="58" t="n"/>
      <c r="F8" s="58" t="n"/>
      <c r="G8" s="58" t="n"/>
      <c r="H8" s="58" t="n"/>
      <c r="I8" s="58" t="inlineStr">
        <is>
          <t>n</t>
        </is>
      </c>
      <c r="J8" s="58" t="inlineStr">
        <is>
          <t>OPC 40450-1 Section 11.1 CU-109</t>
        </is>
      </c>
      <c r="K8" s="74" t="n"/>
      <c r="L8" s="27" t="n"/>
      <c r="M8" s="28" t="n"/>
      <c r="N8" s="28" t="n"/>
    </row>
    <row r="9" ht="46.8" customHeight="1" s="132">
      <c r="A9" s="103" t="n"/>
      <c r="B9" s="104" t="n"/>
      <c r="C9" s="105" t="n">
        <v>1</v>
      </c>
      <c r="D9" s="105" t="inlineStr">
        <is>
          <t>From GJ-2 response, inspect JointDataType. Check mandatory JointId and optional fields such as JointOriginId, JointDesignId, Classification, AssociatedEntities, and JoiningTechnology when present.</t>
        </is>
      </c>
      <c r="E9" s="105" t="inlineStr">
        <is>
          <t>GJ-2 completed successfully.</t>
        </is>
      </c>
      <c r="F9" s="105" t="inlineStr">
        <is>
          <t>JointDataType contains non-null JointId (TrimmedString). Optional fields are valid when present. AssociatedEntities[] may link the joint to joining-process context; there is no direct JoiningProcessId field.</t>
        </is>
      </c>
      <c r="G9" s="105" t="inlineStr">
        <is>
          <t>Good</t>
        </is>
      </c>
      <c r="H9" s="105" t="inlineStr">
        <is>
          <t>JointId present; optional JointDataType fields valid when present</t>
        </is>
      </c>
      <c r="I9" s="105" t="n"/>
      <c r="J9" s="105" t="inlineStr">
        <is>
          <t>OPC 40450-1 Section 11.1 CU-109</t>
        </is>
      </c>
      <c r="K9" s="106" t="n"/>
      <c r="L9" s="27" t="n"/>
      <c r="M9" s="28" t="n"/>
      <c r="N9" s="28" t="n"/>
    </row>
    <row r="10" ht="39" customHeight="1" s="132">
      <c r="A10" s="56" t="inlineStr">
        <is>
          <t>y</t>
        </is>
      </c>
      <c r="B10" s="57" t="n">
        <v>5</v>
      </c>
      <c r="C10" s="58" t="n">
        <v>0</v>
      </c>
      <c r="D10" s="58" t="inlineStr">
        <is>
          <t>GJ-5: Verify GetJoint returns most recently updated data after a SendJoint update</t>
        </is>
      </c>
      <c r="E10" s="58" t="n"/>
      <c r="F10" s="58" t="n"/>
      <c r="G10" s="58" t="n"/>
      <c r="H10" s="58" t="n"/>
      <c r="I10" s="58" t="inlineStr">
        <is>
          <t>n</t>
        </is>
      </c>
      <c r="J10" s="58" t="inlineStr">
        <is>
          <t>OPC 40450-1 Section 11.1 CU-109</t>
        </is>
      </c>
      <c r="K10" s="74" t="n"/>
      <c r="L10" s="27" t="n"/>
      <c r="M10" s="28" t="n"/>
      <c r="N10" s="28" t="n"/>
    </row>
    <row r="11" ht="26.1" customHeight="1" s="132">
      <c r="A11" s="103" t="n"/>
      <c r="B11" s="104" t="n"/>
      <c r="C11" s="105" t="n">
        <v>1</v>
      </c>
      <c r="D11" s="105" t="inlineStr">
        <is>
          <t>Call SendJoint for "JOINT-GJ-002" with new AssociatedEntities. Then call GetJoint for the same JointId.</t>
        </is>
      </c>
      <c r="E11" s="105" t="inlineStr">
        <is>
          <t>"JOINT-GJ-002" already stored from GJ-2. SendJoint executable.</t>
        </is>
      </c>
      <c r="F11" s="105" t="inlineStr">
        <is>
          <t>GetJoint returns the updated AssociatedEntities, not the original values. Server stores the latest version of the joint data.</t>
        </is>
      </c>
      <c r="G11" s="105" t="inlineStr">
        <is>
          <t>Good</t>
        </is>
      </c>
      <c r="H11" s="105" t="inlineStr">
        <is>
          <t>GetJoint returns updated data after SendJoint re-send; old data no longer returned</t>
        </is>
      </c>
      <c r="I11" s="105" t="n"/>
      <c r="J11" s="105" t="inlineStr">
        <is>
          <t>OPC 40450-1 Section 11.1 CU-109</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GJ-4 (error): Call GetJoint with non-existent JointId; verify Uncertain with Status=4</t>
        </is>
      </c>
      <c r="E13" s="97" t="n"/>
      <c r="F13" s="97" t="n"/>
      <c r="G13" s="97" t="n"/>
      <c r="H13" s="97" t="n"/>
      <c r="I13" s="97" t="inlineStr">
        <is>
          <t>n</t>
        </is>
      </c>
      <c r="J13" s="97" t="inlineStr">
        <is>
          <t>OPC 40450-1 Section 11.1 CU-109</t>
        </is>
      </c>
      <c r="K13" s="98" t="n"/>
      <c r="L13" s="27" t="n"/>
      <c r="M13" s="28" t="n"/>
      <c r="N13" s="28" t="n"/>
    </row>
    <row r="14" ht="26.1" customHeight="1" s="132">
      <c r="A14" s="103" t="n"/>
      <c r="B14" s="104" t="n"/>
      <c r="C14" s="105" t="n">
        <v>1</v>
      </c>
      <c r="D14" s="105" t="inlineStr">
        <is>
          <t>Call GetJoint(ProductInstanceUri, JointId="JOINT-DOES-NOT-EXIST-999").</t>
        </is>
      </c>
      <c r="E14" s="105" t="inlineStr">
        <is>
          <t>GetJoint method executable. Specified JointId not stored.</t>
        </is>
      </c>
      <c r="F14" s="105" t="inlineStr">
        <is>
          <t>Call Service returns Good; method result code is Uncertain. Status output is 4 (input identifier/entity not found). StatusMessage explains the rejected input; no state change is performed.</t>
        </is>
      </c>
      <c r="G14" s="105" t="inlineStr">
        <is>
          <t>Good</t>
        </is>
      </c>
      <c r="H14" s="105" t="inlineStr">
        <is>
          <t>Uncertain; Status=4 output with StatusMessage</t>
        </is>
      </c>
      <c r="I14" s="105" t="n"/>
      <c r="J14" s="105" t="inlineStr">
        <is>
          <t>OPC 40450-1 Section 11.1 CU-109</t>
        </is>
      </c>
      <c r="K14" s="106" t="n"/>
      <c r="L14" s="27" t="n"/>
      <c r="M14" s="28" t="n"/>
      <c r="N14" s="28" t="n"/>
    </row>
    <row r="15" ht="26.1" customHeight="1" s="132">
      <c r="A15" s="112" t="inlineStr">
        <is>
          <t>n</t>
        </is>
      </c>
      <c r="B15" s="113" t="n">
        <v>5</v>
      </c>
      <c r="C15" s="114" t="n">
        <v>0</v>
      </c>
      <c r="D15" s="114" t="inlineStr">
        <is>
          <t>Call GetJoint with non-existent JointId</t>
        </is>
      </c>
      <c r="E15" s="114" t="n"/>
      <c r="F15" s="114" t="n"/>
      <c r="G15" s="114" t="n"/>
      <c r="H15" s="114" t="n"/>
      <c r="I15" s="114" t="inlineStr">
        <is>
          <t>n</t>
        </is>
      </c>
      <c r="J15" s="114" t="inlineStr">
        <is>
          <t>OPC 40450-1 Section 11.1 CU-109</t>
        </is>
      </c>
      <c r="K15" s="115" t="n"/>
      <c r="L15" s="27" t="n"/>
      <c r="M15" s="28" t="n"/>
      <c r="N15" s="28" t="n"/>
    </row>
    <row r="16">
      <c r="A16" s="116" t="n"/>
      <c r="B16" s="117" t="n"/>
      <c r="C16" s="118" t="n">
        <v>1</v>
      </c>
      <c r="D16" s="118" t="inlineStr">
        <is>
          <t>Call with fabricated JointId.</t>
        </is>
      </c>
      <c r="E16" s="118" t="inlineStr">
        <is>
          <t>Server claims this Conformance Unit; no additional runtime setup is needed for this step.</t>
        </is>
      </c>
      <c r="F16" s="118" t="inlineStr">
        <is>
          <t>Call Service returns Good; method result code is Uncertain. Status output is 4 (input identifier/entity not found). StatusMessage explains the rejected input; no state change is performed.</t>
        </is>
      </c>
      <c r="G16" s="118" t="inlineStr">
        <is>
          <t>Good</t>
        </is>
      </c>
      <c r="H16" s="118" t="inlineStr">
        <is>
          <t>Uncertain; Status=4 output with StatusMessage</t>
        </is>
      </c>
      <c r="I16" s="118" t="n"/>
      <c r="J16" s="118" t="inlineStr">
        <is>
          <t>OPC 40450-1 Section 11.1 CU-109</t>
        </is>
      </c>
      <c r="K16" s="119" t="inlineStr">
        <is>
          <t>Requirement source: OPC 40450-1 Section 9.32 - Joint must exist.</t>
        </is>
      </c>
      <c r="L16" s="27" t="n"/>
      <c r="M16" s="28" t="n"/>
      <c r="N16" s="28" t="n"/>
    </row>
    <row r="17">
      <c r="A17" s="112" t="inlineStr">
        <is>
          <t>n</t>
        </is>
      </c>
      <c r="B17" s="113" t="n">
        <v>6</v>
      </c>
      <c r="C17" s="114" t="n">
        <v>0</v>
      </c>
      <c r="D17" s="114" t="inlineStr">
        <is>
          <t>Call GetJoint with empty JointId string</t>
        </is>
      </c>
      <c r="E17" s="114" t="n"/>
      <c r="F17" s="114" t="n"/>
      <c r="G17" s="114" t="n"/>
      <c r="H17" s="114" t="n"/>
      <c r="I17" s="114" t="inlineStr">
        <is>
          <t>n</t>
        </is>
      </c>
      <c r="J17" s="114" t="inlineStr">
        <is>
          <t>OPC 40450-1 Section 11.1 CU-109</t>
        </is>
      </c>
      <c r="K17" s="115" t="n"/>
      <c r="L17" s="27" t="n"/>
      <c r="M17" s="28" t="n"/>
      <c r="N17" s="28" t="n"/>
    </row>
    <row r="18" ht="25.8" customHeight="1" s="132">
      <c r="A18" s="116" t="n"/>
      <c r="B18" s="117" t="n"/>
      <c r="C18" s="118" t="n">
        <v>1</v>
      </c>
      <c r="D18" s="118" t="inlineStr">
        <is>
          <t>Call GetJoint with ProductInstanceUri and JointId="".</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CU-109</t>
        </is>
      </c>
      <c r="K18" s="119" t="inlineStr">
        <is>
          <t>Requirement source: OPC 40450-1 Section 9.32 - Empty string invalid.</t>
        </is>
      </c>
    </row>
    <row r="19" customFormat="1" s="138">
      <c r="A19" s="112" t="inlineStr">
        <is>
          <t>n</t>
        </is>
      </c>
      <c r="B19" s="110" t="n">
        <v>7</v>
      </c>
      <c r="C19" s="110" t="n">
        <v>0</v>
      </c>
      <c r="D19" s="110" t="inlineStr">
        <is>
          <t>Verify GetJoint returns complete JointDataType</t>
        </is>
      </c>
      <c r="E19" s="110" t="n"/>
      <c r="F19" s="110" t="n"/>
      <c r="G19" s="110" t="n"/>
      <c r="H19" s="110" t="n"/>
      <c r="I19" s="110" t="inlineStr">
        <is>
          <t>n</t>
        </is>
      </c>
      <c r="J19" s="110" t="inlineStr">
        <is>
          <t>OPC 40450-1 Section 11.1 CU-109</t>
        </is>
      </c>
      <c r="K19" s="115" t="n"/>
    </row>
    <row r="20">
      <c r="A20" s="120" t="n"/>
      <c r="B20" s="121" t="n"/>
      <c r="C20" s="122" t="n">
        <v>1</v>
      </c>
      <c r="D20" s="122" t="inlineStr">
        <is>
          <t>Call with valid JointId.</t>
        </is>
      </c>
      <c r="E20" s="122" t="inlineStr">
        <is>
          <t>Server claims this Conformance Unit; no additional runtime setup is needed for this step.</t>
        </is>
      </c>
      <c r="F20" s="122" t="inlineStr">
        <is>
          <t>Result has JointId and optional fields if configured.</t>
        </is>
      </c>
      <c r="G20" s="122" t="inlineStr">
        <is>
          <t>Good</t>
        </is>
      </c>
      <c r="H20" s="122" t="n"/>
      <c r="I20" s="122" t="n"/>
      <c r="J20" s="122" t="inlineStr">
        <is>
          <t>OPC 40450-1 Section 11.1 CU-109</t>
        </is>
      </c>
      <c r="K20" s="123" t="inlineStr">
        <is>
          <t>Requirement source: OPC 40450-1 Section 9.32 - Full data returned.</t>
        </is>
      </c>
    </row>
  </sheetData>
  <mergeCells count="2">
    <mergeCell ref="A1:K1"/>
    <mergeCell ref="C2:J2"/>
  </mergeCells>
  <pageMargins left="0.7" right="0.7" top="0.75" bottom="0.75" header="0.3" footer="0.3"/>
</worksheet>
</file>

<file path=xl/worksheets/sheet116.xml><?xml version="1.0" encoding="utf-8"?>
<worksheet xmlns="http://schemas.openxmlformats.org/spreadsheetml/2006/main">
  <sheetPr codeName="Sheet9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CU-110: Joint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CU-110 — Joint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JD-1: SendJoint with JointId="JOINT-001" and optional AssociatedEntities[]; verify GetJoint returns same values</t>
        </is>
      </c>
      <c r="E4" s="58" t="n"/>
      <c r="F4" s="58" t="n"/>
      <c r="G4" s="58" t="n"/>
      <c r="H4" s="58" t="n"/>
      <c r="I4" s="58" t="inlineStr">
        <is>
          <t>n</t>
        </is>
      </c>
      <c r="J4" s="58" t="inlineStr">
        <is>
          <t>OPC 40450-1 Section 11.1 CU-110</t>
        </is>
      </c>
      <c r="K4" s="59" t="inlineStr">
        <is>
          <t>NOTE: Namespace indices (0:,2:,4:,5:) are server-assigned. Resolve from NamespaceArray (ns=0;i=2255). 2:=DI, 4:=Machinery, 5:=Machinery Result (OPC 40001-101).</t>
        </is>
      </c>
    </row>
    <row r="5" ht="46.8" customFormat="1" customHeight="1" s="138">
      <c r="A5" s="107" t="n"/>
      <c r="B5" s="108" t="n"/>
      <c r="C5" s="108" t="n">
        <v>1</v>
      </c>
      <c r="D5" s="108" t="inlineStr">
        <is>
          <t>Call SendJoint with JointId="JOINT-001" and optional AssociatedEntities[] (for example a JOINING_PROCESS entity when configured). Then call GetJoint(ProductInstanceUri, "JOINT-001") and compare fields.</t>
        </is>
      </c>
      <c r="E5" s="108" t="inlineStr">
        <is>
          <t>SendJoint and GetJoint both executable.</t>
        </is>
      </c>
      <c r="F5" s="108" t="inlineStr">
        <is>
          <t>GetJoint returns JointDataType with JointId="JOINT-001" and matching optional AssociatedEntities[] exactly as sent. Round-trip fidelity confirmed.</t>
        </is>
      </c>
      <c r="G5" s="108" t="inlineStr">
        <is>
          <t>Good</t>
        </is>
      </c>
      <c r="H5" s="108" t="inlineStr">
        <is>
          <t>JointId and optional AssociatedEntities[] returned unchanged by GetJoint</t>
        </is>
      </c>
      <c r="I5" s="108" t="n"/>
      <c r="J5" s="108" t="inlineStr">
        <is>
          <t>OPC 40450-1 Section 11.1 CU-110</t>
        </is>
      </c>
      <c r="K5" s="109" t="n"/>
    </row>
    <row r="6" ht="25.8" customHeight="1" s="132">
      <c r="A6" s="70" t="inlineStr">
        <is>
          <t>y</t>
        </is>
      </c>
      <c r="B6" s="71" t="n">
        <v>2</v>
      </c>
      <c r="C6" s="72" t="n">
        <v>0</v>
      </c>
      <c r="D6" s="72" t="inlineStr">
        <is>
          <t>JD-2: Verify AssociatedEntities[] in JointDataType contains expected identifiers</t>
        </is>
      </c>
      <c r="E6" s="72" t="n"/>
      <c r="F6" s="72" t="n"/>
      <c r="G6" s="72" t="n"/>
      <c r="H6" s="72" t="n"/>
      <c r="I6" s="72" t="inlineStr">
        <is>
          <t>n</t>
        </is>
      </c>
      <c r="J6" s="72" t="inlineStr">
        <is>
          <t>OPC 40450-1 Section 11.1 CU-110</t>
        </is>
      </c>
      <c r="K6" s="73" t="n"/>
    </row>
    <row r="7" ht="46.8" customHeight="1" s="132">
      <c r="A7" s="108" t="n"/>
      <c r="B7" s="108" t="n"/>
      <c r="C7" s="108" t="n">
        <v>1</v>
      </c>
      <c r="D7" s="108" t="inlineStr">
        <is>
          <t>Call SendJoint with AssociatedEntities containing at least one entry with EntityType indicating VEHICLE, PRODUCT, or PART. Call GetJoint and inspect AssociatedEntities.</t>
        </is>
      </c>
      <c r="E7" s="108" t="inlineStr">
        <is>
          <t>SendJoint executable. Known AssociatedEntities used.</t>
        </is>
      </c>
      <c r="F7" s="108" t="inlineStr">
        <is>
          <t>AssociatedEntities array in GetJoint response contains the expected entries. EntityType and EntityId match the sent values.</t>
        </is>
      </c>
      <c r="G7" s="108" t="inlineStr">
        <is>
          <t>Good</t>
        </is>
      </c>
      <c r="H7" s="108" t="inlineStr">
        <is>
          <t>AssociatedEntities[] contains expected EntityType and EntityId values</t>
        </is>
      </c>
      <c r="I7" s="108" t="n"/>
      <c r="J7" s="108" t="inlineStr">
        <is>
          <t>OPC 40450-1 Section 11.1 CU-110</t>
        </is>
      </c>
      <c r="K7" s="108" t="n"/>
    </row>
    <row r="8">
      <c r="A8" s="67" t="inlineStr">
        <is>
          <t>y</t>
        </is>
      </c>
      <c r="B8" s="67" t="n">
        <v>3</v>
      </c>
      <c r="C8" s="67" t="n">
        <v>0</v>
      </c>
      <c r="D8" s="67" t="inlineStr">
        <is>
          <t>JD-3: Verify JointId is unique across all joints in GetJointList</t>
        </is>
      </c>
      <c r="E8" s="67" t="n"/>
      <c r="F8" s="67" t="n"/>
      <c r="G8" s="67" t="n"/>
      <c r="H8" s="67" t="n"/>
      <c r="I8" s="67" t="inlineStr">
        <is>
          <t>n</t>
        </is>
      </c>
      <c r="J8" s="67" t="inlineStr">
        <is>
          <t>OPC 40450-1 Section 11.1 CU-110</t>
        </is>
      </c>
      <c r="K8" s="67" t="n"/>
    </row>
    <row r="9" ht="35.1" customHeight="1" s="132">
      <c r="A9" s="108" t="n"/>
      <c r="B9" s="108" t="n"/>
      <c r="C9" s="108" t="n">
        <v>1</v>
      </c>
      <c r="D9" s="108" t="inlineStr">
        <is>
          <t>Send multiple joints with distinct JointIds. Call GetJointList. Verify all returned JointIds are unique (no duplicates).</t>
        </is>
      </c>
      <c r="E9" s="108" t="inlineStr">
        <is>
          <t>Multiple joints stored via SendJoint. GetJointList executable.</t>
        </is>
      </c>
      <c r="F9" s="108" t="inlineStr">
        <is>
          <t>GetJointList returns an array with no duplicate JointId entries. Each JointId appears exactly once.</t>
        </is>
      </c>
      <c r="G9" s="108" t="inlineStr">
        <is>
          <t>Good</t>
        </is>
      </c>
      <c r="H9" s="108" t="inlineStr">
        <is>
          <t>No duplicate JointIds in GetJointList; all entries unique</t>
        </is>
      </c>
      <c r="I9" s="108" t="n"/>
      <c r="J9" s="108" t="inlineStr">
        <is>
          <t>OPC 40450-1 Section 11.1 CU-110</t>
        </is>
      </c>
      <c r="K9" s="108" t="n"/>
    </row>
    <row r="10" ht="25.8" customHeight="1" s="132">
      <c r="A10" s="67" t="inlineStr">
        <is>
          <t>y</t>
        </is>
      </c>
      <c r="B10" s="67" t="n">
        <v>4</v>
      </c>
      <c r="C10" s="67" t="n">
        <v>0</v>
      </c>
      <c r="D10" s="67" t="inlineStr">
        <is>
          <t>JD-4: Verify any joining-process reference in AssociatedEntities[] matches GetJoiningProcessList when configured</t>
        </is>
      </c>
      <c r="E10" s="67" t="n"/>
      <c r="F10" s="67" t="n"/>
      <c r="G10" s="67" t="n"/>
      <c r="H10" s="67" t="n"/>
      <c r="I10" s="67" t="inlineStr">
        <is>
          <t>n</t>
        </is>
      </c>
      <c r="J10" s="67" t="inlineStr">
        <is>
          <t>OPC 40450-1 Section 11.1 CU-110</t>
        </is>
      </c>
      <c r="K10" s="67" t="n"/>
    </row>
    <row r="11" ht="58.5" customHeight="1" s="132">
      <c r="A11" s="108" t="n"/>
      <c r="B11" s="108" t="n"/>
      <c r="C11" s="108" t="n">
        <v>1</v>
      </c>
      <c r="D11" s="108" t="inlineStr">
        <is>
          <t>Call GetJoint for a stored joint. If AssociatedEntities[] contains EntityType=JOINING_PROCESS, compare EntityId with JoiningProcessId values returned by GetJoiningProcessList.</t>
        </is>
      </c>
      <c r="E11" s="108" t="inlineStr">
        <is>
          <t>At least one joint stored. GetJoiningProcessList method executable.</t>
        </is>
      </c>
      <c r="F11" s="108" t="inlineStr">
        <is>
          <t>When a JOINING_PROCESS associated entity is present, EntityId matches a JoiningProcessId from GetJoiningProcessList. Referential integrity between Joint and JoiningProcess is maintained through AssociatedEntities[].</t>
        </is>
      </c>
      <c r="G11" s="108" t="inlineStr">
        <is>
          <t>Good</t>
        </is>
      </c>
      <c r="H11" s="108" t="inlineStr">
        <is>
          <t>JOINING_PROCESS AssociatedEntities[] reference matches GetJoiningProcessList</t>
        </is>
      </c>
      <c r="I11" s="108" t="n"/>
      <c r="J11" s="108" t="inlineStr">
        <is>
          <t>OPC 40450-1 Section 11.1 CU-110</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JD-5 (error): SendJoint with duplicate JointId but different data; verify update (Good) or appropriate error</t>
        </is>
      </c>
      <c r="E13" s="69" t="n"/>
      <c r="F13" s="69" t="n"/>
      <c r="G13" s="69" t="n"/>
      <c r="H13" s="69" t="n"/>
      <c r="I13" s="69" t="inlineStr">
        <is>
          <t>n</t>
        </is>
      </c>
      <c r="J13" s="69" t="inlineStr">
        <is>
          <t>OPC 40450-1 Section 11.1 CU-110</t>
        </is>
      </c>
      <c r="K13" s="69" t="n"/>
    </row>
    <row r="14" ht="46.8" customHeight="1" s="132">
      <c r="A14" s="108" t="n"/>
      <c r="B14" s="108" t="n"/>
      <c r="C14" s="108" t="n">
        <v>1</v>
      </c>
      <c r="D14" s="108" t="inlineStr">
        <is>
          <t>Call SendJoint with JointId="JOINT-001" and different optional AssociatedEntities[] or other optional joint data than previously sent. Observe the returned StatusCode/domain status.</t>
        </is>
      </c>
      <c r="E14" s="108" t="inlineStr">
        <is>
          <t>"JOINT-001" already stored. SendJoint executable.</t>
        </is>
      </c>
      <c r="F14" s="108" t="inlineStr">
        <is>
          <t>Server either returns Good and updates the stored joint, or returns Good at Call Service level with method result code Uncertain and a Status/StatusMessage explaining why the update is rejected. Behaviour is consistent with specification update semantics.</t>
        </is>
      </c>
      <c r="G14" s="108" t="inlineStr">
        <is>
          <t>Good</t>
        </is>
      </c>
      <c r="H14" s="108" t="inlineStr">
        <is>
          <t>Good update or Uncertain with Status/StatusMessage</t>
        </is>
      </c>
      <c r="I14" s="108" t="n"/>
      <c r="J14" s="108" t="inlineStr">
        <is>
          <t>OPC 40450-1 Section 11.1 CU-110</t>
        </is>
      </c>
      <c r="K14" s="108" t="inlineStr">
        <is>
          <t>Do not model IJT domain update rejection as direct Bad_InvalidArgument for syntactically valid calls.</t>
        </is>
      </c>
    </row>
    <row r="15">
      <c r="A15" s="110" t="inlineStr">
        <is>
          <t>n</t>
        </is>
      </c>
      <c r="B15" s="110" t="n">
        <v>6</v>
      </c>
      <c r="C15" s="110" t="n">
        <v>0</v>
      </c>
      <c r="D15" s="110" t="inlineStr">
        <is>
          <t>Verify JointId is non-empty for all JointDataType instances</t>
        </is>
      </c>
      <c r="E15" s="110" t="n"/>
      <c r="F15" s="110" t="n"/>
      <c r="G15" s="110" t="n"/>
      <c r="H15" s="110" t="n"/>
      <c r="I15" s="110" t="inlineStr">
        <is>
          <t>n</t>
        </is>
      </c>
      <c r="J15" s="110" t="inlineStr">
        <is>
          <t>OPC 40450-1 Section 11.1 CU-110</t>
        </is>
      </c>
      <c r="K15" s="110" t="n"/>
    </row>
    <row r="16">
      <c r="A16" s="111" t="n"/>
      <c r="B16" s="111" t="n"/>
      <c r="C16" s="111" t="n">
        <v>1</v>
      </c>
      <c r="D16" s="111" t="inlineStr">
        <is>
          <t>Inspect JointDataType instances. Read JointId.</t>
        </is>
      </c>
      <c r="E16" s="111" t="inlineStr">
        <is>
          <t>Server claims this Conformance Unit; no additional runtime setup is needed for this step.</t>
        </is>
      </c>
      <c r="F16" s="111" t="inlineStr">
        <is>
          <t>All JointId values non-empty.</t>
        </is>
      </c>
      <c r="G16" s="111" t="inlineStr">
        <is>
          <t>Good</t>
        </is>
      </c>
      <c r="H16" s="111" t="n"/>
      <c r="I16" s="111" t="n"/>
      <c r="J16" s="111" t="inlineStr">
        <is>
          <t>OPC 40450-1 Section 11.1 CU-110</t>
        </is>
      </c>
      <c r="K16" s="111" t="inlineStr">
        <is>
          <t>Requirement source: OPC 40450-1 Section 10.14 - JointId is Mandatory.</t>
        </is>
      </c>
    </row>
    <row r="17">
      <c r="A17" s="110" t="inlineStr">
        <is>
          <t>n</t>
        </is>
      </c>
      <c r="B17" s="110" t="n">
        <v>7</v>
      </c>
      <c r="C17" s="110" t="n">
        <v>0</v>
      </c>
      <c r="D17" s="110" t="inlineStr">
        <is>
          <t>Verify Classification enum value is in valid set</t>
        </is>
      </c>
      <c r="E17" s="110" t="n"/>
      <c r="F17" s="110" t="n"/>
      <c r="G17" s="110" t="n"/>
      <c r="H17" s="110" t="n"/>
      <c r="I17" s="110" t="inlineStr">
        <is>
          <t>n</t>
        </is>
      </c>
      <c r="J17" s="110" t="inlineStr">
        <is>
          <t>OPC 40450-1 Section 11.1 CU-110</t>
        </is>
      </c>
      <c r="K17" s="110" t="n"/>
    </row>
    <row r="18">
      <c r="A18" s="111" t="n"/>
      <c r="B18" s="111" t="n"/>
      <c r="C18" s="111" t="n">
        <v>1</v>
      </c>
      <c r="D18" s="111" t="inlineStr">
        <is>
          <t>Read Classification from JointDataType.</t>
        </is>
      </c>
      <c r="E18" s="111" t="inlineStr">
        <is>
          <t>Server claims this Conformance Unit; no additional runtime setup is needed for this step.</t>
        </is>
      </c>
      <c r="F18" s="111" t="inlineStr">
        <is>
          <t>Classification in {0,1,2,3,4}.</t>
        </is>
      </c>
      <c r="G18" s="111" t="inlineStr">
        <is>
          <t>Good</t>
        </is>
      </c>
      <c r="H18" s="111" t="n"/>
      <c r="I18" s="111" t="n"/>
      <c r="J18" s="111" t="inlineStr">
        <is>
          <t>OPC 40450-1 Section 11.1 CU-110</t>
        </is>
      </c>
      <c r="K18" s="111" t="inlineStr">
        <is>
          <t>Requirement source: OPC 40450-1 Section 10.14 - Valid enum range 0-4.</t>
        </is>
      </c>
    </row>
    <row r="19">
      <c r="A19" s="110" t="inlineStr">
        <is>
          <t>n</t>
        </is>
      </c>
      <c r="B19" s="110" t="n">
        <v>8</v>
      </c>
      <c r="C19" s="110" t="n">
        <v>0</v>
      </c>
      <c r="D19" s="110" t="inlineStr">
        <is>
          <t>Verify JointDesignId references existing JointDesign when set</t>
        </is>
      </c>
      <c r="E19" s="110" t="n"/>
      <c r="F19" s="110" t="n"/>
      <c r="G19" s="110" t="n"/>
      <c r="H19" s="110" t="n"/>
      <c r="I19" s="110" t="inlineStr">
        <is>
          <t>n</t>
        </is>
      </c>
      <c r="J19" s="110" t="inlineStr">
        <is>
          <t>OPC 40450-1 Section 11.1 CU-110</t>
        </is>
      </c>
      <c r="K19" s="110" t="n"/>
    </row>
    <row r="20">
      <c r="A20" s="111" t="n"/>
      <c r="B20" s="111" t="n"/>
      <c r="C20" s="111" t="n">
        <v>1</v>
      </c>
      <c r="D20" s="111" t="inlineStr">
        <is>
          <t>If JointDesignId non-null, call GetJointDesign.</t>
        </is>
      </c>
      <c r="E20" s="111" t="inlineStr">
        <is>
          <t>Server claims this Conformance Unit; no additional runtime setup is needed for this step.</t>
        </is>
      </c>
      <c r="F20" s="111" t="inlineStr">
        <is>
          <t>GetJointDesign returns valid data.</t>
        </is>
      </c>
      <c r="G20" s="111" t="inlineStr">
        <is>
          <t>Good</t>
        </is>
      </c>
      <c r="H20" s="111" t="n"/>
      <c r="I20" s="111" t="n"/>
      <c r="J20" s="111" t="inlineStr">
        <is>
          <t>OPC 40450-1 Section 11.1 CU-110</t>
        </is>
      </c>
      <c r="K20" s="111" t="inlineStr">
        <is>
          <t>Requirement source: OPC 40450-1 Section 10.14 - Referential integrity.</t>
        </is>
      </c>
    </row>
  </sheetData>
  <mergeCells count="2">
    <mergeCell ref="A1:K1"/>
    <mergeCell ref="C2:J2"/>
  </mergeCells>
  <pageMargins left="0.7" right="0.7" top="0.75" bottom="0.75" header="0.3" footer="0.3"/>
</worksheet>
</file>

<file path=xl/worksheets/sheet117.xml><?xml version="1.0" encoding="utf-8"?>
<worksheet xmlns="http://schemas.openxmlformats.org/spreadsheetml/2006/main">
  <sheetPr codeName="Sheet10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CU-119: Delete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CU-119 — Delete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DJ-1: Browse MethodSet for DeleteJoint; verify Executable=True</t>
        </is>
      </c>
      <c r="E4" s="58" t="n"/>
      <c r="F4" s="58" t="n"/>
      <c r="G4" s="58" t="n"/>
      <c r="H4" s="58" t="n"/>
      <c r="I4" s="58" t="inlineStr">
        <is>
          <t>n</t>
        </is>
      </c>
      <c r="J4" s="58" t="inlineStr">
        <is>
          <t>OPC 40450-1 Section 11.1 CU-111</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 Method node. Read Executable and UserExecutable attributes.</t>
        </is>
      </c>
      <c r="E5" s="105" t="inlineStr">
        <is>
          <t>IJT server running. JointManagement.MethodSet accessible.</t>
        </is>
      </c>
      <c r="F5" s="105" t="inlineStr">
        <is>
          <t>DeleteJoint found. Executable = True. UserExecutable = True.</t>
        </is>
      </c>
      <c r="G5" s="105" t="inlineStr">
        <is>
          <t>Good</t>
        </is>
      </c>
      <c r="H5" s="105" t="inlineStr">
        <is>
          <t>DeleteJoint found; Executable=True; UserExecutable=True</t>
        </is>
      </c>
      <c r="I5" s="105" t="n"/>
      <c r="J5" s="105" t="inlineStr">
        <is>
          <t>OPC 40450-1 Section 11.1 CU-111</t>
        </is>
      </c>
      <c r="K5" s="106" t="n"/>
      <c r="L5" s="27" t="n"/>
      <c r="M5" s="28" t="n"/>
      <c r="N5" s="28" t="n"/>
    </row>
    <row r="6" ht="26.1" customHeight="1" s="132">
      <c r="A6" s="56" t="inlineStr">
        <is>
          <t>y</t>
        </is>
      </c>
      <c r="B6" s="57" t="n">
        <v>2</v>
      </c>
      <c r="C6" s="58" t="n">
        <v>0</v>
      </c>
      <c r="D6" s="58" t="inlineStr">
        <is>
          <t>DJ-2: SendJoint then DeleteJoint; verify Good and ID removed from GetJointList</t>
        </is>
      </c>
      <c r="E6" s="58" t="n"/>
      <c r="F6" s="58" t="n"/>
      <c r="G6" s="58" t="n"/>
      <c r="H6" s="58" t="n"/>
      <c r="I6" s="58" t="inlineStr">
        <is>
          <t>n</t>
        </is>
      </c>
      <c r="J6" s="58" t="inlineStr">
        <is>
          <t>OPC 40450-1 Section 11.1 CU-111</t>
        </is>
      </c>
      <c r="K6" s="74" t="n"/>
      <c r="L6" s="27" t="n"/>
      <c r="M6" s="28" t="n"/>
      <c r="N6" s="28" t="n"/>
    </row>
    <row r="7" ht="39" customHeight="1" s="132">
      <c r="A7" s="103" t="n"/>
      <c r="B7" s="104" t="n"/>
      <c r="C7" s="105" t="n">
        <v>1</v>
      </c>
      <c r="D7" s="105" t="inlineStr">
        <is>
          <t>Call SendJoint with JointId="JOINT-DJ-002". Verify it appears in GetJointList. Then call DeleteJoint(ProductInstanceUri, JointId="JOINT-DJ-002", JointOriginId=""). Call GetJointList again.</t>
        </is>
      </c>
      <c r="E7" s="105" t="inlineStr">
        <is>
          <t>SendJoint and DeleteJoint both executable.</t>
        </is>
      </c>
      <c r="F7" s="105" t="inlineStr">
        <is>
          <t>DeleteJoint returns Good. Second GetJointList call does NOT contain "JOINT-DJ-002". Joint successfully deleted.</t>
        </is>
      </c>
      <c r="G7" s="105" t="inlineStr">
        <is>
          <t>Good</t>
        </is>
      </c>
      <c r="H7" s="105" t="inlineStr">
        <is>
          <t>Good returned; "JOINT-DJ-002" absent from GetJointList after DeleteJoint</t>
        </is>
      </c>
      <c r="I7" s="105" t="n"/>
      <c r="J7" s="105" t="inlineStr">
        <is>
          <t>OPC 40450-1 Section 11.1 CU-111</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DJ-3 (error): DeleteJoint with non-existent JointId; verify Uncertain with Status=4</t>
        </is>
      </c>
      <c r="E9" s="97" t="n"/>
      <c r="F9" s="97" t="n"/>
      <c r="G9" s="97" t="n"/>
      <c r="H9" s="97" t="n"/>
      <c r="I9" s="97" t="inlineStr">
        <is>
          <t>n</t>
        </is>
      </c>
      <c r="J9" s="97" t="inlineStr">
        <is>
          <t>OPC 40450-1 Section 11.1 CU-111</t>
        </is>
      </c>
      <c r="K9" s="98" t="n"/>
      <c r="L9" s="27" t="n"/>
      <c r="M9" s="28" t="n"/>
      <c r="N9" s="28" t="n"/>
    </row>
    <row r="10" ht="39" customHeight="1" s="132">
      <c r="A10" s="103" t="n"/>
      <c r="B10" s="104" t="n"/>
      <c r="C10" s="105" t="n">
        <v>1</v>
      </c>
      <c r="D10" s="105" t="inlineStr">
        <is>
          <t>Call DeleteJoint(ProductInstanceUri, JointId="JOINT-NONEXISTENT-999", JointOriginId="").</t>
        </is>
      </c>
      <c r="E10" s="105" t="inlineStr">
        <is>
          <t>DeleteJoint executable. Specified JointId not stored.</t>
        </is>
      </c>
      <c r="F10" s="105" t="inlineStr">
        <is>
          <t>Call Service returns Good; method result code is Uncertain. Status output is 4 (input identifier/entity not found). StatusMessage explains the rejected input; no state change is performed.</t>
        </is>
      </c>
      <c r="G10" s="105" t="inlineStr">
        <is>
          <t>Good</t>
        </is>
      </c>
      <c r="H10" s="105" t="inlineStr">
        <is>
          <t>Uncertain; Status=4 output with StatusMessage</t>
        </is>
      </c>
      <c r="I10" s="105" t="n"/>
      <c r="J10" s="105" t="inlineStr">
        <is>
          <t>OPC 40450-1 Section 11.1 CU-111</t>
        </is>
      </c>
      <c r="K10" s="106" t="n"/>
      <c r="L10" s="27" t="n"/>
      <c r="M10" s="28" t="n"/>
      <c r="N10" s="28" t="n"/>
    </row>
    <row r="11" ht="26.1" customHeight="1" s="132">
      <c r="A11" s="95" t="inlineStr">
        <is>
          <t>n</t>
        </is>
      </c>
      <c r="B11" s="96" t="n">
        <v>4</v>
      </c>
      <c r="C11" s="97" t="n">
        <v>0</v>
      </c>
      <c r="D11" s="97" t="inlineStr">
        <is>
          <t>DJ-4 (error): DeleteJoint with currently-selected Joint; verify Uncertain with Status=1 or auto-deselect</t>
        </is>
      </c>
      <c r="E11" s="97" t="n"/>
      <c r="F11" s="97" t="n"/>
      <c r="G11" s="97" t="n"/>
      <c r="H11" s="97" t="n"/>
      <c r="I11" s="97" t="inlineStr">
        <is>
          <t>n</t>
        </is>
      </c>
      <c r="J11" s="97" t="inlineStr">
        <is>
          <t>OPC 40450-1 Section 11.1 CU-111</t>
        </is>
      </c>
      <c r="K11" s="98" t="n"/>
      <c r="L11" s="27" t="n"/>
      <c r="M11" s="28" t="n"/>
      <c r="N11" s="28" t="n"/>
    </row>
    <row r="12" ht="58.5" customHeight="1" s="132">
      <c r="A12" s="103" t="n"/>
      <c r="B12" s="104" t="n"/>
      <c r="C12" s="105" t="n">
        <v>1</v>
      </c>
      <c r="D12" s="105" t="inlineStr">
        <is>
          <t>Call SelectJoint(ProductInstanceUri, JointId="JOINT-DJ-004", JointOriginId="") to select the joint. Then call DeleteJoint(ProductInstanceUri, JointId="JOINT-DJ-004", JointOriginId="") while it is still selected.</t>
        </is>
      </c>
      <c r="E12" s="105" t="inlineStr">
        <is>
          <t>"JOINT-DJ-004" stored and selected. DeleteJoint executable.</t>
        </is>
      </c>
      <c r="F12" s="105" t="inlineStr">
        <is>
          <t>Call Service returns Good; method result code is Uncertain when the requested state transition is not accepted. Status output is 1 (generic not OK/application state). StatusMessage explains the state precondition; no unintended state change is performed.</t>
        </is>
      </c>
      <c r="G12" s="105" t="inlineStr">
        <is>
          <t>Good</t>
        </is>
      </c>
      <c r="H12" s="105" t="inlineStr">
        <is>
          <t>Uncertain; Status=1 output with StatusMessage</t>
        </is>
      </c>
      <c r="I12" s="105" t="n"/>
      <c r="J12" s="105" t="inlineStr">
        <is>
          <t>OPC 40450-1 Section 11.1 CU-111</t>
        </is>
      </c>
      <c r="K12" s="106" t="inlineStr">
        <is>
          <t>Document observed behavior; Uncertain/Status=1 and auto-deselect plus Good are acceptable state-handling outcomes.</t>
        </is>
      </c>
      <c r="L12" s="27" t="n"/>
      <c r="M12" s="28" t="n"/>
      <c r="N12" s="28" t="n"/>
    </row>
    <row r="13" ht="25.8" customHeight="1" s="132">
      <c r="A13" s="95" t="inlineStr">
        <is>
          <t>n</t>
        </is>
      </c>
      <c r="B13" s="96" t="n">
        <v>5</v>
      </c>
      <c r="C13" s="97" t="n">
        <v>0</v>
      </c>
      <c r="D13" s="97" t="inlineStr">
        <is>
          <t>DJ-5 (error): Call DeleteJoint with invalid ProductInstanceUri; verify Uncertain with Status=2</t>
        </is>
      </c>
      <c r="E13" s="97" t="n"/>
      <c r="F13" s="97" t="n"/>
      <c r="G13" s="97" t="n"/>
      <c r="H13" s="97" t="n"/>
      <c r="I13" s="97" t="inlineStr">
        <is>
          <t>n</t>
        </is>
      </c>
      <c r="J13" s="97" t="inlineStr">
        <is>
          <t>OPC 40450-1 Section 11.1 CU-111</t>
        </is>
      </c>
      <c r="K13" s="98" t="n"/>
      <c r="L13" s="27" t="n"/>
      <c r="M13" s="28" t="n"/>
      <c r="N13" s="28" t="n"/>
    </row>
    <row r="14" ht="26.1" customHeight="1" s="132">
      <c r="A14" s="103" t="n"/>
      <c r="B14" s="104" t="n"/>
      <c r="C14" s="105" t="n">
        <v>1</v>
      </c>
      <c r="D14" s="105" t="inlineStr">
        <is>
          <t>Call DeleteJoint with an invalid ProductInstanceUri, a valid JointId, and JointOriginId="".</t>
        </is>
      </c>
      <c r="E14" s="105" t="inlineStr">
        <is>
          <t>DeleteJoint executable.</t>
        </is>
      </c>
      <c r="F14" s="105" t="inlineStr">
        <is>
          <t>Call Service returns Good; method result code is Uncertain. Status output is 2 (ProductInstanceUri not found). StatusMessage explains the rejected input; no state change is performed.</t>
        </is>
      </c>
      <c r="G14" s="105" t="inlineStr">
        <is>
          <t>Good</t>
        </is>
      </c>
      <c r="H14" s="105" t="inlineStr">
        <is>
          <t>Uncertain; Status=2 output with StatusMessage</t>
        </is>
      </c>
      <c r="I14" s="105" t="n"/>
      <c r="J14" s="105" t="inlineStr">
        <is>
          <t>OPC 40450-1 Section 11.1 CU-111</t>
        </is>
      </c>
      <c r="K14" s="106" t="n"/>
      <c r="L14" s="27" t="n"/>
      <c r="M14" s="28" t="n"/>
      <c r="N14" s="28" t="n"/>
    </row>
    <row r="15" ht="26.1" customHeight="1" s="132">
      <c r="A15" s="112" t="inlineStr">
        <is>
          <t>n</t>
        </is>
      </c>
      <c r="B15" s="113" t="n">
        <v>6</v>
      </c>
      <c r="C15" s="114" t="n">
        <v>0</v>
      </c>
      <c r="D15" s="114" t="inlineStr">
        <is>
          <t>Call DeleteJoint with JointId referenced by active operation</t>
        </is>
      </c>
      <c r="E15" s="114" t="n"/>
      <c r="F15" s="114" t="n"/>
      <c r="G15" s="114" t="n"/>
      <c r="H15" s="114" t="n"/>
      <c r="I15" s="114" t="inlineStr">
        <is>
          <t>n</t>
        </is>
      </c>
      <c r="J15" s="114" t="inlineStr">
        <is>
          <t>OPC 40450-1 Section 11.1 CU-111</t>
        </is>
      </c>
      <c r="K15" s="115" t="n"/>
      <c r="L15" s="27" t="n"/>
      <c r="M15" s="28" t="n"/>
      <c r="N15" s="28" t="n"/>
    </row>
    <row r="16">
      <c r="A16" s="116" t="n"/>
      <c r="B16" s="117" t="n"/>
      <c r="C16" s="118" t="n">
        <v>1</v>
      </c>
      <c r="D16" s="118" t="inlineStr">
        <is>
          <t>Call DeleteJoint(ProductInstanceUri, JointId, JointOriginId) for a joint in use.</t>
        </is>
      </c>
      <c r="E16" s="118" t="inlineStr">
        <is>
          <t>Server claims this Conformance Unit; no additional runtime setup is needed for this step.</t>
        </is>
      </c>
      <c r="F16" s="118" t="inlineStr">
        <is>
          <t>Call Service returns Good; method result code is Uncertain when the requested state transition is not accepted. Status output is 1 (generic not OK/application state). StatusMessage explains the state precondition; no unintended state change is performed.</t>
        </is>
      </c>
      <c r="G16" s="118" t="inlineStr">
        <is>
          <t>Good</t>
        </is>
      </c>
      <c r="H16" s="118" t="inlineStr">
        <is>
          <t>Uncertain; Status=1 output with StatusMessage</t>
        </is>
      </c>
      <c r="I16" s="118" t="n"/>
      <c r="J16" s="118" t="inlineStr">
        <is>
          <t>OPC 40450-1 Section 11.1 CU-111</t>
        </is>
      </c>
      <c r="K16" s="119" t="inlineStr">
        <is>
          <t>Requirement source: OPC 40450-1 Section 9.33 - Cannot delete active.</t>
        </is>
      </c>
      <c r="L16" s="27" t="n"/>
      <c r="M16" s="28" t="n"/>
      <c r="N16" s="28" t="n"/>
    </row>
    <row r="17">
      <c r="A17" s="112" t="inlineStr">
        <is>
          <t>n</t>
        </is>
      </c>
      <c r="B17" s="113" t="n">
        <v>7</v>
      </c>
      <c r="C17" s="114" t="n">
        <v>0</v>
      </c>
      <c r="D17" s="114" t="inlineStr">
        <is>
          <t>Verify GetJoint returns Uncertain/Status=4 after successful DeleteJoint</t>
        </is>
      </c>
      <c r="E17" s="114" t="n"/>
      <c r="F17" s="114" t="n"/>
      <c r="G17" s="114" t="n"/>
      <c r="H17" s="114" t="n"/>
      <c r="I17" s="114" t="inlineStr">
        <is>
          <t>n</t>
        </is>
      </c>
      <c r="J17" s="114" t="inlineStr">
        <is>
          <t>OPC 40450-1 Section 11.1 CU-111</t>
        </is>
      </c>
      <c r="K17" s="115" t="n"/>
      <c r="L17" s="27" t="n"/>
      <c r="M17" s="28" t="n"/>
      <c r="N17" s="28" t="n"/>
    </row>
    <row r="18">
      <c r="A18" s="116" t="n"/>
      <c r="B18" s="117" t="n"/>
      <c r="C18" s="118" t="n">
        <v>1</v>
      </c>
      <c r="D18" s="118" t="inlineStr">
        <is>
          <t>Delete joint. Call GetJoint(ProductInstanceUri, same JointId).</t>
        </is>
      </c>
      <c r="E18" s="118" t="inlineStr">
        <is>
          <t>Server claims this Conformance Unit; no additional runtime setup is needed for this step.</t>
        </is>
      </c>
      <c r="F18" s="118" t="inlineStr">
        <is>
          <t>Call Service returns Good; method result code is Uncertain. Status output is 4 (input identifier/entity not found). StatusMessage explains the rejected input; no state change is performed.</t>
        </is>
      </c>
      <c r="G18" s="118" t="inlineStr">
        <is>
          <t>Good</t>
        </is>
      </c>
      <c r="H18" s="118" t="inlineStr">
        <is>
          <t>Uncertain; Status=4 output with StatusMessage</t>
        </is>
      </c>
      <c r="I18" s="118" t="n"/>
      <c r="J18" s="118" t="inlineStr">
        <is>
          <t>OPC 40450-1 Section 11.1 CU-111</t>
        </is>
      </c>
      <c r="K18" s="119" t="inlineStr">
        <is>
          <t>Requirement source: OPC 40450-1 Section 9.33 -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18.xml><?xml version="1.0" encoding="utf-8"?>
<worksheet xmlns="http://schemas.openxmlformats.org/spreadsheetml/2006/main">
  <sheetPr codeName="Sheet99">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CU-111: Send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CU-111 — Send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SJD-1: Browse MethodSet for SendJointDesign; verify Executable=True</t>
        </is>
      </c>
      <c r="E4" s="58" t="n"/>
      <c r="F4" s="58" t="n"/>
      <c r="G4" s="58" t="n"/>
      <c r="H4" s="58" t="n"/>
      <c r="I4" s="58" t="inlineStr">
        <is>
          <t>n</t>
        </is>
      </c>
      <c r="J4" s="58" t="inlineStr">
        <is>
          <t>OPC 40450-1 Section 11.1 CU-112</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SendJointDesign Method node. Read Executable and UserExecutable attributes.</t>
        </is>
      </c>
      <c r="E5" s="105" t="inlineStr">
        <is>
          <t>IJT server running. JointManagement.MethodSet accessible.</t>
        </is>
      </c>
      <c r="F5" s="105" t="inlineStr">
        <is>
          <t>SendJointDesign found in MethodSet. Executable = True. UserExecutable = True.</t>
        </is>
      </c>
      <c r="G5" s="105" t="inlineStr">
        <is>
          <t>Good</t>
        </is>
      </c>
      <c r="H5" s="105" t="inlineStr">
        <is>
          <t>SendJointDesign found; Executable=True; UserExecutable=True</t>
        </is>
      </c>
      <c r="I5" s="105" t="n"/>
      <c r="J5" s="105" t="inlineStr">
        <is>
          <t>OPC 40450-1 Section 11.1 CU-112</t>
        </is>
      </c>
      <c r="K5" s="106" t="n"/>
      <c r="L5" s="27" t="n"/>
      <c r="M5" s="28" t="n"/>
      <c r="N5" s="28" t="n"/>
    </row>
    <row r="6" ht="26.1" customHeight="1" s="132">
      <c r="A6" s="56" t="inlineStr">
        <is>
          <t>y</t>
        </is>
      </c>
      <c r="B6" s="57" t="n">
        <v>2</v>
      </c>
      <c r="C6" s="58" t="n">
        <v>0</v>
      </c>
      <c r="D6" s="58" t="inlineStr">
        <is>
          <t>SJD-2: Call SendJointDesign with valid JointDesignDataType including JointDesignContent</t>
        </is>
      </c>
      <c r="E6" s="58" t="n"/>
      <c r="F6" s="58" t="n"/>
      <c r="G6" s="58" t="n"/>
      <c r="H6" s="58" t="n"/>
      <c r="I6" s="58" t="inlineStr">
        <is>
          <t>n</t>
        </is>
      </c>
      <c r="J6" s="58" t="inlineStr">
        <is>
          <t>OPC 40450-1 Section 11.1 CU-112</t>
        </is>
      </c>
      <c r="K6" s="74" t="n"/>
      <c r="L6" s="27" t="n"/>
      <c r="M6" s="28" t="n"/>
      <c r="N6" s="28" t="n"/>
    </row>
    <row r="7" ht="39" customHeight="1" s="132">
      <c r="A7" s="103" t="n"/>
      <c r="B7" s="104" t="n"/>
      <c r="C7" s="105" t="n">
        <v>1</v>
      </c>
      <c r="D7" s="105" t="inlineStr">
        <is>
          <t>Construct a JointDesignDataType with JointDesignId="DESIGN-TC-001" and JointDesignContent (DesignValueDataType[] entries). Call SendJointDesign(ProductInstanceUri, JointDesign).</t>
        </is>
      </c>
      <c r="E7" s="105" t="inlineStr">
        <is>
          <t>SendJointDesign executable. Valid JointDesignContent available.</t>
        </is>
      </c>
      <c r="F7" s="105" t="inlineStr">
        <is>
          <t>Method returns Good/domain success. Design accepted and stored by the server with JointDesignContent preserved.</t>
        </is>
      </c>
      <c r="G7" s="105" t="inlineStr">
        <is>
          <t>Good</t>
        </is>
      </c>
      <c r="H7" s="105" t="inlineStr">
        <is>
          <t>Good returned; JointDesignDataType accepted; design stored</t>
        </is>
      </c>
      <c r="I7" s="105" t="n"/>
      <c r="J7" s="105" t="inlineStr">
        <is>
          <t>OPC 40450-1 Section 11.1 CU-112</t>
        </is>
      </c>
      <c r="K7" s="106" t="n"/>
      <c r="L7" s="27" t="n"/>
      <c r="M7" s="28" t="n"/>
      <c r="N7" s="28" t="n"/>
    </row>
    <row r="8" ht="39" customHeight="1" s="132">
      <c r="A8" s="56" t="inlineStr">
        <is>
          <t>y</t>
        </is>
      </c>
      <c r="B8" s="57" t="n">
        <v>3</v>
      </c>
      <c r="C8" s="58" t="n">
        <v>0</v>
      </c>
      <c r="D8" s="58" t="inlineStr">
        <is>
          <t>SJD-3: Verify design appears in GetJointDesignList after send</t>
        </is>
      </c>
      <c r="E8" s="58" t="n"/>
      <c r="F8" s="58" t="n"/>
      <c r="G8" s="58" t="n"/>
      <c r="H8" s="58" t="n"/>
      <c r="I8" s="58" t="inlineStr">
        <is>
          <t>n</t>
        </is>
      </c>
      <c r="J8" s="58" t="inlineStr">
        <is>
          <t>OPC 40450-1 Section 11.1 CU-112</t>
        </is>
      </c>
      <c r="K8" s="74" t="n"/>
      <c r="L8" s="27" t="n"/>
      <c r="M8" s="28" t="n"/>
      <c r="N8" s="28" t="n"/>
    </row>
    <row r="9" ht="35.1" customHeight="1" s="132">
      <c r="A9" s="103" t="n"/>
      <c r="B9" s="104" t="n"/>
      <c r="C9" s="105" t="n">
        <v>1</v>
      </c>
      <c r="D9" s="105" t="inlineStr">
        <is>
          <t>After SJD-2 succeeds, call GetJointDesignList(ProductInstanceUri). Check for a JointDesignDataType entry with JointDesignId="DESIGN-TC-001".</t>
        </is>
      </c>
      <c r="E9" s="105" t="inlineStr">
        <is>
          <t>SJD-2 completed. GetJointDesignList executable.</t>
        </is>
      </c>
      <c r="F9" s="105" t="inlineStr">
        <is>
          <t>A JointDesignDataType entry with JointDesignId="DESIGN-TC-001" appears in GetJointDesignList response. Design persisted correctly.</t>
        </is>
      </c>
      <c r="G9" s="105" t="inlineStr">
        <is>
          <t>Good</t>
        </is>
      </c>
      <c r="H9" s="105" t="inlineStr">
        <is>
          <t>"DESIGN-TC-001" found in GetJointDesignList after SendJointDesign</t>
        </is>
      </c>
      <c r="I9" s="105" t="n"/>
      <c r="J9" s="105" t="inlineStr">
        <is>
          <t>OPC 40450-1 Section 11.1 CU-112</t>
        </is>
      </c>
      <c r="K9" s="106" t="n"/>
      <c r="L9" s="27" t="n"/>
      <c r="M9" s="28" t="n"/>
      <c r="N9" s="28" t="n"/>
    </row>
    <row r="10" ht="39" customHeight="1" s="132">
      <c r="A10" s="56" t="inlineStr">
        <is>
          <t>y</t>
        </is>
      </c>
      <c r="B10" s="57" t="n">
        <v>4</v>
      </c>
      <c r="C10" s="58" t="n">
        <v>0</v>
      </c>
      <c r="D10" s="58" t="inlineStr">
        <is>
          <t>SJD-4: Send same design again; verify Good and design updated</t>
        </is>
      </c>
      <c r="E10" s="58" t="n"/>
      <c r="F10" s="58" t="n"/>
      <c r="G10" s="58" t="n"/>
      <c r="H10" s="58" t="n"/>
      <c r="I10" s="58" t="inlineStr">
        <is>
          <t>n</t>
        </is>
      </c>
      <c r="J10" s="58" t="inlineStr">
        <is>
          <t>OPC 40450-1 Section 11.1 CU-112</t>
        </is>
      </c>
      <c r="K10" s="74" t="n"/>
      <c r="L10" s="27" t="n"/>
      <c r="M10" s="28" t="n"/>
      <c r="N10" s="28" t="n"/>
    </row>
    <row r="11" ht="26.1" customHeight="1" s="132">
      <c r="A11" s="103" t="n"/>
      <c r="B11" s="104" t="n"/>
      <c r="C11" s="105" t="n">
        <v>1</v>
      </c>
      <c r="D11" s="105" t="inlineStr">
        <is>
          <t>Call SendJointDesign(ProductInstanceUri, JointDesign) with JointDesignId="DESIGN-TC-001" and modified optional content.</t>
        </is>
      </c>
      <c r="E11" s="105" t="inlineStr">
        <is>
          <t>"DESIGN-TC-001" already stored. SendJointDesign executable.</t>
        </is>
      </c>
      <c r="F11" s="105" t="inlineStr">
        <is>
          <t>Method returns Good. Subsequent GetJointDesign returns the updated content. Update semantic confirmed.</t>
        </is>
      </c>
      <c r="G11" s="105" t="inlineStr">
        <is>
          <t>Good</t>
        </is>
      </c>
      <c r="H11" s="105" t="inlineStr">
        <is>
          <t>Good returned on re-send; GetJointDesign returns updated JointDesignContent</t>
        </is>
      </c>
      <c r="I11" s="105" t="n"/>
      <c r="J11" s="105" t="inlineStr">
        <is>
          <t>OPC 40450-1 Section 11.1 CU-112</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SJD-5 (error): Call SendJointDesign with empty JointDesignId; verify Uncertain with Status=5</t>
        </is>
      </c>
      <c r="E13" s="97" t="n"/>
      <c r="F13" s="97" t="n"/>
      <c r="G13" s="97" t="n"/>
      <c r="H13" s="97" t="n"/>
      <c r="I13" s="97" t="inlineStr">
        <is>
          <t>n</t>
        </is>
      </c>
      <c r="J13" s="97" t="inlineStr">
        <is>
          <t>OPC 40450-1 Section 11.1 CU-112</t>
        </is>
      </c>
      <c r="K13" s="98" t="n"/>
      <c r="L13" s="27" t="n"/>
      <c r="M13" s="28" t="n"/>
      <c r="N13" s="28" t="n"/>
    </row>
    <row r="14" ht="26.1" customHeight="1" s="132">
      <c r="A14" s="103" t="n"/>
      <c r="B14" s="104" t="n"/>
      <c r="C14" s="105" t="n">
        <v>1</v>
      </c>
      <c r="D14" s="105" t="inlineStr">
        <is>
          <t>Construct a JointDesignDataType with JointDesignId="" (empty string) and valid content. Call SendJointDesign.</t>
        </is>
      </c>
      <c r="E14" s="105" t="inlineStr">
        <is>
          <t>SendJointDesign executable.</t>
        </is>
      </c>
      <c r="F14" s="105" t="inlineStr">
        <is>
          <t>Call Service returns Good; method result code is Uncertain. Status output is 5 (invalid input). StatusMessage explains the rejected input; no state change is performed.</t>
        </is>
      </c>
      <c r="G14" s="105" t="inlineStr">
        <is>
          <t>Good</t>
        </is>
      </c>
      <c r="H14" s="105" t="inlineStr">
        <is>
          <t>Uncertain; Status=5 output with StatusMessage</t>
        </is>
      </c>
      <c r="I14" s="105" t="n"/>
      <c r="J14" s="105" t="inlineStr">
        <is>
          <t>OPC 40450-1 Section 11.1 CU-112</t>
        </is>
      </c>
      <c r="K14" s="106" t="n"/>
      <c r="L14" s="27" t="n"/>
      <c r="M14" s="28" t="n"/>
      <c r="N14" s="28" t="n"/>
    </row>
    <row r="15" ht="26.1" customHeight="1" s="132">
      <c r="A15" s="95" t="inlineStr">
        <is>
          <t>n</t>
        </is>
      </c>
      <c r="B15" s="96" t="n">
        <v>6</v>
      </c>
      <c r="C15" s="97" t="n">
        <v>0</v>
      </c>
      <c r="D15" s="97" t="inlineStr">
        <is>
          <t>[Negative] Call SendJointDesign with omitted JointDesignContent</t>
        </is>
      </c>
      <c r="E15" s="97" t="n"/>
      <c r="F15" s="97" t="n"/>
      <c r="G15" s="97" t="n"/>
      <c r="H15" s="97" t="n"/>
      <c r="I15" s="97" t="inlineStr">
        <is>
          <t>n</t>
        </is>
      </c>
      <c r="J15" s="97" t="inlineStr">
        <is>
          <t>OPC 40450-1 Section 11.1 CU-112</t>
        </is>
      </c>
      <c r="K15" s="98" t="n"/>
      <c r="L15" s="27" t="n"/>
      <c r="M15" s="28" t="n"/>
      <c r="N15" s="28" t="n"/>
    </row>
    <row r="16" ht="46.8" customHeight="1" s="132">
      <c r="A16" s="103" t="n"/>
      <c r="B16" s="104" t="n"/>
      <c r="C16" s="105" t="n">
        <v>1</v>
      </c>
      <c r="D16" s="105" t="inlineStr">
        <is>
          <t>Construct a JointDesignDataType with valid JointDesignId and omit JointDesignContent. Call SendJointDesign(ProductInstanceUri, JointDesign).</t>
        </is>
      </c>
      <c r="E16" s="105" t="inlineStr">
        <is>
          <t>SendJointDesign executable.</t>
        </is>
      </c>
      <c r="F16" s="105" t="inlineStr">
        <is>
          <t>Call Service returns Good; method result code is Uncertain. Status output is 5 (invalid input). StatusMessage explains the rejected input; no state change is performed.</t>
        </is>
      </c>
      <c r="G16" s="105" t="inlineStr">
        <is>
          <t>Good</t>
        </is>
      </c>
      <c r="H16" s="105" t="inlineStr">
        <is>
          <t>Uncertain; Status=5 output with StatusMessage</t>
        </is>
      </c>
      <c r="I16" s="105" t="n"/>
      <c r="J16" s="105" t="inlineStr">
        <is>
          <t>OPC 40450-1 Section 11.1 CU-112</t>
        </is>
      </c>
      <c r="K16" s="106" t="n"/>
      <c r="L16" s="27" t="n"/>
      <c r="M16" s="28" t="n"/>
      <c r="N16" s="28" t="n"/>
    </row>
    <row r="17">
      <c r="A17" s="112" t="inlineStr">
        <is>
          <t>n</t>
        </is>
      </c>
      <c r="B17" s="113" t="n">
        <v>7</v>
      </c>
      <c r="C17" s="114" t="n">
        <v>0</v>
      </c>
      <c r="D17" s="114" t="inlineStr">
        <is>
          <t>Call SendJointDesign with JointDesignId = empty string</t>
        </is>
      </c>
      <c r="E17" s="114" t="n"/>
      <c r="F17" s="114" t="n"/>
      <c r="G17" s="114" t="n"/>
      <c r="H17" s="114" t="n"/>
      <c r="I17" s="114" t="inlineStr">
        <is>
          <t>n</t>
        </is>
      </c>
      <c r="J17" s="114" t="inlineStr">
        <is>
          <t>OPC 40450-1 Section 11.1 CU-112</t>
        </is>
      </c>
      <c r="K17" s="115" t="n"/>
      <c r="L17" s="27" t="n"/>
      <c r="M17" s="28" t="n"/>
      <c r="N17" s="28" t="n"/>
    </row>
    <row r="18" ht="25.8" customHeight="1" s="132">
      <c r="A18" s="116" t="n"/>
      <c r="B18" s="117" t="n"/>
      <c r="C18" s="118" t="n">
        <v>1</v>
      </c>
      <c r="D18" s="118" t="inlineStr">
        <is>
          <t>Call SendJointDesign(ProductInstanceUri, JointDesign) with JointDesignId=''.</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CU-112</t>
        </is>
      </c>
      <c r="K18" s="119" t="inlineStr">
        <is>
          <t>Requirement source: OPC 40450-1 Section 9.34 - TrimmedString, cannot be empty.</t>
        </is>
      </c>
    </row>
    <row r="19" customFormat="1" s="138">
      <c r="A19" s="112" t="inlineStr">
        <is>
          <t>n</t>
        </is>
      </c>
      <c r="B19" s="110" t="n">
        <v>8</v>
      </c>
      <c r="C19" s="110" t="n">
        <v>0</v>
      </c>
      <c r="D19" s="110" t="inlineStr">
        <is>
          <t>Call SendJointDesign with non-existent JointComponentIds</t>
        </is>
      </c>
      <c r="E19" s="110" t="n"/>
      <c r="F19" s="110" t="n"/>
      <c r="G19" s="110" t="n"/>
      <c r="H19" s="110" t="n"/>
      <c r="I19" s="110" t="inlineStr">
        <is>
          <t>n</t>
        </is>
      </c>
      <c r="J19" s="110" t="inlineStr">
        <is>
          <t>OPC 40450-1 Section 11.1 CU-112</t>
        </is>
      </c>
      <c r="K19" s="115" t="n"/>
    </row>
    <row r="20">
      <c r="A20" s="120" t="n"/>
      <c r="B20" s="121" t="n"/>
      <c r="C20" s="122" t="n">
        <v>1</v>
      </c>
      <c r="D20" s="122" t="inlineStr">
        <is>
          <t>Call with JointComponentIdList referencing non-existent components.</t>
        </is>
      </c>
      <c r="E20" s="122" t="inlineStr">
        <is>
          <t>Server claims this Conformance Unit; no additional runtime setup is needed for this step.</t>
        </is>
      </c>
      <c r="F20" s="122" t="inlineStr">
        <is>
          <t>Call Service returns Good; method result code is Uncertain. Status output is 4 (input identifier/entity not found). StatusMessage explains the rejected input; no state change is performed.</t>
        </is>
      </c>
      <c r="G20" s="122" t="inlineStr">
        <is>
          <t>Good</t>
        </is>
      </c>
      <c r="H20" s="122" t="inlineStr">
        <is>
          <t>Uncertain; Status=4 output with StatusMessage</t>
        </is>
      </c>
      <c r="I20" s="122" t="n"/>
      <c r="J20" s="122" t="inlineStr">
        <is>
          <t>OPC 40450-1 Section 11.1 CU-112</t>
        </is>
      </c>
      <c r="K20" s="123" t="inlineStr">
        <is>
          <t>Requirement source: OPC 40450-1 Section 9.34 - Reference validation.</t>
        </is>
      </c>
    </row>
    <row r="21">
      <c r="A21" s="110" t="inlineStr">
        <is>
          <t>n</t>
        </is>
      </c>
      <c r="B21" s="110" t="n">
        <v>9</v>
      </c>
      <c r="C21" s="110" t="n">
        <v>0</v>
      </c>
      <c r="D21" s="110" t="inlineStr">
        <is>
          <t>Verify SendJointDesign re-send updates existing design</t>
        </is>
      </c>
      <c r="E21" s="110" t="n"/>
      <c r="F21" s="110" t="n"/>
      <c r="G21" s="110" t="n"/>
      <c r="H21" s="110" t="n"/>
      <c r="I21" s="110" t="inlineStr">
        <is>
          <t>n</t>
        </is>
      </c>
      <c r="J21" s="110" t="inlineStr">
        <is>
          <t>OPC 40450-1 Section 11.1 CU-112</t>
        </is>
      </c>
      <c r="K21" s="110" t="n"/>
    </row>
    <row r="22">
      <c r="A22" s="111" t="n"/>
      <c r="B22" s="111" t="n"/>
      <c r="C22" s="111" t="n">
        <v>1</v>
      </c>
      <c r="D22" s="111" t="inlineStr">
        <is>
          <t>Send design X twice. Call GetJointDesignList(ProductInstanceUri).</t>
        </is>
      </c>
      <c r="E22" s="111" t="inlineStr">
        <is>
          <t>Server claims this Conformance Unit; no additional runtime setup is needed for this step.</t>
        </is>
      </c>
      <c r="F22" s="111" t="inlineStr">
        <is>
          <t>JointDesignList has a single JointDesignDataType entry for X. Metadata/content reflect the latest accepted design data.</t>
        </is>
      </c>
      <c r="G22" s="111" t="inlineStr">
        <is>
          <t>Good</t>
        </is>
      </c>
      <c r="H22" s="111" t="n"/>
      <c r="I22" s="111" t="n"/>
      <c r="J22" s="111" t="inlineStr">
        <is>
          <t>OPC 40450-1 Section 11.1 CU-112</t>
        </is>
      </c>
      <c r="K22" s="111" t="inlineStr">
        <is>
          <t>Requirement source: OPC 40450-1 Section 9.34 - Update semantics.</t>
        </is>
      </c>
    </row>
  </sheetData>
  <mergeCells count="2">
    <mergeCell ref="A1:K1"/>
    <mergeCell ref="C2:J2"/>
  </mergeCells>
  <pageMargins left="0.7" right="0.7" top="0.75" bottom="0.75" header="0.3" footer="0.3"/>
</worksheet>
</file>

<file path=xl/worksheets/sheet119.xml><?xml version="1.0" encoding="utf-8"?>
<worksheet xmlns="http://schemas.openxmlformats.org/spreadsheetml/2006/main">
  <sheetPr codeName="Sheet10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CU-112: Get Joint Design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CU-112 — Get Joint Design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GJDL-1: Browse MethodSet for GetJointDesignList; verify Executable=True</t>
        </is>
      </c>
      <c r="E4" s="58" t="n"/>
      <c r="F4" s="58" t="n"/>
      <c r="G4" s="58" t="n"/>
      <c r="H4" s="58" t="n"/>
      <c r="I4" s="58" t="inlineStr">
        <is>
          <t>n</t>
        </is>
      </c>
      <c r="J4" s="58" t="inlineStr">
        <is>
          <t>OPC 40450-1 Section 11.1 CU-113</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GetJointDesignList Method node. Read Executable and UserExecutable attributes.</t>
        </is>
      </c>
      <c r="E5" s="105" t="inlineStr">
        <is>
          <t>IJT server running. JointManagement.MethodSet accessible.</t>
        </is>
      </c>
      <c r="F5" s="105" t="inlineStr">
        <is>
          <t>GetJointDesignList found. Executable = True. UserExecutable = True.</t>
        </is>
      </c>
      <c r="G5" s="105" t="inlineStr">
        <is>
          <t>Good</t>
        </is>
      </c>
      <c r="H5" s="105" t="inlineStr">
        <is>
          <t>GetJointDesignList found; Executable=True; UserExecutable=True</t>
        </is>
      </c>
      <c r="I5" s="105" t="n"/>
      <c r="J5" s="105" t="inlineStr">
        <is>
          <t>OPC 40450-1 Section 11.1 CU-113</t>
        </is>
      </c>
      <c r="K5" s="106" t="n"/>
      <c r="L5" s="27" t="n"/>
      <c r="M5" s="28" t="n"/>
      <c r="N5" s="28" t="n"/>
    </row>
    <row r="6" ht="26.1" customHeight="1" s="132">
      <c r="A6" s="56" t="inlineStr">
        <is>
          <t>y</t>
        </is>
      </c>
      <c r="B6" s="57" t="n">
        <v>2</v>
      </c>
      <c r="C6" s="58" t="n">
        <v>0</v>
      </c>
      <c r="D6" s="58" t="inlineStr">
        <is>
          <t>GJDL-2: Call GetJointDesignList(ProductInstanceUri); verify returns JointDesignDataType[]</t>
        </is>
      </c>
      <c r="E6" s="58" t="n"/>
      <c r="F6" s="58" t="n"/>
      <c r="G6" s="58" t="n"/>
      <c r="H6" s="58" t="n"/>
      <c r="I6" s="58" t="inlineStr">
        <is>
          <t>n</t>
        </is>
      </c>
      <c r="J6" s="58" t="inlineStr">
        <is>
          <t>OPC 40450-1 Section 11.1 CU-113</t>
        </is>
      </c>
      <c r="K6" s="74" t="n"/>
      <c r="L6" s="27" t="n"/>
      <c r="M6" s="28" t="n"/>
      <c r="N6" s="28" t="n"/>
    </row>
    <row r="7" ht="39" customHeight="1" s="132">
      <c r="A7" s="103" t="n"/>
      <c r="B7" s="104" t="n"/>
      <c r="C7" s="105" t="n">
        <v>1</v>
      </c>
      <c r="D7" s="105" t="inlineStr">
        <is>
          <t>Call JointManagement.GetJointDesignList(ProductInstanceUri). Inspect the returned output argument.</t>
        </is>
      </c>
      <c r="E7" s="105" t="inlineStr">
        <is>
          <t>GetJointDesignList executable. At least one design stored.</t>
        </is>
      </c>
      <c r="F7" s="105" t="inlineStr">
        <is>
          <t>Method returns Good. Output argument JointDesignList is an array of JointDesignDataType values. An empty array is valid when no joint designs are available.</t>
        </is>
      </c>
      <c r="G7" s="105" t="inlineStr">
        <is>
          <t>Good</t>
        </is>
      </c>
      <c r="H7" s="105" t="inlineStr">
        <is>
          <t>Good returned; output is JointDesignDataType[]</t>
        </is>
      </c>
      <c r="I7" s="105" t="n"/>
      <c r="J7" s="105" t="inlineStr">
        <is>
          <t>OPC 40450-1 Section 11.1 CU-113</t>
        </is>
      </c>
      <c r="K7" s="106" t="n"/>
      <c r="L7" s="27" t="n"/>
      <c r="M7" s="28" t="n"/>
      <c r="N7" s="28" t="n"/>
    </row>
    <row r="8" ht="39" customHeight="1" s="132">
      <c r="A8" s="56" t="inlineStr">
        <is>
          <t>y</t>
        </is>
      </c>
      <c r="B8" s="57" t="n">
        <v>3</v>
      </c>
      <c r="C8" s="58" t="n">
        <v>0</v>
      </c>
      <c r="D8" s="58" t="inlineStr">
        <is>
          <t>GJDL-3: Verify each returned JointDesignDataType has non-empty JointDesignId</t>
        </is>
      </c>
      <c r="E8" s="58" t="n"/>
      <c r="F8" s="58" t="n"/>
      <c r="G8" s="58" t="n"/>
      <c r="H8" s="58" t="n"/>
      <c r="I8" s="58" t="inlineStr">
        <is>
          <t>n</t>
        </is>
      </c>
      <c r="J8" s="58" t="inlineStr">
        <is>
          <t>OPC 40450-1 Section 11.1 CU-113</t>
        </is>
      </c>
      <c r="K8" s="74" t="n"/>
      <c r="L8" s="27" t="n"/>
      <c r="M8" s="28" t="n"/>
      <c r="N8" s="28" t="n"/>
    </row>
    <row r="9" ht="46.8" customHeight="1" s="132">
      <c r="A9" s="103" t="n"/>
      <c r="B9" s="104" t="n"/>
      <c r="C9" s="105" t="n">
        <v>1</v>
      </c>
      <c r="D9" s="105" t="inlineStr">
        <is>
          <t>Inspect each JointDesignDataType element returned by GetJointDesignList. Check JointDesignId and optional fields when present.</t>
        </is>
      </c>
      <c r="E9" s="105" t="inlineStr">
        <is>
          <t>GetJointDesignList returns a non-empty array.</t>
        </is>
      </c>
      <c r="F9" s="105" t="inlineStr">
        <is>
          <t>Each returned JointDesignDataType contains the CU-required fields JointDesignId and JointDesignContent.</t>
        </is>
      </c>
      <c r="G9" s="105" t="inlineStr">
        <is>
          <t>Good</t>
        </is>
      </c>
      <c r="H9" s="105" t="inlineStr">
        <is>
          <t>JointDesignId present; JointDesignContent present</t>
        </is>
      </c>
      <c r="I9" s="105" t="n"/>
      <c r="J9" s="105" t="inlineStr">
        <is>
          <t>OPC 40450-1 Section 11.1 CU-113</t>
        </is>
      </c>
      <c r="K9" s="106" t="n"/>
      <c r="L9" s="27" t="n"/>
      <c r="M9" s="28" t="n"/>
      <c r="N9" s="28" t="n"/>
    </row>
    <row r="10" ht="39" customHeight="1" s="132">
      <c r="A10" s="56" t="inlineStr">
        <is>
          <t>y</t>
        </is>
      </c>
      <c r="B10" s="57" t="n">
        <v>4</v>
      </c>
      <c r="C10" s="58" t="n">
        <v>0</v>
      </c>
      <c r="D10" s="58" t="inlineStr">
        <is>
          <t>GJDL-4: Send a design, call GetJointDesignList; verify new JointDesignId appears</t>
        </is>
      </c>
      <c r="E10" s="58" t="n"/>
      <c r="F10" s="58" t="n"/>
      <c r="G10" s="58" t="n"/>
      <c r="H10" s="58" t="n"/>
      <c r="I10" s="58" t="inlineStr">
        <is>
          <t>n</t>
        </is>
      </c>
      <c r="J10" s="58" t="inlineStr">
        <is>
          <t>OPC 40450-1 Section 11.1 CU-113</t>
        </is>
      </c>
      <c r="K10" s="74" t="n"/>
      <c r="L10" s="27" t="n"/>
      <c r="M10" s="28" t="n"/>
      <c r="N10" s="28" t="n"/>
    </row>
    <row r="11" ht="26.1" customHeight="1" s="132">
      <c r="A11" s="103" t="n"/>
      <c r="B11" s="104" t="n"/>
      <c r="C11" s="105" t="n">
        <v>1</v>
      </c>
      <c r="D11" s="105" t="inlineStr">
        <is>
          <t>Call SendJointDesign with JointDesignId="DESIGN-GJDL-004". Then call GetJointDesignList(ProductInstanceUri) and verify a returned JointDesignDataType has that JointDesignId.</t>
        </is>
      </c>
      <c r="E11" s="105" t="inlineStr">
        <is>
          <t>SendJointDesign and GetJointDesignList both executable.</t>
        </is>
      </c>
      <c r="F11" s="105" t="inlineStr">
        <is>
          <t>A JointDesignDataType entry with JointDesignId="DESIGN-GJDL-004" appears in GetJointDesignList response. List is up-to-date after SendJointDesign.</t>
        </is>
      </c>
      <c r="G11" s="105" t="inlineStr">
        <is>
          <t>Good</t>
        </is>
      </c>
      <c r="H11" s="105" t="inlineStr">
        <is>
          <t>"DESIGN-GJDL-004" JointDesignDataType present after SendJointDesign</t>
        </is>
      </c>
      <c r="I11" s="105" t="n"/>
      <c r="J11" s="105" t="inlineStr">
        <is>
          <t>OPC 40450-1 Section 11.1 CU-113</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GJDL-5 (error): Call GetJointDesignList when no designs stored; verify Good with empty array</t>
        </is>
      </c>
      <c r="E13" s="97" t="n"/>
      <c r="F13" s="97" t="n"/>
      <c r="G13" s="97" t="n"/>
      <c r="H13" s="97" t="n"/>
      <c r="I13" s="97" t="inlineStr">
        <is>
          <t>n</t>
        </is>
      </c>
      <c r="J13" s="97" t="inlineStr">
        <is>
          <t>OPC 40450-1 Section 11.1 CU-113</t>
        </is>
      </c>
      <c r="K13" s="98" t="n"/>
      <c r="L13" s="27" t="n"/>
      <c r="M13" s="28" t="n"/>
      <c r="N13" s="28" t="n"/>
    </row>
    <row r="14" ht="39" customHeight="1" s="132">
      <c r="A14" s="103" t="n"/>
      <c r="B14" s="104" t="n"/>
      <c r="C14" s="105" t="n">
        <v>1</v>
      </c>
      <c r="D14" s="105" t="inlineStr">
        <is>
          <t>Ensure no designs are stored. Call GetJointDesignList(ProductInstanceUri).</t>
        </is>
      </c>
      <c r="E14" s="105" t="inlineStr">
        <is>
          <t>No designs currently stored. GetJointDesignList executable.</t>
        </is>
      </c>
      <c r="F14" s="105" t="inlineStr">
        <is>
          <t>Method returns Good. Output JointDesignList is an empty JointDesignDataType[] array. No error is returned for an empty list.</t>
        </is>
      </c>
      <c r="G14" s="105" t="inlineStr">
        <is>
          <t>Good</t>
        </is>
      </c>
      <c r="H14" s="105" t="inlineStr">
        <is>
          <t>Good returned; output array is empty; no error for empty design list</t>
        </is>
      </c>
      <c r="I14" s="105" t="n"/>
      <c r="J14" s="105" t="inlineStr">
        <is>
          <t>OPC 40450-1 Section 11.1 CU-113</t>
        </is>
      </c>
      <c r="K14" s="106" t="n"/>
      <c r="L14" s="27" t="n"/>
      <c r="M14" s="28" t="n"/>
      <c r="N14" s="28" t="n"/>
    </row>
    <row r="15" ht="26.1" customHeight="1" s="132">
      <c r="A15" s="112" t="inlineStr">
        <is>
          <t>n</t>
        </is>
      </c>
      <c r="B15" s="113" t="n">
        <v>6</v>
      </c>
      <c r="C15" s="114" t="n">
        <v>0</v>
      </c>
      <c r="D15" s="114" t="inlineStr">
        <is>
          <t>Call GetJointDesignList when no designs exist</t>
        </is>
      </c>
      <c r="E15" s="114" t="n"/>
      <c r="F15" s="114" t="n"/>
      <c r="G15" s="114" t="n"/>
      <c r="H15" s="114" t="n"/>
      <c r="I15" s="114" t="inlineStr">
        <is>
          <t>n</t>
        </is>
      </c>
      <c r="J15" s="114" t="inlineStr">
        <is>
          <t>OPC 40450-1 Section 11.1 CU-113</t>
        </is>
      </c>
      <c r="K15" s="115" t="n"/>
      <c r="L15" s="27" t="n"/>
      <c r="M15" s="28" t="n"/>
      <c r="N15" s="28" t="n"/>
    </row>
    <row r="16">
      <c r="A16" s="116" t="n"/>
      <c r="B16" s="117" t="n"/>
      <c r="C16" s="118" t="n">
        <v>1</v>
      </c>
      <c r="D16" s="118" t="inlineStr">
        <is>
          <t>Call GetJointDesignList(ProductInstanceUri) on an empty system.</t>
        </is>
      </c>
      <c r="E16" s="118" t="inlineStr">
        <is>
          <t>Server claims this Conformance Unit; no additional runtime setup is needed for this step.</t>
        </is>
      </c>
      <c r="F16" s="118" t="inlineStr">
        <is>
          <t>Returns Good with empty JointDesignDataType[] array.</t>
        </is>
      </c>
      <c r="G16" s="118" t="inlineStr">
        <is>
          <t>Good</t>
        </is>
      </c>
      <c r="H16" s="118" t="n"/>
      <c r="I16" s="118" t="n"/>
      <c r="J16" s="118" t="inlineStr">
        <is>
          <t>OPC 40450-1 Section 11.1 CU-113</t>
        </is>
      </c>
      <c r="K16" s="119" t="inlineStr">
        <is>
          <t>Requirement source: OPC 40450-1 Section 9.35 - Empty list valid.</t>
        </is>
      </c>
      <c r="L16" s="27" t="n"/>
      <c r="M16" s="28" t="n"/>
      <c r="N16" s="28" t="n"/>
    </row>
    <row r="17">
      <c r="A17" s="112" t="inlineStr">
        <is>
          <t>n</t>
        </is>
      </c>
      <c r="B17" s="113" t="n">
        <v>7</v>
      </c>
      <c r="C17" s="114" t="n">
        <v>0</v>
      </c>
      <c r="D17" s="114" t="inlineStr">
        <is>
          <t>[Optional helper - invalid ProductInstanceUri] Call GetJointDesignList with unknown ProductInstanceUri</t>
        </is>
      </c>
      <c r="E17" s="114" t="n"/>
      <c r="F17" s="114" t="n"/>
      <c r="G17" s="114" t="n"/>
      <c r="H17" s="114" t="n"/>
      <c r="I17" s="114" t="inlineStr">
        <is>
          <t>n</t>
        </is>
      </c>
      <c r="J17" s="114" t="inlineStr">
        <is>
          <t>OPC 40450-1 Section 11.1 CU-113</t>
        </is>
      </c>
      <c r="K17" s="115" t="n"/>
      <c r="L17" s="27" t="n"/>
      <c r="M17" s="28" t="n"/>
      <c r="N17" s="28" t="n"/>
    </row>
    <row r="18" ht="25.8" customHeight="1" s="132">
      <c r="A18" s="116" t="n"/>
      <c r="B18" s="117" t="n"/>
      <c r="C18" s="118" t="n">
        <v>1</v>
      </c>
      <c r="D18" s="118" t="inlineStr">
        <is>
          <t>Call GetJointDesignList(ProductInstanceUri="urn:unknown:asset").</t>
        </is>
      </c>
      <c r="E18" s="118" t="inlineStr">
        <is>
          <t>Server claims this Conformance Unit; no additional runtime setup is needed for this step.</t>
        </is>
      </c>
      <c r="F18" s="118" t="inlineStr">
        <is>
          <t>Call Service returns Good; method result code is Uncertain. Status output is 2 (ProductInstanceUri not found). StatusMessage explains the rejected input; no state change is performed.</t>
        </is>
      </c>
      <c r="G18" s="118" t="inlineStr">
        <is>
          <t>Good</t>
        </is>
      </c>
      <c r="H18" s="118" t="inlineStr">
        <is>
          <t>Uncertain; Status=2 output with StatusMessage</t>
        </is>
      </c>
      <c r="I18" s="118" t="n"/>
      <c r="J18" s="118" t="inlineStr">
        <is>
          <t>OPC 40450-1 Section 11.1 CU-113</t>
        </is>
      </c>
      <c r="K18" s="119" t="inlineStr">
        <is>
          <t>Requirement source: GetJointDesignList has ProductInstanceUri only; no date-range filter input.</t>
        </is>
      </c>
    </row>
    <row r="19" customFormat="1" s="138">
      <c r="A19" s="112" t="inlineStr">
        <is>
          <t>n</t>
        </is>
      </c>
      <c r="B19" s="110" t="n">
        <v>8</v>
      </c>
      <c r="C19" s="110" t="n">
        <v>0</v>
      </c>
      <c r="D19" s="110" t="inlineStr">
        <is>
          <t>Verify result includes mandatory JointDesignId field</t>
        </is>
      </c>
      <c r="E19" s="110" t="n"/>
      <c r="F19" s="110" t="n"/>
      <c r="G19" s="110" t="n"/>
      <c r="H19" s="110" t="n"/>
      <c r="I19" s="110" t="inlineStr">
        <is>
          <t>n</t>
        </is>
      </c>
      <c r="J19" s="110" t="inlineStr">
        <is>
          <t>OPC 40450-1 Section 11.1 CU-113</t>
        </is>
      </c>
      <c r="K19" s="115" t="n"/>
    </row>
    <row r="20">
      <c r="A20" s="120" t="n"/>
      <c r="B20" s="121" t="n"/>
      <c r="C20" s="122" t="n">
        <v>1</v>
      </c>
      <c r="D20" s="122" t="inlineStr">
        <is>
          <t>Call and inspect results.</t>
        </is>
      </c>
      <c r="E20" s="122" t="inlineStr">
        <is>
          <t>Server claims this Conformance Unit; no additional runtime setup is needed for this step.</t>
        </is>
      </c>
      <c r="F20" s="122" t="inlineStr">
        <is>
          <t>Each JointDesignDataType result has non-empty JointDesignId. Optional fields are valid when present.</t>
        </is>
      </c>
      <c r="G20" s="122" t="inlineStr">
        <is>
          <t>Good</t>
        </is>
      </c>
      <c r="H20" s="122" t="n"/>
      <c r="I20" s="122" t="n"/>
      <c r="J20" s="122" t="inlineStr">
        <is>
          <t>OPC 40450-1 Section 11.1 CU-113</t>
        </is>
      </c>
      <c r="K20" s="123" t="inlineStr">
        <is>
          <t>Requirement source: OPC 40450-1 Section 9.35 - JointDesignId mandatory.</t>
        </is>
      </c>
    </row>
  </sheetData>
  <mergeCells count="2">
    <mergeCell ref="A1:K1"/>
    <mergeCell ref="C2:J2"/>
  </mergeCells>
  <pageMargins left="0.7" right="0.7" top="0.75" bottom="0.75" header="0.3" footer="0.3"/>
</worksheet>
</file>

<file path=xl/worksheets/sheet120.xml><?xml version="1.0" encoding="utf-8"?>
<worksheet xmlns="http://schemas.openxmlformats.org/spreadsheetml/2006/main">
  <sheetPr codeName="Sheet10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CU-113: Get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CU-113 — Get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GJD-1: Browse MethodSet for GetJointDesign; verify Executable=True</t>
        </is>
      </c>
      <c r="E4" s="58" t="n"/>
      <c r="F4" s="58" t="n"/>
      <c r="G4" s="58" t="n"/>
      <c r="H4" s="58" t="n"/>
      <c r="I4" s="58" t="inlineStr">
        <is>
          <t>n</t>
        </is>
      </c>
      <c r="J4" s="58" t="inlineStr">
        <is>
          <t>OPC 40450-1 Section 11.1 CU-114</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 Method node. Read Executable and UserExecutable attributes.</t>
        </is>
      </c>
      <c r="E5" s="105" t="inlineStr">
        <is>
          <t>IJT server running. JointManagement.MethodSet accessible.</t>
        </is>
      </c>
      <c r="F5" s="105" t="inlineStr">
        <is>
          <t>GetJointDesign found. Executable = True. UserExecutable = True.</t>
        </is>
      </c>
      <c r="G5" s="105" t="inlineStr">
        <is>
          <t>Good</t>
        </is>
      </c>
      <c r="H5" s="105" t="inlineStr">
        <is>
          <t>GetJointDesign found; Executable=True; UserExecutable=True</t>
        </is>
      </c>
      <c r="I5" s="105" t="n"/>
      <c r="J5" s="105" t="inlineStr">
        <is>
          <t>OPC 40450-1 Section 11.1 CU-114</t>
        </is>
      </c>
      <c r="K5" s="106" t="n"/>
      <c r="L5" s="27" t="n"/>
      <c r="M5" s="28" t="n"/>
      <c r="N5" s="28" t="n"/>
    </row>
    <row r="6" ht="26.1" customHeight="1" s="132">
      <c r="A6" s="56" t="inlineStr">
        <is>
          <t>y</t>
        </is>
      </c>
      <c r="B6" s="57" t="n">
        <v>2</v>
      </c>
      <c r="C6" s="58" t="n">
        <v>0</v>
      </c>
      <c r="D6" s="58" t="inlineStr">
        <is>
          <t>GJD-2: SendJointDesign then GetJointDesign with that ID; verify returned data matches</t>
        </is>
      </c>
      <c r="E6" s="58" t="n"/>
      <c r="F6" s="58" t="n"/>
      <c r="G6" s="58" t="n"/>
      <c r="H6" s="58" t="n"/>
      <c r="I6" s="58" t="inlineStr">
        <is>
          <t>n</t>
        </is>
      </c>
      <c r="J6" s="58" t="inlineStr">
        <is>
          <t>OPC 40450-1 Section 11.1 CU-114</t>
        </is>
      </c>
      <c r="K6" s="74" t="n"/>
      <c r="L6" s="27" t="n"/>
      <c r="M6" s="28" t="n"/>
      <c r="N6" s="28" t="n"/>
    </row>
    <row r="7" ht="39" customHeight="1" s="132">
      <c r="A7" s="103" t="n"/>
      <c r="B7" s="104" t="n"/>
      <c r="C7" s="105" t="n">
        <v>1</v>
      </c>
      <c r="D7" s="105" t="inlineStr">
        <is>
          <t>Call SendJointDesign with JointDesignId="DESIGN-GJD-002" and known optional JointDesignContent. Then call GetJointDesign(ProductInstanceUri, JointDesignId="DESIGN-GJD-002").</t>
        </is>
      </c>
      <c r="E7" s="105" t="inlineStr">
        <is>
          <t>SendJointDesign and GetJointDesign both executable.</t>
        </is>
      </c>
      <c r="F7" s="105" t="inlineStr">
        <is>
          <t>GetJointDesign returns JointDesignDataType with JointDesignId="DESIGN-GJD-002" and content matching what was sent. Round-trip fidelity confirmed.</t>
        </is>
      </c>
      <c r="G7" s="105" t="inlineStr">
        <is>
          <t>Good</t>
        </is>
      </c>
      <c r="H7" s="105" t="inlineStr">
        <is>
          <t>Returned JointDesignDataType matches sent data; JointDesignId and content verified</t>
        </is>
      </c>
      <c r="I7" s="105" t="n"/>
      <c r="J7" s="105" t="inlineStr">
        <is>
          <t>OPC 40450-1 Section 11.1 CU-114</t>
        </is>
      </c>
      <c r="K7" s="106" t="n"/>
      <c r="L7" s="27" t="n"/>
      <c r="M7" s="28" t="n"/>
      <c r="N7" s="28" t="n"/>
    </row>
    <row r="8" ht="39" customHeight="1" s="132">
      <c r="A8" s="56" t="inlineStr">
        <is>
          <t>y</t>
        </is>
      </c>
      <c r="B8" s="57" t="n">
        <v>3</v>
      </c>
      <c r="C8" s="58" t="n">
        <v>0</v>
      </c>
      <c r="D8" s="58" t="inlineStr">
        <is>
          <t>GJD-3: Verify returned JointDesignDataType has mandatory JointDesignId and valid optional fields</t>
        </is>
      </c>
      <c r="E8" s="58" t="n"/>
      <c r="F8" s="58" t="n"/>
      <c r="G8" s="58" t="n"/>
      <c r="H8" s="58" t="n"/>
      <c r="I8" s="58" t="inlineStr">
        <is>
          <t>n</t>
        </is>
      </c>
      <c r="J8" s="58" t="inlineStr">
        <is>
          <t>OPC 40450-1 Section 11.1 CU-114</t>
        </is>
      </c>
      <c r="K8" s="74" t="n"/>
      <c r="L8" s="27" t="n"/>
      <c r="M8" s="28" t="n"/>
      <c r="N8" s="28" t="n"/>
    </row>
    <row r="9" ht="35.1" customHeight="1" s="132">
      <c r="A9" s="103" t="n"/>
      <c r="B9" s="104" t="n"/>
      <c r="C9" s="105" t="n">
        <v>1</v>
      </c>
      <c r="D9" s="105" t="inlineStr">
        <is>
          <t>From GJD-2 response, inspect the returned JointDesignDataType. Verify mandatory JointDesignId and optional fields when present.</t>
        </is>
      </c>
      <c r="E9" s="105" t="inlineStr">
        <is>
          <t>GJD-2 completed successfully.</t>
        </is>
      </c>
      <c r="F9" s="105" t="inlineStr">
        <is>
          <t>Each returned JointDesignDataType contains the CU-required fields JointDesignId and JointDesignContent.</t>
        </is>
      </c>
      <c r="G9" s="105" t="inlineStr">
        <is>
          <t>Good</t>
        </is>
      </c>
      <c r="H9" s="105" t="inlineStr">
        <is>
          <t>JointDesignId present; JointDesignContent present</t>
        </is>
      </c>
      <c r="I9" s="105" t="n"/>
      <c r="J9" s="105" t="inlineStr">
        <is>
          <t>OPC 40450-1 Section 11.1 CU-114</t>
        </is>
      </c>
      <c r="K9" s="106" t="n"/>
      <c r="L9" s="27" t="n"/>
      <c r="M9" s="28" t="n"/>
      <c r="N9" s="28" t="n"/>
    </row>
    <row r="10" ht="39" customHeight="1" s="132">
      <c r="A10" s="56" t="inlineStr">
        <is>
          <t>y</t>
        </is>
      </c>
      <c r="B10" s="57" t="n">
        <v>5</v>
      </c>
      <c r="C10" s="58" t="n">
        <v>0</v>
      </c>
      <c r="D10" s="58" t="inlineStr">
        <is>
          <t>GJD-5: Verify GetJointDesign returns latest version after SendJointDesign update</t>
        </is>
      </c>
      <c r="E10" s="58" t="n"/>
      <c r="F10" s="58" t="n"/>
      <c r="G10" s="58" t="n"/>
      <c r="H10" s="58" t="n"/>
      <c r="I10" s="58" t="inlineStr">
        <is>
          <t>n</t>
        </is>
      </c>
      <c r="J10" s="58" t="inlineStr">
        <is>
          <t>OPC 40450-1 Section 11.1 CU-114</t>
        </is>
      </c>
      <c r="K10" s="74" t="n"/>
      <c r="L10" s="27" t="n"/>
      <c r="M10" s="28" t="n"/>
      <c r="N10" s="28" t="n"/>
    </row>
    <row r="11" ht="26.1" customHeight="1" s="132">
      <c r="A11" s="103" t="n"/>
      <c r="B11" s="104" t="n"/>
      <c r="C11" s="105" t="n">
        <v>1</v>
      </c>
      <c r="D11" s="105" t="inlineStr">
        <is>
          <t>Call SendJointDesign with JointDesignId="DESIGN-GJD-002" and modified content. Then call GetJointDesign(ProductInstanceUri, JointDesignId="DESIGN-GJD-002").</t>
        </is>
      </c>
      <c r="E11" s="105" t="inlineStr">
        <is>
          <t>"DESIGN-GJD-002" already stored from GJD-2. SendJointDesign executable.</t>
        </is>
      </c>
      <c r="F11" s="105" t="inlineStr">
        <is>
          <t>GetJointDesign returns the updated JointDesignContent, not the original. Server maintains the latest version.</t>
        </is>
      </c>
      <c r="G11" s="105" t="inlineStr">
        <is>
          <t>Good</t>
        </is>
      </c>
      <c r="H11" s="105" t="inlineStr">
        <is>
          <t>GetJointDesign returns updated content after SendJointDesign re-send</t>
        </is>
      </c>
      <c r="I11" s="105" t="n"/>
      <c r="J11" s="105" t="inlineStr">
        <is>
          <t>OPC 40450-1 Section 11.1 CU-114</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GJD-4 (error): Call GetJointDesign with non-existent JointDesignId; verify Uncertain with Status=4</t>
        </is>
      </c>
      <c r="E13" s="97" t="n"/>
      <c r="F13" s="97" t="n"/>
      <c r="G13" s="97" t="n"/>
      <c r="H13" s="97" t="n"/>
      <c r="I13" s="97" t="inlineStr">
        <is>
          <t>n</t>
        </is>
      </c>
      <c r="J13" s="97" t="inlineStr">
        <is>
          <t>OPC 40450-1 Section 11.1 CU-114</t>
        </is>
      </c>
      <c r="K13" s="98" t="n"/>
      <c r="L13" s="27" t="n"/>
      <c r="M13" s="28" t="n"/>
      <c r="N13" s="28" t="n"/>
    </row>
    <row r="14" ht="26.1" customHeight="1" s="132">
      <c r="A14" s="103" t="n"/>
      <c r="B14" s="104" t="n"/>
      <c r="C14" s="105" t="n">
        <v>1</v>
      </c>
      <c r="D14" s="105" t="inlineStr">
        <is>
          <t>Call GetJointDesign(ProductInstanceUri, JointDesignId="DESIGN-UNKNOWN-999").</t>
        </is>
      </c>
      <c r="E14" s="105" t="inlineStr">
        <is>
          <t>GetJointDesign executable. Specified JointDesignId not stored.</t>
        </is>
      </c>
      <c r="F14" s="105" t="inlineStr">
        <is>
          <t>Call Service returns Good; method result code is Uncertain. Status output is 4 (input identifier/entity not found). StatusMessage explains the rejected input; no state change is performed.</t>
        </is>
      </c>
      <c r="G14" s="105" t="inlineStr">
        <is>
          <t>Good</t>
        </is>
      </c>
      <c r="H14" s="105" t="inlineStr">
        <is>
          <t>Uncertain; Status=4 output with StatusMessage</t>
        </is>
      </c>
      <c r="I14" s="105" t="n"/>
      <c r="J14" s="105" t="inlineStr">
        <is>
          <t>OPC 40450-1 Section 11.1 CU-114</t>
        </is>
      </c>
      <c r="K14" s="106" t="n"/>
      <c r="L14" s="27" t="n"/>
      <c r="M14" s="28" t="n"/>
      <c r="N14" s="28" t="n"/>
    </row>
    <row r="15" ht="26.1" customHeight="1" s="132">
      <c r="A15" s="112" t="inlineStr">
        <is>
          <t>n</t>
        </is>
      </c>
      <c r="B15" s="113" t="n">
        <v>5</v>
      </c>
      <c r="C15" s="114" t="n">
        <v>0</v>
      </c>
      <c r="D15" s="114" t="inlineStr">
        <is>
          <t>Call GetJointDesign with non-existent JointDesignId</t>
        </is>
      </c>
      <c r="E15" s="114" t="n"/>
      <c r="F15" s="114" t="n"/>
      <c r="G15" s="114" t="n"/>
      <c r="H15" s="114" t="n"/>
      <c r="I15" s="114" t="inlineStr">
        <is>
          <t>n</t>
        </is>
      </c>
      <c r="J15" s="114" t="inlineStr">
        <is>
          <t>OPC 40450-1 Section 11.1 CU-114</t>
        </is>
      </c>
      <c r="K15" s="115" t="n"/>
      <c r="L15" s="27" t="n"/>
      <c r="M15" s="28" t="n"/>
      <c r="N15" s="28" t="n"/>
    </row>
    <row r="16">
      <c r="A16" s="116" t="n"/>
      <c r="B16" s="117" t="n"/>
      <c r="C16" s="118" t="n">
        <v>1</v>
      </c>
      <c r="D16" s="118" t="inlineStr">
        <is>
          <t>Call GetJointDesign(ProductInstanceUri, fabricated JointDesignId).</t>
        </is>
      </c>
      <c r="E16" s="118" t="inlineStr">
        <is>
          <t>Server claims this Conformance Unit; no additional runtime setup is needed for this step.</t>
        </is>
      </c>
      <c r="F16" s="118" t="inlineStr">
        <is>
          <t>Call Service returns Good; method result code is Uncertain. Status output is 4 (input identifier/entity not found). StatusMessage explains the rejected input; no state change is performed.</t>
        </is>
      </c>
      <c r="G16" s="118" t="inlineStr">
        <is>
          <t>Good</t>
        </is>
      </c>
      <c r="H16" s="118" t="inlineStr">
        <is>
          <t>Uncertain; Status=4 output with StatusMessage</t>
        </is>
      </c>
      <c r="I16" s="118" t="n"/>
      <c r="J16" s="118" t="inlineStr">
        <is>
          <t>OPC 40450-1 Section 11.1 CU-114</t>
        </is>
      </c>
      <c r="K16" s="119" t="inlineStr">
        <is>
          <t>Requirement source: OPC 40450-1 Section 9.36 - Must exist.</t>
        </is>
      </c>
      <c r="L16" s="27" t="n"/>
      <c r="M16" s="28" t="n"/>
      <c r="N16" s="28" t="n"/>
    </row>
    <row r="17">
      <c r="A17" s="112" t="inlineStr">
        <is>
          <t>n</t>
        </is>
      </c>
      <c r="B17" s="113" t="n">
        <v>6</v>
      </c>
      <c r="C17" s="114" t="n">
        <v>0</v>
      </c>
      <c r="D17" s="114" t="inlineStr">
        <is>
          <t>Call GetJointDesign with empty JointDesignId</t>
        </is>
      </c>
      <c r="E17" s="114" t="n"/>
      <c r="F17" s="114" t="n"/>
      <c r="G17" s="114" t="n"/>
      <c r="H17" s="114" t="n"/>
      <c r="I17" s="114" t="inlineStr">
        <is>
          <t>n</t>
        </is>
      </c>
      <c r="J17" s="114" t="inlineStr">
        <is>
          <t>OPC 40450-1 Section 11.1 CU-114</t>
        </is>
      </c>
      <c r="K17" s="115" t="n"/>
      <c r="L17" s="27" t="n"/>
      <c r="M17" s="28" t="n"/>
      <c r="N17" s="28" t="n"/>
    </row>
    <row r="18" ht="25.8" customHeight="1" s="132">
      <c r="A18" s="116" t="n"/>
      <c r="B18" s="117" t="n"/>
      <c r="C18" s="118" t="n">
        <v>1</v>
      </c>
      <c r="D18" s="118" t="inlineStr">
        <is>
          <t>Call GetJointDesign(ProductInstanceUri, JointDesignId='').</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CU-114</t>
        </is>
      </c>
      <c r="K18" s="119" t="inlineStr">
        <is>
          <t>Requirement source: OPC 40450-1 Section 9.36 - Empty string invalid.</t>
        </is>
      </c>
    </row>
    <row r="19" customFormat="1" s="138">
      <c r="A19" s="112" t="inlineStr">
        <is>
          <t>n</t>
        </is>
      </c>
      <c r="B19" s="110" t="n">
        <v>7</v>
      </c>
      <c r="C19" s="110" t="n">
        <v>0</v>
      </c>
      <c r="D19" s="110" t="inlineStr">
        <is>
          <t>Verify result includes JointComponentIdList when configured</t>
        </is>
      </c>
      <c r="E19" s="110" t="n"/>
      <c r="F19" s="110" t="n"/>
      <c r="G19" s="110" t="n"/>
      <c r="H19" s="110" t="n"/>
      <c r="I19" s="110" t="inlineStr">
        <is>
          <t>n</t>
        </is>
      </c>
      <c r="J19" s="110" t="inlineStr">
        <is>
          <t>OPC 40450-1 Section 11.1 CU-114</t>
        </is>
      </c>
      <c r="K19" s="115" t="n"/>
    </row>
    <row r="20">
      <c r="A20" s="120" t="n"/>
      <c r="B20" s="121" t="n"/>
      <c r="C20" s="122" t="n">
        <v>1</v>
      </c>
      <c r="D20" s="122" t="inlineStr">
        <is>
          <t>Call for design with linked components.</t>
        </is>
      </c>
      <c r="E20" s="122" t="inlineStr">
        <is>
          <t>Server claims this Conformance Unit; no additional runtime setup is needed for this step.</t>
        </is>
      </c>
      <c r="F20" s="122" t="inlineStr">
        <is>
          <t>If JointComponentIdList is present, entries are TrimmedString values and can be resolved with GetJointComponent when the component methods are supported.</t>
        </is>
      </c>
      <c r="G20" s="122" t="inlineStr">
        <is>
          <t>Good</t>
        </is>
      </c>
      <c r="H20" s="122" t="n"/>
      <c r="I20" s="122" t="n"/>
      <c r="J20" s="122" t="inlineStr">
        <is>
          <t>OPC 40450-1 Section 11.1 CU-114</t>
        </is>
      </c>
      <c r="K20" s="123" t="inlineStr">
        <is>
          <t>Requirement source: OPC 40450-1 Section 9.36 - Full data returned.</t>
        </is>
      </c>
    </row>
  </sheetData>
  <mergeCells count="2">
    <mergeCell ref="A1:K1"/>
    <mergeCell ref="C2:J2"/>
  </mergeCells>
  <pageMargins left="0.7" right="0.7" top="0.75" bottom="0.75" header="0.3" footer="0.3"/>
</worksheet>
</file>

<file path=xl/worksheets/sheet121.xml><?xml version="1.0" encoding="utf-8"?>
<worksheet xmlns="http://schemas.openxmlformats.org/spreadsheetml/2006/main">
  <sheetPr codeName="Sheet10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CU-114: Joint Design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CU-114 — Joint Design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JDD-1: Verify JointDesignId is a non-empty unique String per design</t>
        </is>
      </c>
      <c r="E4" s="58" t="n"/>
      <c r="F4" s="58" t="n"/>
      <c r="G4" s="58" t="n"/>
      <c r="H4" s="58" t="n"/>
      <c r="I4" s="58" t="inlineStr">
        <is>
          <t>n</t>
        </is>
      </c>
      <c r="J4" s="58" t="inlineStr">
        <is>
          <t>OPC 40450-1 Section 11.1 CU-115</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joint designs with distinct JointDesignIds. Call GetJointDesignList(ProductInstanceUri) and inspect each JointDesignDataType entry.</t>
        </is>
      </c>
      <c r="E5" s="108" t="inlineStr">
        <is>
          <t>Multiple joint designs stored. GetJointDesignList executable.</t>
        </is>
      </c>
      <c r="F5" s="108" t="inlineStr">
        <is>
          <t>All JointDesignDataType entries have non-empty JointDesignId values. No two designs share the same JointDesignId.</t>
        </is>
      </c>
      <c r="G5" s="108" t="inlineStr">
        <is>
          <t>Good</t>
        </is>
      </c>
      <c r="H5" s="108" t="inlineStr">
        <is>
          <t>All JointDesignIds non-empty and unique; no duplicates in JointDesignDataType[]</t>
        </is>
      </c>
      <c r="I5" s="108" t="n"/>
      <c r="J5" s="108" t="inlineStr">
        <is>
          <t>OPC 40450-1 Section 11.1 CU-115</t>
        </is>
      </c>
      <c r="K5" s="109" t="n"/>
    </row>
    <row r="6" ht="25.8" customHeight="1" s="132">
      <c r="A6" s="70" t="inlineStr">
        <is>
          <t>y</t>
        </is>
      </c>
      <c r="B6" s="71" t="n">
        <v>2</v>
      </c>
      <c r="C6" s="72" t="n">
        <v>0</v>
      </c>
      <c r="D6" s="72" t="inlineStr">
        <is>
          <t>JDD-2: Verify JointDesignContent is present and valid</t>
        </is>
      </c>
      <c r="E6" s="72" t="n"/>
      <c r="F6" s="72" t="n"/>
      <c r="G6" s="72" t="n"/>
      <c r="H6" s="72" t="n"/>
      <c r="I6" s="72" t="inlineStr">
        <is>
          <t>n</t>
        </is>
      </c>
      <c r="J6" s="72" t="inlineStr">
        <is>
          <t>OPC 40450-1 Section 11.1 CU-115</t>
        </is>
      </c>
      <c r="K6" s="73" t="n"/>
    </row>
    <row r="7" ht="35.1" customHeight="1" s="132">
      <c r="A7" s="108" t="n"/>
      <c r="B7" s="108" t="n"/>
      <c r="C7" s="108" t="n">
        <v>1</v>
      </c>
      <c r="D7" s="108" t="inlineStr">
        <is>
          <t>Call GetJointDesign for a stored design. Inspect JointDesignContent.</t>
        </is>
      </c>
      <c r="E7" s="108" t="inlineStr">
        <is>
          <t>At least one joint design stored with known content.</t>
        </is>
      </c>
      <c r="F7" s="108" t="inlineStr">
        <is>
          <t>Each returned JointDesignDataType contains the CU-required fields JointDesignId and JointDesignContent.</t>
        </is>
      </c>
      <c r="G7" s="108" t="inlineStr">
        <is>
          <t>Good</t>
        </is>
      </c>
      <c r="H7" s="108" t="inlineStr">
        <is>
          <t>JointDesignId present; JointDesignContent present</t>
        </is>
      </c>
      <c r="I7" s="108" t="n"/>
      <c r="J7" s="108" t="inlineStr">
        <is>
          <t>OPC 40450-1 Section 11.1 CU-115</t>
        </is>
      </c>
      <c r="K7" s="108" t="n"/>
    </row>
    <row r="8" ht="25.8" customHeight="1" s="132">
      <c r="A8" s="67" t="inlineStr">
        <is>
          <t>y</t>
        </is>
      </c>
      <c r="B8" s="67" t="n">
        <v>3</v>
      </c>
      <c r="C8" s="67" t="n">
        <v>0</v>
      </c>
      <c r="D8" s="67" t="inlineStr">
        <is>
          <t>JDD-3: Verify JointDesignId uniqueness across all entries in GetJointDesignList</t>
        </is>
      </c>
      <c r="E8" s="67" t="n"/>
      <c r="F8" s="67" t="n"/>
      <c r="G8" s="67" t="n"/>
      <c r="H8" s="67" t="n"/>
      <c r="I8" s="67" t="inlineStr">
        <is>
          <t>n</t>
        </is>
      </c>
      <c r="J8" s="67" t="inlineStr">
        <is>
          <t>OPC 40450-1 Section 11.1 CU-115</t>
        </is>
      </c>
      <c r="K8" s="67" t="n"/>
    </row>
    <row r="9" ht="46.8" customHeight="1" s="132">
      <c r="A9" s="108" t="n"/>
      <c r="B9" s="108" t="n"/>
      <c r="C9" s="108" t="n">
        <v>1</v>
      </c>
      <c r="D9" s="108" t="inlineStr">
        <is>
          <t>Call GetJointDesignList(ProductInstanceUri) and load the full JointDesignDataType[] array. Check all JointDesignId values for duplicates.</t>
        </is>
      </c>
      <c r="E9" s="108" t="inlineStr">
        <is>
          <t>Multiple joint designs stored. GetJointDesignList executable.</t>
        </is>
      </c>
      <c r="F9" s="108" t="inlineStr">
        <is>
          <t>No duplicate JointDesignId values appear in the returned JointDesignDataType[] list. Server enforces uniqueness.</t>
        </is>
      </c>
      <c r="G9" s="108" t="inlineStr">
        <is>
          <t>Good</t>
        </is>
      </c>
      <c r="H9" s="108" t="inlineStr">
        <is>
          <t>GetJointDesignList contains no duplicate JointDesignId values</t>
        </is>
      </c>
      <c r="I9" s="108" t="n"/>
      <c r="J9" s="108" t="inlineStr">
        <is>
          <t>OPC 40450-1 Section 11.1 CU-115</t>
        </is>
      </c>
      <c r="K9" s="108" t="n"/>
    </row>
    <row r="10" ht="25.8" customHeight="1" s="132">
      <c r="A10" s="67" t="inlineStr">
        <is>
          <t>y</t>
        </is>
      </c>
      <c r="B10" s="67" t="n">
        <v>5</v>
      </c>
      <c r="C10" s="67" t="n">
        <v>0</v>
      </c>
      <c r="D10" s="67" t="inlineStr">
        <is>
          <t>JDD-5: Verify design content can include DesignValueDataType entries</t>
        </is>
      </c>
      <c r="E10" s="67" t="n"/>
      <c r="F10" s="67" t="n"/>
      <c r="G10" s="67" t="n"/>
      <c r="H10" s="67" t="n"/>
      <c r="I10" s="67" t="inlineStr">
        <is>
          <t>n</t>
        </is>
      </c>
      <c r="J10" s="67" t="inlineStr">
        <is>
          <t>OPC 40450-1 Section 11.1 CU-115</t>
        </is>
      </c>
      <c r="K10" s="67" t="n"/>
    </row>
    <row r="11" ht="46.8" customHeight="1" s="132">
      <c r="A11" s="108" t="n"/>
      <c r="B11" s="108" t="n"/>
      <c r="C11" s="108" t="n">
        <v>1</v>
      </c>
      <c r="D11" s="108" t="inlineStr">
        <is>
          <t>Construct JointDesignContent with DesignValueDataType entries such as torque and angle targets. Call SendJointDesign then GetJointDesign and verify values are preserved.</t>
        </is>
      </c>
      <c r="E11" s="108" t="inlineStr">
        <is>
          <t>SendJointDesign and GetJointDesign executable.</t>
        </is>
      </c>
      <c r="F11" s="108" t="inlineStr">
        <is>
          <t>Retrieved JointDesignContent preserves the sent DesignValueDataType entries used by the design.</t>
        </is>
      </c>
      <c r="G11" s="108" t="inlineStr">
        <is>
          <t>Good</t>
        </is>
      </c>
      <c r="H11" s="108" t="inlineStr">
        <is>
          <t>DesignValueDataType entries preserved in round-trip</t>
        </is>
      </c>
      <c r="I11" s="108" t="n"/>
      <c r="J11" s="108" t="inlineStr">
        <is>
          <t>OPC 40450-1 Section 11.1 CU-115</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JDD-4 (error): SendJointDesign with duplicate JointDesignId but different content; verify Good or appropriate error</t>
        </is>
      </c>
      <c r="E13" s="69" t="n"/>
      <c r="F13" s="69" t="n"/>
      <c r="G13" s="69" t="n"/>
      <c r="H13" s="69" t="n"/>
      <c r="I13" s="69" t="inlineStr">
        <is>
          <t>n</t>
        </is>
      </c>
      <c r="J13" s="69" t="inlineStr">
        <is>
          <t>OPC 40450-1 Section 11.1 CU-115</t>
        </is>
      </c>
      <c r="K13" s="69" t="n"/>
    </row>
    <row r="14" ht="58.5" customHeight="1" s="132">
      <c r="A14" s="108" t="n"/>
      <c r="B14" s="108" t="n"/>
      <c r="C14" s="108" t="n">
        <v>1</v>
      </c>
      <c r="D14" s="108" t="inlineStr">
        <is>
          <t>Store "DESIGN-001" with one set of content. Call SendJointDesign again with JointDesignId="DESIGN-001" and different content.</t>
        </is>
      </c>
      <c r="E14" s="108" t="inlineStr">
        <is>
          <t>"DESIGN-001" already stored. SendJointDesign executable.</t>
        </is>
      </c>
      <c r="F14" s="108" t="inlineStr">
        <is>
          <t>Server returns Good and updates the stored design (update semantic), or returns an appropriate error. No undefined behaviour.</t>
        </is>
      </c>
      <c r="G14" s="108" t="inlineStr">
        <is>
          <t>Good</t>
        </is>
      </c>
      <c r="H14" s="108" t="inlineStr">
        <is>
          <t>Server accepts update (Good) or appropriate error; behaviour consistent with spec semantics</t>
        </is>
      </c>
      <c r="I14" s="108" t="n"/>
      <c r="J14" s="108" t="inlineStr">
        <is>
          <t>OPC 40450-1 Section 11.1 CU-115</t>
        </is>
      </c>
      <c r="K14" s="108" t="inlineStr">
        <is>
          <t>Document observed behaviour; both Good (update) and error are acceptable per implementation</t>
        </is>
      </c>
    </row>
    <row r="15">
      <c r="A15" s="110" t="inlineStr">
        <is>
          <t>n</t>
        </is>
      </c>
      <c r="B15" s="110" t="n">
        <v>5</v>
      </c>
      <c r="C15" s="110" t="n">
        <v>0</v>
      </c>
      <c r="D15" s="110" t="inlineStr">
        <is>
          <t>Verify JointDesignId is non-empty in all instances</t>
        </is>
      </c>
      <c r="E15" s="110" t="n"/>
      <c r="F15" s="110" t="n"/>
      <c r="G15" s="110" t="n"/>
      <c r="H15" s="110" t="n"/>
      <c r="I15" s="110" t="inlineStr">
        <is>
          <t>n</t>
        </is>
      </c>
      <c r="J15" s="110" t="inlineStr">
        <is>
          <t>OPC 40450-1 Section 11.1 CU-115</t>
        </is>
      </c>
      <c r="K15" s="110" t="n"/>
    </row>
    <row r="16">
      <c r="A16" s="111" t="n"/>
      <c r="B16" s="111" t="n"/>
      <c r="C16" s="111" t="n">
        <v>1</v>
      </c>
      <c r="D16" s="111" t="inlineStr">
        <is>
          <t>Inspect JointDesignDataType instances.</t>
        </is>
      </c>
      <c r="E16" s="111" t="inlineStr">
        <is>
          <t>Server claims this Conformance Unit; no additional runtime setup is needed for this step.</t>
        </is>
      </c>
      <c r="F16" s="111" t="inlineStr">
        <is>
          <t>All JointDesignId values non-empty.</t>
        </is>
      </c>
      <c r="G16" s="111" t="inlineStr">
        <is>
          <t>Good</t>
        </is>
      </c>
      <c r="H16" s="111" t="n"/>
      <c r="I16" s="111" t="n"/>
      <c r="J16" s="111" t="inlineStr">
        <is>
          <t>OPC 40450-1 Section 11.1 CU-115</t>
        </is>
      </c>
      <c r="K16" s="111" t="inlineStr">
        <is>
          <t>Requirement source: OPC 40450-1 Section 10.15 - JointDesignId mandatory.</t>
        </is>
      </c>
    </row>
    <row r="17">
      <c r="A17" s="110" t="inlineStr">
        <is>
          <t>n</t>
        </is>
      </c>
      <c r="B17" s="110" t="n">
        <v>6</v>
      </c>
      <c r="C17" s="110" t="n">
        <v>0</v>
      </c>
      <c r="D17" s="110" t="inlineStr">
        <is>
          <t>Verify JointComponentIdList entries reference valid components</t>
        </is>
      </c>
      <c r="E17" s="110" t="n"/>
      <c r="F17" s="110" t="n"/>
      <c r="G17" s="110" t="n"/>
      <c r="H17" s="110" t="n"/>
      <c r="I17" s="110" t="inlineStr">
        <is>
          <t>n</t>
        </is>
      </c>
      <c r="J17" s="110" t="inlineStr">
        <is>
          <t>OPC 40450-1 Section 11.1 CU-115</t>
        </is>
      </c>
      <c r="K17" s="110" t="n"/>
    </row>
    <row r="18">
      <c r="A18" s="111" t="n"/>
      <c r="B18" s="111" t="n"/>
      <c r="C18" s="111" t="n">
        <v>1</v>
      </c>
      <c r="D18" s="111" t="inlineStr">
        <is>
          <t>If JointComponentIdList is present, try GetJointComponent for each ID.</t>
        </is>
      </c>
      <c r="E18" s="111" t="inlineStr">
        <is>
          <t>Server claims this Conformance Unit; no additional runtime setup is needed for this step.</t>
        </is>
      </c>
      <c r="F18" s="111" t="inlineStr">
        <is>
          <t>Each ID resolves to valid JointComponent.</t>
        </is>
      </c>
      <c r="G18" s="111" t="inlineStr">
        <is>
          <t>Good</t>
        </is>
      </c>
      <c r="H18" s="111" t="n"/>
      <c r="I18" s="111" t="n"/>
      <c r="J18" s="111" t="inlineStr">
        <is>
          <t>OPC 40450-1 Section 11.1 CU-115</t>
        </is>
      </c>
      <c r="K18" s="111" t="inlineStr">
        <is>
          <t>Requirement source: OPC 40450-1 Section 10.15 - Referential integrity.</t>
        </is>
      </c>
    </row>
    <row r="19">
      <c r="A19" s="110" t="inlineStr">
        <is>
          <t>n</t>
        </is>
      </c>
      <c r="B19" s="110" t="n">
        <v>7</v>
      </c>
      <c r="C19" s="110" t="n">
        <v>0</v>
      </c>
      <c r="D19" s="110" t="inlineStr">
        <is>
          <t>Verify DesignValues have valid PhysicalQuantity (0-28)</t>
        </is>
      </c>
      <c r="E19" s="110" t="n"/>
      <c r="F19" s="110" t="n"/>
      <c r="G19" s="110" t="n"/>
      <c r="H19" s="110" t="n"/>
      <c r="I19" s="110" t="inlineStr">
        <is>
          <t>n</t>
        </is>
      </c>
      <c r="J19" s="110" t="inlineStr">
        <is>
          <t>OPC 40450-1 Section 11.1 CU-115</t>
        </is>
      </c>
      <c r="K19" s="110" t="n"/>
    </row>
    <row r="20">
      <c r="A20" s="111" t="n"/>
      <c r="B20" s="111" t="n"/>
      <c r="C20" s="111" t="n">
        <v>1</v>
      </c>
      <c r="D20" s="111" t="inlineStr">
        <is>
          <t>Check DesignValueDataType entries in JointDesignContent when present.</t>
        </is>
      </c>
      <c r="E20" s="111" t="inlineStr">
        <is>
          <t>Server claims this Conformance Unit and provides JointDesignContent with DesignValueDataType entries.</t>
        </is>
      </c>
      <c r="F20" s="111" t="inlineStr">
        <is>
          <t>All PhysicalQuantity values in JointDesignContent DesignValueDataType entries are in 0..28.</t>
        </is>
      </c>
      <c r="G20" s="111" t="inlineStr">
        <is>
          <t>Good</t>
        </is>
      </c>
      <c r="H20" s="111" t="n"/>
      <c r="I20" s="111" t="n"/>
      <c r="J20" s="111" t="inlineStr">
        <is>
          <t>OPC 40450-1 Section 11.1 CU-115</t>
        </is>
      </c>
      <c r="K20" s="111" t="inlineStr">
        <is>
          <t>Requirement source: OPC 40450-1 Table 215 - PhysicalQuantity range.</t>
        </is>
      </c>
    </row>
  </sheetData>
  <mergeCells count="2">
    <mergeCell ref="A1:K1"/>
    <mergeCell ref="C2:J2"/>
  </mergeCells>
  <pageMargins left="0.7" right="0.7" top="0.75" bottom="0.75" header="0.3" footer="0.3"/>
</worksheet>
</file>

<file path=xl/worksheets/sheet122.xml><?xml version="1.0" encoding="utf-8"?>
<worksheet xmlns="http://schemas.openxmlformats.org/spreadsheetml/2006/main">
  <sheetPr codeName="Sheet10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CU-120: Delete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CU-120 — Delete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DJD-1: Browse MethodSet for DeleteJointDesign; verify Executable=True</t>
        </is>
      </c>
      <c r="E4" s="58" t="n"/>
      <c r="F4" s="58" t="n"/>
      <c r="G4" s="58" t="n"/>
      <c r="H4" s="58" t="n"/>
      <c r="I4" s="58" t="inlineStr">
        <is>
          <t>n</t>
        </is>
      </c>
      <c r="J4" s="58" t="inlineStr">
        <is>
          <t>OPC 40450-1 Section 11.1 CU-116</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DeleteJointDesign Method node. Read Executable and UserExecutable attributes.</t>
        </is>
      </c>
      <c r="E5" s="105" t="inlineStr">
        <is>
          <t>IJT server running. JointManagement.MethodSet accessible.</t>
        </is>
      </c>
      <c r="F5" s="105" t="inlineStr">
        <is>
          <t>DeleteJointDesign found. Executable = True. UserExecutable = True.</t>
        </is>
      </c>
      <c r="G5" s="105" t="inlineStr">
        <is>
          <t>Good</t>
        </is>
      </c>
      <c r="H5" s="105" t="inlineStr">
        <is>
          <t>DeleteJointDesign found; Executable=True; UserExecutable=True</t>
        </is>
      </c>
      <c r="I5" s="105" t="n"/>
      <c r="J5" s="105" t="inlineStr">
        <is>
          <t>OPC 40450-1 Section 11.1 CU-116</t>
        </is>
      </c>
      <c r="K5" s="106" t="n"/>
      <c r="L5" s="27" t="n"/>
      <c r="M5" s="28" t="n"/>
      <c r="N5" s="28" t="n"/>
    </row>
    <row r="6" ht="26.1" customHeight="1" s="132">
      <c r="A6" s="56" t="inlineStr">
        <is>
          <t>y</t>
        </is>
      </c>
      <c r="B6" s="57" t="n">
        <v>2</v>
      </c>
      <c r="C6" s="58" t="n">
        <v>0</v>
      </c>
      <c r="D6" s="58" t="inlineStr">
        <is>
          <t>DJD-2: SendJointDesign then DeleteJointDesign; verify Good and ID removed from GetJointDesignList</t>
        </is>
      </c>
      <c r="E6" s="58" t="n"/>
      <c r="F6" s="58" t="n"/>
      <c r="G6" s="58" t="n"/>
      <c r="H6" s="58" t="n"/>
      <c r="I6" s="58" t="inlineStr">
        <is>
          <t>n</t>
        </is>
      </c>
      <c r="J6" s="58" t="inlineStr">
        <is>
          <t>OPC 40450-1 Section 11.1 CU-116</t>
        </is>
      </c>
      <c r="K6" s="74" t="n"/>
      <c r="L6" s="27" t="n"/>
      <c r="M6" s="28" t="n"/>
      <c r="N6" s="28" t="n"/>
    </row>
    <row r="7" ht="39" customHeight="1" s="132">
      <c r="A7" s="103" t="n"/>
      <c r="B7" s="104" t="n"/>
      <c r="C7" s="105" t="n">
        <v>1</v>
      </c>
      <c r="D7" s="105" t="inlineStr">
        <is>
          <t>Call SendJointDesign with JointDesignId="DESIGN-DJD-002". Confirm it is in GetJointDesignList(ProductInstanceUri). Then call DeleteJointDesign(ProductInstanceUri, JointDesignId="DESIGN-DJD-002"). Call GetJointDesignList(ProductInstanceUri) again.</t>
        </is>
      </c>
      <c r="E7" s="105" t="inlineStr">
        <is>
          <t>SendJointDesign and DeleteJointDesign both executable.</t>
        </is>
      </c>
      <c r="F7" s="105" t="inlineStr">
        <is>
          <t>DeleteJointDesign returns Good. Second GetJointDesignList does NOT contain "DESIGN-DJD-002". Design deleted.</t>
        </is>
      </c>
      <c r="G7" s="105" t="inlineStr">
        <is>
          <t>Good</t>
        </is>
      </c>
      <c r="H7" s="105" t="inlineStr">
        <is>
          <t>Good returned; "DESIGN-DJD-002" absent from GetJointDesignList after delete</t>
        </is>
      </c>
      <c r="I7" s="105" t="n"/>
      <c r="J7" s="105" t="inlineStr">
        <is>
          <t>OPC 40450-1 Section 11.1 CU-116</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DJD-3 (error): Delete non-existent JointDesignId; verify Uncertain with Status=4</t>
        </is>
      </c>
      <c r="E9" s="97" t="n"/>
      <c r="F9" s="97" t="n"/>
      <c r="G9" s="97" t="n"/>
      <c r="H9" s="97" t="n"/>
      <c r="I9" s="97" t="inlineStr">
        <is>
          <t>n</t>
        </is>
      </c>
      <c r="J9" s="97" t="inlineStr">
        <is>
          <t>OPC 40450-1 Section 11.1 CU-116</t>
        </is>
      </c>
      <c r="K9" s="98" t="n"/>
      <c r="L9" s="27" t="n"/>
      <c r="M9" s="28" t="n"/>
      <c r="N9" s="28" t="n"/>
    </row>
    <row r="10" ht="39" customHeight="1" s="132">
      <c r="A10" s="103" t="n"/>
      <c r="B10" s="104" t="n"/>
      <c r="C10" s="105" t="n">
        <v>1</v>
      </c>
      <c r="D10" s="105" t="inlineStr">
        <is>
          <t>Call DeleteJointDesign(ProductInstanceUri, JointDesignId="DESIGN-NONEXISTENT-999").</t>
        </is>
      </c>
      <c r="E10" s="105" t="inlineStr">
        <is>
          <t>DeleteJointDesign executable. Specified ID not stored.</t>
        </is>
      </c>
      <c r="F10" s="105" t="inlineStr">
        <is>
          <t>Call Service returns Good; method result code is Uncertain. Status output is 4 (input identifier/entity not found). StatusMessage explains the rejected input; no state change is performed.</t>
        </is>
      </c>
      <c r="G10" s="105" t="inlineStr">
        <is>
          <t>Good</t>
        </is>
      </c>
      <c r="H10" s="105" t="inlineStr">
        <is>
          <t>Uncertain; Status=4 output with StatusMessage</t>
        </is>
      </c>
      <c r="I10" s="105" t="n"/>
      <c r="J10" s="105" t="inlineStr">
        <is>
          <t>OPC 40450-1 Section 11.1 CU-116</t>
        </is>
      </c>
      <c r="K10" s="106" t="n"/>
      <c r="L10" s="27" t="n"/>
      <c r="M10" s="28" t="n"/>
      <c r="N10" s="28" t="n"/>
    </row>
    <row r="11" ht="26.1" customHeight="1" s="132">
      <c r="A11" s="95" t="inlineStr">
        <is>
          <t>n</t>
        </is>
      </c>
      <c r="B11" s="96" t="n">
        <v>4</v>
      </c>
      <c r="C11" s="97" t="n">
        <v>0</v>
      </c>
      <c r="D11" s="97" t="inlineStr">
        <is>
          <t>DJD-4 (error): Delete design referenced by active Joint; verify Uncertain with Status=1 or appropriate state handling</t>
        </is>
      </c>
      <c r="E11" s="97" t="n"/>
      <c r="F11" s="97" t="n"/>
      <c r="G11" s="97" t="n"/>
      <c r="H11" s="97" t="n"/>
      <c r="I11" s="97" t="inlineStr">
        <is>
          <t>n</t>
        </is>
      </c>
      <c r="J11" s="97" t="inlineStr">
        <is>
          <t>OPC 40450-1 Section 11.1 CU-116</t>
        </is>
      </c>
      <c r="K11" s="98" t="n"/>
      <c r="L11" s="27" t="n"/>
      <c r="M11" s="28" t="n"/>
      <c r="N11" s="28" t="n"/>
    </row>
    <row r="12" ht="58.5" customHeight="1" s="132">
      <c r="A12" s="103" t="n"/>
      <c r="B12" s="104" t="n"/>
      <c r="C12" s="105" t="n">
        <v>1</v>
      </c>
      <c r="D12" s="105" t="inlineStr">
        <is>
          <t>Create a Joint that references "DESIGN-DJD-004" via JointData. Attempt DeleteJointDesign(ProductInstanceUri, JointDesignId="DESIGN-DJD-004") while the joint is active.</t>
        </is>
      </c>
      <c r="E12" s="105" t="inlineStr">
        <is>
          <t>"DESIGN-DJD-004" stored and referenced by an active joint. DeleteJointDesign executable.</t>
        </is>
      </c>
      <c r="F12" s="105" t="inlineStr">
        <is>
          <t>Call Service returns Good; method result code is Uncertain when the requested state transition is not accepted. Status output is 1 (generic not OK/application state). StatusMessage explains the state precondition; no unintended state change is performed.</t>
        </is>
      </c>
      <c r="G12" s="105" t="inlineStr">
        <is>
          <t>Good</t>
        </is>
      </c>
      <c r="H12" s="105" t="inlineStr">
        <is>
          <t>Uncertain; Status=1 output with StatusMessage</t>
        </is>
      </c>
      <c r="I12" s="105" t="n"/>
      <c r="J12" s="105" t="inlineStr">
        <is>
          <t>OPC 40450-1 Section 11.1 CU-116</t>
        </is>
      </c>
      <c r="K12" s="106" t="inlineStr">
        <is>
          <t>Requires server behavior that can detect active Joint references at delete time.</t>
        </is>
      </c>
      <c r="L12" s="27" t="n"/>
      <c r="M12" s="28" t="n"/>
      <c r="N12" s="28" t="n"/>
    </row>
    <row r="13" ht="25.8" customHeight="1" s="132">
      <c r="A13" s="95" t="inlineStr">
        <is>
          <t>n</t>
        </is>
      </c>
      <c r="B13" s="96" t="n">
        <v>5</v>
      </c>
      <c r="C13" s="97" t="n">
        <v>0</v>
      </c>
      <c r="D13" s="97" t="inlineStr">
        <is>
          <t>DJD-5 (error): Call DeleteJointDesign with invalid ProductInstanceUri; verify Uncertain with Status=2</t>
        </is>
      </c>
      <c r="E13" s="97" t="n"/>
      <c r="F13" s="97" t="n"/>
      <c r="G13" s="97" t="n"/>
      <c r="H13" s="97" t="n"/>
      <c r="I13" s="97" t="inlineStr">
        <is>
          <t>n</t>
        </is>
      </c>
      <c r="J13" s="97" t="inlineStr">
        <is>
          <t>OPC 40450-1 Section 11.1 CU-116</t>
        </is>
      </c>
      <c r="K13" s="98" t="n"/>
      <c r="L13" s="27" t="n"/>
      <c r="M13" s="28" t="n"/>
      <c r="N13" s="28" t="n"/>
    </row>
    <row r="14" ht="26.1" customHeight="1" s="132">
      <c r="A14" s="103" t="n"/>
      <c r="B14" s="104" t="n"/>
      <c r="C14" s="105" t="n">
        <v>1</v>
      </c>
      <c r="D14" s="105" t="inlineStr">
        <is>
          <t>Call DeleteJointDesign with an invalid ProductInstanceUri and a valid JointDesignId.</t>
        </is>
      </c>
      <c r="E14" s="105" t="inlineStr">
        <is>
          <t>DeleteJointDesign executable.</t>
        </is>
      </c>
      <c r="F14" s="105" t="inlineStr">
        <is>
          <t>Call Service returns Good; method result code is Uncertain. Status output is 2 (ProductInstanceUri not found). StatusMessage explains the rejected input; no state change is performed.</t>
        </is>
      </c>
      <c r="G14" s="105" t="inlineStr">
        <is>
          <t>Good</t>
        </is>
      </c>
      <c r="H14" s="105" t="inlineStr">
        <is>
          <t>Uncertain; Status=2 output with StatusMessage</t>
        </is>
      </c>
      <c r="I14" s="105" t="n"/>
      <c r="J14" s="105" t="inlineStr">
        <is>
          <t>OPC 40450-1 Section 11.1 CU-116</t>
        </is>
      </c>
      <c r="K14" s="106" t="n"/>
      <c r="L14" s="27" t="n"/>
      <c r="M14" s="28" t="n"/>
      <c r="N14" s="28" t="n"/>
    </row>
    <row r="15" ht="26.1" customHeight="1" s="132">
      <c r="A15" s="112" t="inlineStr">
        <is>
          <t>n</t>
        </is>
      </c>
      <c r="B15" s="113" t="n">
        <v>6</v>
      </c>
      <c r="C15" s="114" t="n">
        <v>0</v>
      </c>
      <c r="D15" s="114" t="inlineStr">
        <is>
          <t>Call DeleteJointDesign for design referenced by existing Joint</t>
        </is>
      </c>
      <c r="E15" s="114" t="n"/>
      <c r="F15" s="114" t="n"/>
      <c r="G15" s="114" t="n"/>
      <c r="H15" s="114" t="n"/>
      <c r="I15" s="114" t="inlineStr">
        <is>
          <t>n</t>
        </is>
      </c>
      <c r="J15" s="114" t="inlineStr">
        <is>
          <t>OPC 40450-1 Section 11.1 CU-116</t>
        </is>
      </c>
      <c r="K15" s="115" t="n"/>
      <c r="L15" s="27" t="n"/>
      <c r="M15" s="28" t="n"/>
      <c r="N15" s="28" t="n"/>
    </row>
    <row r="16">
      <c r="A16" s="116" t="n"/>
      <c r="B16" s="117" t="n"/>
      <c r="C16" s="118" t="n">
        <v>1</v>
      </c>
      <c r="D16" s="118" t="inlineStr">
        <is>
          <t>Try to delete a referenced design with DeleteJointDesign(ProductInstanceUri, JointDesignId).</t>
        </is>
      </c>
      <c r="E16" s="118" t="inlineStr">
        <is>
          <t>Server claims this Conformance Unit; no additional runtime setup is needed for this step.</t>
        </is>
      </c>
      <c r="F16" s="118" t="inlineStr">
        <is>
          <t>Call Service returns Good; method result code is Uncertain when the requested state transition is not accepted. Status output is 1 (generic not OK/application state). StatusMessage explains the state precondition; no unintended state change is performed.</t>
        </is>
      </c>
      <c r="G16" s="118" t="inlineStr">
        <is>
          <t>Good</t>
        </is>
      </c>
      <c r="H16" s="118" t="inlineStr">
        <is>
          <t>Uncertain; Status=1 output with StatusMessage</t>
        </is>
      </c>
      <c r="I16" s="118" t="n"/>
      <c r="J16" s="118" t="inlineStr">
        <is>
          <t>OPC 40450-1 Section 11.1 CU-116</t>
        </is>
      </c>
      <c r="K16" s="119" t="inlineStr">
        <is>
          <t>Requirement source: OPC 40450-1 Section 9.37 - Referenced design.</t>
        </is>
      </c>
      <c r="L16" s="27" t="n"/>
      <c r="M16" s="28" t="n"/>
      <c r="N16" s="28" t="n"/>
    </row>
    <row r="17">
      <c r="A17" s="112" t="inlineStr">
        <is>
          <t>n</t>
        </is>
      </c>
      <c r="B17" s="113" t="n">
        <v>7</v>
      </c>
      <c r="C17" s="114" t="n">
        <v>0</v>
      </c>
      <c r="D17" s="114" t="inlineStr">
        <is>
          <t>Verify GetJointDesign returns Uncertain/Status=4 after delete</t>
        </is>
      </c>
      <c r="E17" s="114" t="n"/>
      <c r="F17" s="114" t="n"/>
      <c r="G17" s="114" t="n"/>
      <c r="H17" s="114" t="n"/>
      <c r="I17" s="114" t="inlineStr">
        <is>
          <t>n</t>
        </is>
      </c>
      <c r="J17" s="114" t="inlineStr">
        <is>
          <t>OPC 40450-1 Section 11.1 CU-116</t>
        </is>
      </c>
      <c r="K17" s="115" t="n"/>
      <c r="L17" s="27" t="n"/>
      <c r="M17" s="28" t="n"/>
      <c r="N17" s="28" t="n"/>
    </row>
    <row r="18">
      <c r="A18" s="116" t="n"/>
      <c r="B18" s="117" t="n"/>
      <c r="C18" s="118" t="n">
        <v>1</v>
      </c>
      <c r="D18" s="118" t="inlineStr">
        <is>
          <t>Delete design. Call GetJointDesign(ProductInstanceUri, same JointDesignId).</t>
        </is>
      </c>
      <c r="E18" s="118" t="inlineStr">
        <is>
          <t>Server claims this Conformance Unit; no additional runtime setup is needed for this step.</t>
        </is>
      </c>
      <c r="F18" s="118" t="inlineStr">
        <is>
          <t>Call Service returns Good; method result code is Uncertain. Status output is 4 (input identifier/entity not found). StatusMessage explains the rejected input; no state change is performed.</t>
        </is>
      </c>
      <c r="G18" s="118" t="inlineStr">
        <is>
          <t>Good</t>
        </is>
      </c>
      <c r="H18" s="118" t="inlineStr">
        <is>
          <t>Uncertain; Status=4 output with StatusMessage</t>
        </is>
      </c>
      <c r="I18" s="118" t="n"/>
      <c r="J18" s="118" t="inlineStr">
        <is>
          <t>OPC 40450-1 Section 11.1 CU-116</t>
        </is>
      </c>
      <c r="K18" s="119" t="inlineStr">
        <is>
          <t>Requirement source: OPC 40450-1 Section 9.37 -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3.xml><?xml version="1.0" encoding="utf-8"?>
<worksheet xmlns="http://schemas.openxmlformats.org/spreadsheetml/2006/main">
  <sheetPr codeName="Sheet10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CU-115: Send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CU-115 — Send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SJC-1: Browse MethodSet for SendJointComponent; verify Executable=True</t>
        </is>
      </c>
      <c r="E4" s="58" t="n"/>
      <c r="F4" s="58" t="n"/>
      <c r="G4" s="58" t="n"/>
      <c r="H4" s="58" t="n"/>
      <c r="I4" s="58" t="inlineStr">
        <is>
          <t>n</t>
        </is>
      </c>
      <c r="J4" s="58" t="inlineStr">
        <is>
          <t>OPC 40450-1 Section 11.1 CU-117</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SendJointComponent Method node. Read Executable and UserExecutable attributes.</t>
        </is>
      </c>
      <c r="E5" s="105" t="inlineStr">
        <is>
          <t>IJT server running. JointManagement.MethodSet accessible.</t>
        </is>
      </c>
      <c r="F5" s="105" t="inlineStr">
        <is>
          <t>SendJointComponent found. Executable = True. UserExecutable = True.</t>
        </is>
      </c>
      <c r="G5" s="105" t="inlineStr">
        <is>
          <t>Good</t>
        </is>
      </c>
      <c r="H5" s="105" t="inlineStr">
        <is>
          <t>SendJointComponent found; Executable=True; UserExecutable=True</t>
        </is>
      </c>
      <c r="I5" s="105" t="n"/>
      <c r="J5" s="105" t="inlineStr">
        <is>
          <t>OPC 40450-1 Section 11.1 CU-117</t>
        </is>
      </c>
      <c r="K5" s="106" t="n"/>
      <c r="L5" s="27" t="n"/>
      <c r="M5" s="28" t="n"/>
      <c r="N5" s="28" t="n"/>
    </row>
    <row r="6" ht="26.1" customHeight="1" s="132">
      <c r="A6" s="56" t="inlineStr">
        <is>
          <t>y</t>
        </is>
      </c>
      <c r="B6" s="57" t="n">
        <v>2</v>
      </c>
      <c r="C6" s="58" t="n">
        <v>0</v>
      </c>
      <c r="D6" s="58" t="inlineStr">
        <is>
          <t>SJC-2: Call SendJointComponent with valid JointComponentDataType including Manufacturer and ManufacturerUri</t>
        </is>
      </c>
      <c r="E6" s="58" t="n"/>
      <c r="F6" s="58" t="n"/>
      <c r="G6" s="58" t="n"/>
      <c r="H6" s="58" t="n"/>
      <c r="I6" s="58" t="inlineStr">
        <is>
          <t>n</t>
        </is>
      </c>
      <c r="J6" s="58" t="inlineStr">
        <is>
          <t>OPC 40450-1 Section 11.1 CU-117</t>
        </is>
      </c>
      <c r="K6" s="74" t="n"/>
      <c r="L6" s="27" t="n"/>
      <c r="M6" s="28" t="n"/>
      <c r="N6" s="28" t="n"/>
    </row>
    <row r="7" ht="39" customHeight="1" s="132">
      <c r="A7" s="103" t="n"/>
      <c r="B7" s="104" t="n"/>
      <c r="C7" s="105" t="n">
        <v>1</v>
      </c>
      <c r="D7" s="105" t="inlineStr">
        <is>
          <t>Construct a JointComponentDataType with JointComponentId="COMP-TC-001", Manufacturer (LocalizedText), and ManufacturerUri. Call SendJointComponent(ProductInstanceUri, JointComponent).</t>
        </is>
      </c>
      <c r="E7" s="105" t="inlineStr">
        <is>
          <t>SendJointComponent executable. Valid data prepared.</t>
        </is>
      </c>
      <c r="F7" s="105" t="inlineStr">
        <is>
          <t>Method returns Good/domain success. Component accepted and stored. Manufacturer and ManufacturerUri are preserved.</t>
        </is>
      </c>
      <c r="G7" s="105" t="inlineStr">
        <is>
          <t>Good</t>
        </is>
      </c>
      <c r="H7" s="105" t="inlineStr">
        <is>
          <t>Good returned; JointComponentDataType accepted; component stored</t>
        </is>
      </c>
      <c r="I7" s="105" t="n"/>
      <c r="J7" s="105" t="inlineStr">
        <is>
          <t>OPC 40450-1 Section 11.1 CU-117</t>
        </is>
      </c>
      <c r="K7" s="106" t="n"/>
      <c r="L7" s="27" t="n"/>
      <c r="M7" s="28" t="n"/>
      <c r="N7" s="28" t="n"/>
    </row>
    <row r="8" ht="39" customHeight="1" s="132">
      <c r="A8" s="56" t="inlineStr">
        <is>
          <t>y</t>
        </is>
      </c>
      <c r="B8" s="57" t="n">
        <v>3</v>
      </c>
      <c r="C8" s="58" t="n">
        <v>0</v>
      </c>
      <c r="D8" s="58" t="inlineStr">
        <is>
          <t>SJC-3: Verify component appears in GetJointComponentList</t>
        </is>
      </c>
      <c r="E8" s="58" t="n"/>
      <c r="F8" s="58" t="n"/>
      <c r="G8" s="58" t="n"/>
      <c r="H8" s="58" t="n"/>
      <c r="I8" s="58" t="inlineStr">
        <is>
          <t>n</t>
        </is>
      </c>
      <c r="J8" s="58" t="inlineStr">
        <is>
          <t>OPC 40450-1 Section 11.1 CU-117</t>
        </is>
      </c>
      <c r="K8" s="74" t="n"/>
      <c r="L8" s="27" t="n"/>
      <c r="M8" s="28" t="n"/>
      <c r="N8" s="28" t="n"/>
    </row>
    <row r="9" ht="46.8" customHeight="1" s="132">
      <c r="A9" s="103" t="n"/>
      <c r="B9" s="104" t="n"/>
      <c r="C9" s="105" t="n">
        <v>1</v>
      </c>
      <c r="D9" s="105" t="inlineStr">
        <is>
          <t>After SJC-2 succeeds, call GetJointComponentList(ProductInstanceUri). Verify a JointComponentDataType entry with JointComponentId="COMP-TC-001" appears in the returned array.</t>
        </is>
      </c>
      <c r="E9" s="105" t="inlineStr">
        <is>
          <t>SJC-2 completed. GetJointComponentList executable.</t>
        </is>
      </c>
      <c r="F9" s="105" t="inlineStr">
        <is>
          <t>A JointComponentDataType entry with JointComponentId="COMP-TC-001" is found in GetJointComponentList response.</t>
        </is>
      </c>
      <c r="G9" s="105" t="inlineStr">
        <is>
          <t>Good</t>
        </is>
      </c>
      <c r="H9" s="105" t="inlineStr">
        <is>
          <t>"COMP-TC-001" present in GetJointComponentList after SendJointComponent</t>
        </is>
      </c>
      <c r="I9" s="105" t="n"/>
      <c r="J9" s="105" t="inlineStr">
        <is>
          <t>OPC 40450-1 Section 11.1 CU-117</t>
        </is>
      </c>
      <c r="K9" s="106" t="n"/>
      <c r="L9" s="27" t="n"/>
      <c r="M9" s="28" t="n"/>
      <c r="N9" s="28" t="n"/>
    </row>
    <row r="10" ht="39" customHeight="1" s="132">
      <c r="A10" s="56" t="inlineStr">
        <is>
          <t>y</t>
        </is>
      </c>
      <c r="B10" s="57" t="n">
        <v>4</v>
      </c>
      <c r="C10" s="58" t="n">
        <v>0</v>
      </c>
      <c r="D10" s="58" t="inlineStr">
        <is>
          <t>SJC-4: Send same component again; verify Good (update)</t>
        </is>
      </c>
      <c r="E10" s="58" t="n"/>
      <c r="F10" s="58" t="n"/>
      <c r="G10" s="58" t="n"/>
      <c r="H10" s="58" t="n"/>
      <c r="I10" s="58" t="inlineStr">
        <is>
          <t>n</t>
        </is>
      </c>
      <c r="J10" s="58" t="inlineStr">
        <is>
          <t>OPC 40450-1 Section 11.1 CU-117</t>
        </is>
      </c>
      <c r="K10" s="74" t="n"/>
      <c r="L10" s="27" t="n"/>
      <c r="M10" s="28" t="n"/>
      <c r="N10" s="28" t="n"/>
    </row>
    <row r="11" ht="39" customHeight="1" s="132">
      <c r="A11" s="103" t="n"/>
      <c r="B11" s="104" t="n"/>
      <c r="C11" s="105" t="n">
        <v>1</v>
      </c>
      <c r="D11" s="105" t="inlineStr">
        <is>
          <t>Call SendJointComponent(ProductInstanceUri, JointComponent) with JointComponentId="COMP-TC-001" and updated Manufacturer LocalizedText.</t>
        </is>
      </c>
      <c r="E11" s="105" t="inlineStr">
        <is>
          <t>"COMP-TC-001" already stored. SendJointComponent executable.</t>
        </is>
      </c>
      <c r="F11" s="105" t="inlineStr">
        <is>
          <t>Method returns Good. GetJointComponent returns updated optional Manufacturer when the field is supplied. Update semantic confirmed.</t>
        </is>
      </c>
      <c r="G11" s="105" t="inlineStr">
        <is>
          <t>Good</t>
        </is>
      </c>
      <c r="H11" s="105" t="inlineStr">
        <is>
          <t>Good returned; GetJointComponent shows updated Manufacturer after re-send</t>
        </is>
      </c>
      <c r="I11" s="105" t="n"/>
      <c r="J11" s="105" t="inlineStr">
        <is>
          <t>OPC 40450-1 Section 11.1 CU-117</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SJC-5 (error): Call SendJointComponent with empty JointComponentId; verify Uncertain with Status=5</t>
        </is>
      </c>
      <c r="E13" s="97" t="n"/>
      <c r="F13" s="97" t="n"/>
      <c r="G13" s="97" t="n"/>
      <c r="H13" s="97" t="n"/>
      <c r="I13" s="97" t="inlineStr">
        <is>
          <t>n</t>
        </is>
      </c>
      <c r="J13" s="97" t="inlineStr">
        <is>
          <t>OPC 40450-1 Section 11.1 CU-117</t>
        </is>
      </c>
      <c r="K13" s="98" t="n"/>
      <c r="L13" s="27" t="n"/>
      <c r="M13" s="28" t="n"/>
      <c r="N13" s="28" t="n"/>
    </row>
    <row r="14" ht="39" customHeight="1" s="132">
      <c r="A14" s="103" t="n"/>
      <c r="B14" s="104" t="n"/>
      <c r="C14" s="105" t="n">
        <v>1</v>
      </c>
      <c r="D14" s="105" t="inlineStr">
        <is>
          <t>Construct JointComponentDataType with JointComponentId="" and optional Manufacturer/ManufacturerUri values if supplied. Call SendJointComponent.</t>
        </is>
      </c>
      <c r="E14" s="105" t="inlineStr">
        <is>
          <t>SendJointComponent executable.</t>
        </is>
      </c>
      <c r="F14" s="105" t="inlineStr">
        <is>
          <t>Call Service returns Good; method result code is Uncertain. Status output is 5 (invalid input). StatusMessage explains the rejected input; no state change is performed.</t>
        </is>
      </c>
      <c r="G14" s="105" t="inlineStr">
        <is>
          <t>Good</t>
        </is>
      </c>
      <c r="H14" s="105" t="inlineStr">
        <is>
          <t>Uncertain; Status=5 output with StatusMessage</t>
        </is>
      </c>
      <c r="I14" s="105" t="n"/>
      <c r="J14" s="105" t="inlineStr">
        <is>
          <t>OPC 40450-1 Section 11.1 CU-117</t>
        </is>
      </c>
      <c r="K14" s="106" t="n"/>
      <c r="L14" s="27" t="n"/>
      <c r="M14" s="28" t="n"/>
      <c r="N14" s="28" t="n"/>
    </row>
    <row r="15" ht="26.1" customHeight="1" s="132">
      <c r="A15" s="95" t="inlineStr">
        <is>
          <t>n</t>
        </is>
      </c>
      <c r="B15" s="96" t="n">
        <v>6</v>
      </c>
      <c r="C15" s="97" t="n">
        <v>0</v>
      </c>
      <c r="D15" s="97" t="inlineStr">
        <is>
          <t>[Negative] Call SendJointComponent with omitted Manufacturer and ManufacturerUri</t>
        </is>
      </c>
      <c r="E15" s="97" t="n"/>
      <c r="F15" s="97" t="n"/>
      <c r="G15" s="97" t="n"/>
      <c r="H15" s="97" t="n"/>
      <c r="I15" s="97" t="inlineStr">
        <is>
          <t>n</t>
        </is>
      </c>
      <c r="J15" s="97" t="inlineStr">
        <is>
          <t>OPC 40450-1 Section 11.1 CU-117</t>
        </is>
      </c>
      <c r="K15" s="98" t="n"/>
      <c r="L15" s="27" t="n"/>
      <c r="M15" s="28" t="n"/>
      <c r="N15" s="28" t="n"/>
    </row>
    <row r="16" ht="58.5" customHeight="1" s="132">
      <c r="A16" s="103" t="n"/>
      <c r="B16" s="104" t="n"/>
      <c r="C16" s="105" t="n">
        <v>1</v>
      </c>
      <c r="D16" s="105" t="inlineStr">
        <is>
          <t>Construct JointComponentDataType with valid JointComponentId and omit Manufacturer and ManufacturerUri. Call SendJointComponent(ProductInstanceUri, JointComponent).</t>
        </is>
      </c>
      <c r="E16" s="105" t="inlineStr">
        <is>
          <t>SendJointComponent executable.</t>
        </is>
      </c>
      <c r="F16" s="105" t="inlineStr">
        <is>
          <t>Call Service returns Good; method result code is Uncertain. Status output is 5 (invalid input). StatusMessage explains the rejected input; no state change is performed.</t>
        </is>
      </c>
      <c r="G16" s="105" t="inlineStr">
        <is>
          <t>Good</t>
        </is>
      </c>
      <c r="H16" s="105" t="inlineStr">
        <is>
          <t>Uncertain; Status=5 output with StatusMessage</t>
        </is>
      </c>
      <c r="I16" s="105" t="n"/>
      <c r="J16" s="105" t="inlineStr">
        <is>
          <t>OPC 40450-1 Section 11.1 CU-117</t>
        </is>
      </c>
      <c r="K16" s="106" t="n"/>
      <c r="L16" s="27" t="n"/>
      <c r="M16" s="28" t="n"/>
      <c r="N16" s="28" t="n"/>
    </row>
    <row r="17">
      <c r="A17" s="112" t="inlineStr">
        <is>
          <t>n</t>
        </is>
      </c>
      <c r="B17" s="113" t="n">
        <v>7</v>
      </c>
      <c r="C17" s="114" t="n">
        <v>0</v>
      </c>
      <c r="D17" s="114" t="inlineStr">
        <is>
          <t>Call SendJointComponent with JointComponentId = empty string</t>
        </is>
      </c>
      <c r="E17" s="114" t="n"/>
      <c r="F17" s="114" t="n"/>
      <c r="G17" s="114" t="n"/>
      <c r="H17" s="114" t="n"/>
      <c r="I17" s="114" t="inlineStr">
        <is>
          <t>n</t>
        </is>
      </c>
      <c r="J17" s="114" t="inlineStr">
        <is>
          <t>OPC 40450-1 Section 11.1 CU-117</t>
        </is>
      </c>
      <c r="K17" s="115" t="n"/>
      <c r="L17" s="27" t="n"/>
      <c r="M17" s="28" t="n"/>
      <c r="N17" s="28" t="n"/>
    </row>
    <row r="18" ht="25.8" customHeight="1" s="132">
      <c r="A18" s="116" t="n"/>
      <c r="B18" s="117" t="n"/>
      <c r="C18" s="118" t="n">
        <v>1</v>
      </c>
      <c r="D18" s="118" t="inlineStr">
        <is>
          <t>Call with JointComponentId=''.</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CU-117</t>
        </is>
      </c>
      <c r="K18" s="119" t="inlineStr">
        <is>
          <t>Requirement source: OPC 40450-1 Section 9.38 - TrimmedString, cannot be empty.</t>
        </is>
      </c>
    </row>
    <row r="19" customFormat="1" s="138">
      <c r="A19" s="112" t="inlineStr">
        <is>
          <t>n</t>
        </is>
      </c>
      <c r="B19" s="110" t="n">
        <v>8</v>
      </c>
      <c r="C19" s="110" t="n">
        <v>0</v>
      </c>
      <c r="D19" s="110" t="inlineStr">
        <is>
          <t>Verify duplicate send updates existing component</t>
        </is>
      </c>
      <c r="E19" s="110" t="n"/>
      <c r="F19" s="110" t="n"/>
      <c r="G19" s="110" t="n"/>
      <c r="H19" s="110" t="n"/>
      <c r="I19" s="110" t="inlineStr">
        <is>
          <t>n</t>
        </is>
      </c>
      <c r="J19" s="110" t="inlineStr">
        <is>
          <t>OPC 40450-1 Section 11.1 CU-117</t>
        </is>
      </c>
      <c r="K19" s="115" t="n"/>
    </row>
    <row r="20">
      <c r="A20" s="120" t="n"/>
      <c r="B20" s="121" t="n"/>
      <c r="C20" s="122" t="n">
        <v>1</v>
      </c>
      <c r="D20" s="122" t="inlineStr">
        <is>
          <t>Send component X twice. Check list.</t>
        </is>
      </c>
      <c r="E20" s="122" t="inlineStr">
        <is>
          <t>Server claims this Conformance Unit; no additional runtime setup is needed for this step.</t>
        </is>
      </c>
      <c r="F20" s="122" t="inlineStr">
        <is>
          <t>JointComponentList has a single JointComponentDataType entry for X. Component data reflects the latest accepted component data.</t>
        </is>
      </c>
      <c r="G20" s="122" t="inlineStr">
        <is>
          <t>Good</t>
        </is>
      </c>
      <c r="H20" s="122" t="n"/>
      <c r="I20" s="122" t="n"/>
      <c r="J20" s="122" t="inlineStr">
        <is>
          <t>OPC 40450-1 Section 11.1 CU-117</t>
        </is>
      </c>
      <c r="K20" s="123" t="inlineStr">
        <is>
          <t>Requirement source: OPC 40450-1 Section 9.38 - Update semantics.</t>
        </is>
      </c>
    </row>
    <row r="21">
      <c r="A21" s="110" t="inlineStr">
        <is>
          <t>n</t>
        </is>
      </c>
      <c r="B21" s="110" t="n">
        <v>9</v>
      </c>
      <c r="C21" s="110" t="n">
        <v>0</v>
      </c>
      <c r="D21" s="110" t="inlineStr">
        <is>
          <t>Verify JointComponentContent can be null (optional)</t>
        </is>
      </c>
      <c r="E21" s="110" t="n"/>
      <c r="F21" s="110" t="n"/>
      <c r="G21" s="110" t="n"/>
      <c r="H21" s="110" t="n"/>
      <c r="I21" s="110" t="inlineStr">
        <is>
          <t>n</t>
        </is>
      </c>
      <c r="J21" s="110" t="inlineStr">
        <is>
          <t>OPC 40450-1 Section 11.1 CU-117</t>
        </is>
      </c>
      <c r="K21" s="110" t="n"/>
    </row>
    <row r="22">
      <c r="A22" s="111" t="n"/>
      <c r="B22" s="111" t="n"/>
      <c r="C22" s="111" t="n">
        <v>1</v>
      </c>
      <c r="D22" s="111" t="inlineStr">
        <is>
          <t>Send component with null JointComponentContent.</t>
        </is>
      </c>
      <c r="E22" s="111" t="inlineStr">
        <is>
          <t>Server claims this Conformance Unit; no additional runtime setup is needed for this step.</t>
        </is>
      </c>
      <c r="F22" s="111" t="inlineStr">
        <is>
          <t>Returns Good. Component created.</t>
        </is>
      </c>
      <c r="G22" s="111" t="inlineStr">
        <is>
          <t>Good</t>
        </is>
      </c>
      <c r="H22" s="111" t="n"/>
      <c r="I22" s="111" t="n"/>
      <c r="J22" s="111" t="inlineStr">
        <is>
          <t>OPC 40450-1 Section 11.1 CU-117</t>
        </is>
      </c>
      <c r="K22" s="111" t="inlineStr">
        <is>
          <t>Requirement source: OPC 40450-1 Section 9.38 - Content is optional.</t>
        </is>
      </c>
    </row>
  </sheetData>
  <mergeCells count="2">
    <mergeCell ref="A1:K1"/>
    <mergeCell ref="C2:J2"/>
  </mergeCells>
  <pageMargins left="0.7" right="0.7" top="0.75" bottom="0.75" header="0.3" footer="0.3"/>
</worksheet>
</file>

<file path=xl/worksheets/sheet124.xml><?xml version="1.0" encoding="utf-8"?>
<worksheet xmlns="http://schemas.openxmlformats.org/spreadsheetml/2006/main">
  <sheetPr codeName="Sheet10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CU-116: Get Joint Component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CU-116 — Get Joint Component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GJCL-1: Browse MethodSet for GetJointComponentList; verify Executable=True</t>
        </is>
      </c>
      <c r="E4" s="58" t="n"/>
      <c r="F4" s="58" t="n"/>
      <c r="G4" s="58" t="n"/>
      <c r="H4" s="58" t="n"/>
      <c r="I4" s="58" t="inlineStr">
        <is>
          <t>n</t>
        </is>
      </c>
      <c r="J4" s="58" t="inlineStr">
        <is>
          <t>OPC 40450-1 Section 11.1 CU-118</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GetJointComponentList Method node. Read Executable and UserExecutable attributes.</t>
        </is>
      </c>
      <c r="E5" s="105" t="inlineStr">
        <is>
          <t>IJT server running. JointManagement.MethodSet accessible.</t>
        </is>
      </c>
      <c r="F5" s="105" t="inlineStr">
        <is>
          <t>GetJointComponentList found. Executable = True. UserExecutable = True.</t>
        </is>
      </c>
      <c r="G5" s="105" t="inlineStr">
        <is>
          <t>Good</t>
        </is>
      </c>
      <c r="H5" s="105" t="inlineStr">
        <is>
          <t>GetJointComponentList found; Executable=True; UserExecutable=True</t>
        </is>
      </c>
      <c r="I5" s="105" t="n"/>
      <c r="J5" s="105" t="inlineStr">
        <is>
          <t>OPC 40450-1 Section 11.1 CU-118</t>
        </is>
      </c>
      <c r="K5" s="106" t="n"/>
      <c r="L5" s="27" t="n"/>
      <c r="M5" s="28" t="n"/>
      <c r="N5" s="28" t="n"/>
    </row>
    <row r="6" ht="26.1" customHeight="1" s="132">
      <c r="A6" s="56" t="inlineStr">
        <is>
          <t>y</t>
        </is>
      </c>
      <c r="B6" s="57" t="n">
        <v>2</v>
      </c>
      <c r="C6" s="58" t="n">
        <v>0</v>
      </c>
      <c r="D6" s="58" t="inlineStr">
        <is>
          <t>GJCL-2: Call GetJointComponentList(ProductInstanceUri); verify returns JointComponentDataType[]</t>
        </is>
      </c>
      <c r="E6" s="58" t="n"/>
      <c r="F6" s="58" t="n"/>
      <c r="G6" s="58" t="n"/>
      <c r="H6" s="58" t="n"/>
      <c r="I6" s="58" t="inlineStr">
        <is>
          <t>n</t>
        </is>
      </c>
      <c r="J6" s="58" t="inlineStr">
        <is>
          <t>OPC 40450-1 Section 11.1 CU-118</t>
        </is>
      </c>
      <c r="K6" s="74" t="n"/>
      <c r="L6" s="27" t="n"/>
      <c r="M6" s="28" t="n"/>
      <c r="N6" s="28" t="n"/>
    </row>
    <row r="7" ht="39" customHeight="1" s="132">
      <c r="A7" s="103" t="n"/>
      <c r="B7" s="104" t="n"/>
      <c r="C7" s="105" t="n">
        <v>1</v>
      </c>
      <c r="D7" s="105" t="inlineStr">
        <is>
          <t>Call JointManagement.GetJointComponentList(ProductInstanceUri).</t>
        </is>
      </c>
      <c r="E7" s="105" t="inlineStr">
        <is>
          <t>GetJointComponentList executable. At least one component stored.</t>
        </is>
      </c>
      <c r="F7" s="105" t="inlineStr">
        <is>
          <t>Method returns Good. Output argument JointComponentList is an array of JointComponentDataType values. An empty array is valid when no components are available.</t>
        </is>
      </c>
      <c r="G7" s="105" t="inlineStr">
        <is>
          <t>Good</t>
        </is>
      </c>
      <c r="H7" s="105" t="inlineStr">
        <is>
          <t>Good returned; output is JointComponentDataType[]</t>
        </is>
      </c>
      <c r="I7" s="105" t="n"/>
      <c r="J7" s="105" t="inlineStr">
        <is>
          <t>OPC 40450-1 Section 11.1 CU-118</t>
        </is>
      </c>
      <c r="K7" s="106" t="n"/>
      <c r="L7" s="27" t="n"/>
      <c r="M7" s="28" t="n"/>
      <c r="N7" s="28" t="n"/>
    </row>
    <row r="8" ht="39" customHeight="1" s="132">
      <c r="A8" s="56" t="inlineStr">
        <is>
          <t>y</t>
        </is>
      </c>
      <c r="B8" s="57" t="n">
        <v>3</v>
      </c>
      <c r="C8" s="58" t="n">
        <v>0</v>
      </c>
      <c r="D8" s="58" t="inlineStr">
        <is>
          <t>GJCL-3: Verify each returned JointComponentDataType has non-empty JointComponentId</t>
        </is>
      </c>
      <c r="E8" s="58" t="n"/>
      <c r="F8" s="58" t="n"/>
      <c r="G8" s="58" t="n"/>
      <c r="H8" s="58" t="n"/>
      <c r="I8" s="58" t="inlineStr">
        <is>
          <t>n</t>
        </is>
      </c>
      <c r="J8" s="58" t="inlineStr">
        <is>
          <t>OPC 40450-1 Section 11.1 CU-118</t>
        </is>
      </c>
      <c r="K8" s="74" t="n"/>
      <c r="L8" s="27" t="n"/>
      <c r="M8" s="28" t="n"/>
      <c r="N8" s="28" t="n"/>
    </row>
    <row r="9" ht="46.8" customHeight="1" s="132">
      <c r="A9" s="103" t="n"/>
      <c r="B9" s="104" t="n"/>
      <c r="C9" s="105" t="n">
        <v>1</v>
      </c>
      <c r="D9" s="105" t="inlineStr">
        <is>
          <t>Inspect each JointComponentDataType element returned by GetJointComponentList. Check JointComponentId and optional fields when present.</t>
        </is>
      </c>
      <c r="E9" s="105" t="inlineStr">
        <is>
          <t>GetJointComponentList returns a non-empty array.</t>
        </is>
      </c>
      <c r="F9" s="105" t="inlineStr">
        <is>
          <t>Each returned JointComponentDataType contains the CU-required fields JointComponentId, Manufacturer, and ManufacturerUri.</t>
        </is>
      </c>
      <c r="G9" s="105" t="inlineStr">
        <is>
          <t>Good</t>
        </is>
      </c>
      <c r="H9" s="105" t="inlineStr">
        <is>
          <t>JointComponentId present; Manufacturer present; ManufacturerUri present</t>
        </is>
      </c>
      <c r="I9" s="105" t="n"/>
      <c r="J9" s="105" t="inlineStr">
        <is>
          <t>OPC 40450-1 Section 11.1 CU-118</t>
        </is>
      </c>
      <c r="K9" s="106" t="n"/>
      <c r="L9" s="27" t="n"/>
      <c r="M9" s="28" t="n"/>
      <c r="N9" s="28" t="n"/>
    </row>
    <row r="10" ht="39" customHeight="1" s="132">
      <c r="A10" s="56" t="inlineStr">
        <is>
          <t>y</t>
        </is>
      </c>
      <c r="B10" s="57" t="n">
        <v>4</v>
      </c>
      <c r="C10" s="58" t="n">
        <v>0</v>
      </c>
      <c r="D10" s="58" t="inlineStr">
        <is>
          <t>GJCL-4: Send a component, call GetJointComponentList; verify ID appears</t>
        </is>
      </c>
      <c r="E10" s="58" t="n"/>
      <c r="F10" s="58" t="n"/>
      <c r="G10" s="58" t="n"/>
      <c r="H10" s="58" t="n"/>
      <c r="I10" s="58" t="inlineStr">
        <is>
          <t>n</t>
        </is>
      </c>
      <c r="J10" s="58" t="inlineStr">
        <is>
          <t>OPC 40450-1 Section 11.1 CU-118</t>
        </is>
      </c>
      <c r="K10" s="74" t="n"/>
      <c r="L10" s="27" t="n"/>
      <c r="M10" s="28" t="n"/>
      <c r="N10" s="28" t="n"/>
    </row>
    <row r="11" ht="39" customHeight="1" s="132">
      <c r="A11" s="103" t="n"/>
      <c r="B11" s="104" t="n"/>
      <c r="C11" s="105" t="n">
        <v>1</v>
      </c>
      <c r="D11" s="105" t="inlineStr">
        <is>
          <t>Call SendJointComponent with JointComponentId="COMP-GJCL-004". Call GetJointComponentList(ProductInstanceUri) and verify a returned JointComponentDataType has that JointComponentId.</t>
        </is>
      </c>
      <c r="E11" s="105" t="inlineStr">
        <is>
          <t>SendJointComponent and GetJointComponentList both executable.</t>
        </is>
      </c>
      <c r="F11" s="105" t="inlineStr">
        <is>
          <t>A JointComponentDataType entry with JointComponentId="COMP-GJCL-004" is found in GetJointComponentList response. List is current.</t>
        </is>
      </c>
      <c r="G11" s="105" t="inlineStr">
        <is>
          <t>Good</t>
        </is>
      </c>
      <c r="H11" s="105" t="inlineStr">
        <is>
          <t>"COMP-GJCL-004" JointComponentDataType present after SendJointComponent</t>
        </is>
      </c>
      <c r="I11" s="105" t="n"/>
      <c r="J11" s="105" t="inlineStr">
        <is>
          <t>OPC 40450-1 Section 11.1 CU-118</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GJCL-5 (error): Call GetJointComponentList when no components stored; verify Good with empty array</t>
        </is>
      </c>
      <c r="E13" s="97" t="n"/>
      <c r="F13" s="97" t="n"/>
      <c r="G13" s="97" t="n"/>
      <c r="H13" s="97" t="n"/>
      <c r="I13" s="97" t="inlineStr">
        <is>
          <t>n</t>
        </is>
      </c>
      <c r="J13" s="97" t="inlineStr">
        <is>
          <t>OPC 40450-1 Section 11.1 CU-118</t>
        </is>
      </c>
      <c r="K13" s="98" t="n"/>
      <c r="L13" s="27" t="n"/>
      <c r="M13" s="28" t="n"/>
      <c r="N13" s="28" t="n"/>
    </row>
    <row r="14" ht="39" customHeight="1" s="132">
      <c r="A14" s="103" t="n"/>
      <c r="B14" s="104" t="n"/>
      <c r="C14" s="105" t="n">
        <v>1</v>
      </c>
      <c r="D14" s="105" t="inlineStr">
        <is>
          <t>Ensure no components are stored. Call GetJointComponentList(ProductInstanceUri).</t>
        </is>
      </c>
      <c r="E14" s="105" t="inlineStr">
        <is>
          <t>No components currently stored. GetJointComponentList executable.</t>
        </is>
      </c>
      <c r="F14" s="105" t="inlineStr">
        <is>
          <t>Method returns Good. Output JointComponentList is an empty JointComponentDataType[] array. No error for empty list.</t>
        </is>
      </c>
      <c r="G14" s="105" t="inlineStr">
        <is>
          <t>Good</t>
        </is>
      </c>
      <c r="H14" s="105" t="inlineStr">
        <is>
          <t>Good returned; output array empty; no error for empty component list</t>
        </is>
      </c>
      <c r="I14" s="105" t="n"/>
      <c r="J14" s="105" t="inlineStr">
        <is>
          <t>OPC 40450-1 Section 11.1 CU-118</t>
        </is>
      </c>
      <c r="K14" s="106" t="n"/>
      <c r="L14" s="27" t="n"/>
      <c r="M14" s="28" t="n"/>
      <c r="N14" s="28" t="n"/>
    </row>
    <row r="15" ht="26.1" customHeight="1" s="132">
      <c r="A15" s="112" t="inlineStr">
        <is>
          <t>n</t>
        </is>
      </c>
      <c r="B15" s="113" t="n">
        <v>6</v>
      </c>
      <c r="C15" s="114" t="n">
        <v>0</v>
      </c>
      <c r="D15" s="114" t="inlineStr">
        <is>
          <t>Call GetJointComponentList when no components exist</t>
        </is>
      </c>
      <c r="E15" s="114" t="n"/>
      <c r="F15" s="114" t="n"/>
      <c r="G15" s="114" t="n"/>
      <c r="H15" s="114" t="n"/>
      <c r="I15" s="114" t="inlineStr">
        <is>
          <t>n</t>
        </is>
      </c>
      <c r="J15" s="114" t="inlineStr">
        <is>
          <t>OPC 40450-1 Section 11.1 CU-118</t>
        </is>
      </c>
      <c r="K15" s="115" t="n"/>
      <c r="L15" s="27" t="n"/>
      <c r="M15" s="28" t="n"/>
      <c r="N15" s="28" t="n"/>
    </row>
    <row r="16">
      <c r="A16" s="116" t="n"/>
      <c r="B16" s="117" t="n"/>
      <c r="C16" s="118" t="n">
        <v>1</v>
      </c>
      <c r="D16" s="118" t="inlineStr">
        <is>
          <t>Call GetJointComponentList(ProductInstanceUri) on an empty system.</t>
        </is>
      </c>
      <c r="E16" s="118" t="inlineStr">
        <is>
          <t>Server claims this Conformance Unit; no additional runtime setup is needed for this step.</t>
        </is>
      </c>
      <c r="F16" s="118" t="inlineStr">
        <is>
          <t>Returns Good with empty JointComponentDataType[] array.</t>
        </is>
      </c>
      <c r="G16" s="118" t="inlineStr">
        <is>
          <t>Good</t>
        </is>
      </c>
      <c r="H16" s="118" t="n"/>
      <c r="I16" s="118" t="n"/>
      <c r="J16" s="118" t="inlineStr">
        <is>
          <t>OPC 40450-1 Section 11.1 CU-118</t>
        </is>
      </c>
      <c r="K16" s="119" t="inlineStr">
        <is>
          <t>Requirement source: OPC 40450-1 Section 9.39 - Empty list valid.</t>
        </is>
      </c>
      <c r="L16" s="27" t="n"/>
      <c r="M16" s="28" t="n"/>
      <c r="N16" s="28" t="n"/>
    </row>
    <row r="17">
      <c r="A17" s="112" t="inlineStr">
        <is>
          <t>n</t>
        </is>
      </c>
      <c r="B17" s="113" t="n">
        <v>7</v>
      </c>
      <c r="C17" s="114" t="n">
        <v>0</v>
      </c>
      <c r="D17" s="114" t="inlineStr">
        <is>
          <t>Verify list returns at least one after SendJointComponent</t>
        </is>
      </c>
      <c r="E17" s="114" t="n"/>
      <c r="F17" s="114" t="n"/>
      <c r="G17" s="114" t="n"/>
      <c r="H17" s="114" t="n"/>
      <c r="I17" s="114" t="inlineStr">
        <is>
          <t>n</t>
        </is>
      </c>
      <c r="J17" s="114" t="inlineStr">
        <is>
          <t>OPC 40450-1 Section 11.1 CU-118</t>
        </is>
      </c>
      <c r="K17" s="115" t="n"/>
      <c r="L17" s="27" t="n"/>
      <c r="M17" s="28" t="n"/>
      <c r="N17" s="28" t="n"/>
    </row>
    <row r="18">
      <c r="A18" s="116" t="n"/>
      <c r="B18" s="117" t="n"/>
      <c r="C18" s="118" t="n">
        <v>1</v>
      </c>
      <c r="D18" s="118" t="inlineStr">
        <is>
          <t>Send component. Call GetJointComponentList(ProductInstanceUri).</t>
        </is>
      </c>
      <c r="E18" s="118" t="inlineStr">
        <is>
          <t>Server claims this Conformance Unit; no additional runtime setup is needed for this step.</t>
        </is>
      </c>
      <c r="F18" s="118" t="inlineStr">
        <is>
          <t>At least one JointComponentDataType entry is returned.</t>
        </is>
      </c>
      <c r="G18" s="118" t="inlineStr">
        <is>
          <t>Good</t>
        </is>
      </c>
      <c r="H18" s="118" t="n"/>
      <c r="I18" s="118" t="n"/>
      <c r="J18" s="118" t="inlineStr">
        <is>
          <t>OPC 40450-1 Section 11.1 CU-118</t>
        </is>
      </c>
      <c r="K18" s="119" t="inlineStr">
        <is>
          <t>Requirement source: OPC 40450-1 Section 9.39 - Component should appear.</t>
        </is>
      </c>
    </row>
    <row r="19" customFormat="1" s="138">
      <c r="A19" s="112" t="inlineStr">
        <is>
          <t>n</t>
        </is>
      </c>
      <c r="B19" s="110" t="n">
        <v>8</v>
      </c>
      <c r="C19" s="110" t="n">
        <v>0</v>
      </c>
      <c r="D19" s="110" t="inlineStr">
        <is>
          <t>[Optional helper - invalid ProductInstanceUri] Call GetJointComponentList with unknown ProductInstanceUri</t>
        </is>
      </c>
      <c r="E19" s="110" t="n"/>
      <c r="F19" s="110" t="n"/>
      <c r="G19" s="110" t="n"/>
      <c r="H19" s="110" t="n"/>
      <c r="I19" s="110" t="inlineStr">
        <is>
          <t>n</t>
        </is>
      </c>
      <c r="J19" s="110" t="inlineStr">
        <is>
          <t>OPC 40450-1 Section 11.1 CU-118</t>
        </is>
      </c>
      <c r="K19" s="115" t="n"/>
    </row>
    <row r="20">
      <c r="A20" s="120" t="n"/>
      <c r="B20" s="121" t="n"/>
      <c r="C20" s="122" t="n">
        <v>1</v>
      </c>
      <c r="D20" s="122" t="inlineStr">
        <is>
          <t>Call GetJointComponentList(ProductInstanceUri="urn:unknown:asset").</t>
        </is>
      </c>
      <c r="E20" s="122" t="inlineStr">
        <is>
          <t>Server claims this Conformance Unit; no additional runtime setup is needed for this step.</t>
        </is>
      </c>
      <c r="F20" s="122" t="inlineStr">
        <is>
          <t>Call Service returns Good; method result code is Uncertain. Status output is 2 (ProductInstanceUri not found). StatusMessage explains the rejected input; no state change is performed.</t>
        </is>
      </c>
      <c r="G20" s="122" t="inlineStr">
        <is>
          <t>Good</t>
        </is>
      </c>
      <c r="H20" s="122" t="inlineStr">
        <is>
          <t>Uncertain; Status=2 output with StatusMessage</t>
        </is>
      </c>
      <c r="I20" s="122" t="n"/>
      <c r="J20" s="122" t="inlineStr">
        <is>
          <t>OPC 40450-1 Section 11.1 CU-118</t>
        </is>
      </c>
      <c r="K20" s="123" t="inlineStr">
        <is>
          <t>Requirement source: GetJointComponentList has ProductInstanceUri only; no filter input.</t>
        </is>
      </c>
    </row>
  </sheetData>
  <mergeCells count="2">
    <mergeCell ref="A1:K1"/>
    <mergeCell ref="C2:J2"/>
  </mergeCells>
  <pageMargins left="0.7" right="0.7" top="0.75" bottom="0.75" header="0.3" footer="0.3"/>
</worksheet>
</file>

<file path=xl/worksheets/sheet125.xml><?xml version="1.0" encoding="utf-8"?>
<worksheet xmlns="http://schemas.openxmlformats.org/spreadsheetml/2006/main">
  <sheetPr codeName="Sheet10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CU-117: Get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CU-117 — Get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GJC-1: Browse MethodSet for GetJointComponent; verify Executable=True</t>
        </is>
      </c>
      <c r="E4" s="58" t="n"/>
      <c r="F4" s="58" t="n"/>
      <c r="G4" s="58" t="n"/>
      <c r="H4" s="58" t="n"/>
      <c r="I4" s="58" t="inlineStr">
        <is>
          <t>n</t>
        </is>
      </c>
      <c r="J4" s="58" t="inlineStr">
        <is>
          <t>OPC 40450-1 Section 11.1 CU-119</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 Method node. Read Executable and UserExecutable attributes.</t>
        </is>
      </c>
      <c r="E5" s="105" t="inlineStr">
        <is>
          <t>IJT server running. JointManagement.MethodSet accessible.</t>
        </is>
      </c>
      <c r="F5" s="105" t="inlineStr">
        <is>
          <t>GetJointComponent found. Executable = True. UserExecutable = True.</t>
        </is>
      </c>
      <c r="G5" s="105" t="inlineStr">
        <is>
          <t>Good</t>
        </is>
      </c>
      <c r="H5" s="105" t="inlineStr">
        <is>
          <t>GetJointComponent found; Executable=True; UserExecutable=True</t>
        </is>
      </c>
      <c r="I5" s="105" t="n"/>
      <c r="J5" s="105" t="inlineStr">
        <is>
          <t>OPC 40450-1 Section 11.1 CU-119</t>
        </is>
      </c>
      <c r="K5" s="106" t="n"/>
      <c r="L5" s="27" t="n"/>
      <c r="M5" s="28" t="n"/>
      <c r="N5" s="28" t="n"/>
    </row>
    <row r="6" ht="26.1" customHeight="1" s="132">
      <c r="A6" s="56" t="inlineStr">
        <is>
          <t>y</t>
        </is>
      </c>
      <c r="B6" s="57" t="n">
        <v>2</v>
      </c>
      <c r="C6" s="58" t="n">
        <v>0</v>
      </c>
      <c r="D6" s="58" t="inlineStr">
        <is>
          <t>GJC-2: SendJointComponent then GetJointComponent with that ID; verify data matches</t>
        </is>
      </c>
      <c r="E6" s="58" t="n"/>
      <c r="F6" s="58" t="n"/>
      <c r="G6" s="58" t="n"/>
      <c r="H6" s="58" t="n"/>
      <c r="I6" s="58" t="inlineStr">
        <is>
          <t>n</t>
        </is>
      </c>
      <c r="J6" s="58" t="inlineStr">
        <is>
          <t>OPC 40450-1 Section 11.1 CU-119</t>
        </is>
      </c>
      <c r="K6" s="74" t="n"/>
      <c r="L6" s="27" t="n"/>
      <c r="M6" s="28" t="n"/>
      <c r="N6" s="28" t="n"/>
    </row>
    <row r="7" ht="39" customHeight="1" s="132">
      <c r="A7" s="103" t="n"/>
      <c r="B7" s="104" t="n"/>
      <c r="C7" s="105" t="n">
        <v>1</v>
      </c>
      <c r="D7" s="105" t="inlineStr">
        <is>
          <t>Call SendJointComponent with JointComponentId="COMP-GJC-002" and optional Manufacturer/ManufacturerUri values. Then call GetJointComponent(ProductInstanceUri, JointComponentId="COMP-GJC-002").</t>
        </is>
      </c>
      <c r="E7" s="105" t="inlineStr">
        <is>
          <t>SendJointComponent and GetJointComponent both executable.</t>
        </is>
      </c>
      <c r="F7" s="105" t="inlineStr">
        <is>
          <t>Returned JointComponentDataType has JointComponentId="COMP-GJC-002". Optional Manufacturer and ManufacturerUri match the sent data when supplied.</t>
        </is>
      </c>
      <c r="G7" s="105" t="inlineStr">
        <is>
          <t>Good</t>
        </is>
      </c>
      <c r="H7" s="105" t="inlineStr">
        <is>
          <t>Returned JointComponentDataType matches sent data; all fields verified</t>
        </is>
      </c>
      <c r="I7" s="105" t="n"/>
      <c r="J7" s="105" t="inlineStr">
        <is>
          <t>OPC 40450-1 Section 11.1 CU-119</t>
        </is>
      </c>
      <c r="K7" s="106" t="n"/>
      <c r="L7" s="27" t="n"/>
      <c r="M7" s="28" t="n"/>
      <c r="N7" s="28" t="n"/>
    </row>
    <row r="8" ht="39" customHeight="1" s="132">
      <c r="A8" s="56" t="inlineStr">
        <is>
          <t>y</t>
        </is>
      </c>
      <c r="B8" s="57" t="n">
        <v>3</v>
      </c>
      <c r="C8" s="58" t="n">
        <v>0</v>
      </c>
      <c r="D8" s="58" t="inlineStr">
        <is>
          <t>GJC-3: Verify JointComponentDataType has mandatory JointComponentId and valid optional fields</t>
        </is>
      </c>
      <c r="E8" s="58" t="n"/>
      <c r="F8" s="58" t="n"/>
      <c r="G8" s="58" t="n"/>
      <c r="H8" s="58" t="n"/>
      <c r="I8" s="58" t="inlineStr">
        <is>
          <t>n</t>
        </is>
      </c>
      <c r="J8" s="58" t="inlineStr">
        <is>
          <t>OPC 40450-1 Section 11.1 CU-119</t>
        </is>
      </c>
      <c r="K8" s="74" t="n"/>
      <c r="L8" s="27" t="n"/>
      <c r="M8" s="28" t="n"/>
      <c r="N8" s="28" t="n"/>
    </row>
    <row r="9" ht="46.8" customHeight="1" s="132">
      <c r="A9" s="103" t="n"/>
      <c r="B9" s="104" t="n"/>
      <c r="C9" s="105" t="n">
        <v>1</v>
      </c>
      <c r="D9" s="105" t="inlineStr">
        <is>
          <t>From GJC-2 response, inspect the JointComponentDataType structure.</t>
        </is>
      </c>
      <c r="E9" s="105" t="inlineStr">
        <is>
          <t>GJC-2 completed successfully.</t>
        </is>
      </c>
      <c r="F9" s="105" t="inlineStr">
        <is>
          <t>Each returned JointComponentDataType contains the CU-required fields JointComponentId, Manufacturer, and ManufacturerUri.</t>
        </is>
      </c>
      <c r="G9" s="105" t="inlineStr">
        <is>
          <t>Good</t>
        </is>
      </c>
      <c r="H9" s="105" t="inlineStr">
        <is>
          <t>JointComponentId present; Manufacturer present; ManufacturerUri present</t>
        </is>
      </c>
      <c r="I9" s="105" t="n"/>
      <c r="J9" s="105" t="inlineStr">
        <is>
          <t>OPC 40450-1 Section 11.1 CU-119</t>
        </is>
      </c>
      <c r="K9" s="106" t="n"/>
      <c r="L9" s="27" t="n"/>
      <c r="M9" s="28" t="n"/>
      <c r="N9" s="28" t="n"/>
    </row>
    <row r="10" ht="39" customHeight="1" s="132">
      <c r="A10" s="56" t="inlineStr">
        <is>
          <t>y</t>
        </is>
      </c>
      <c r="B10" s="57" t="n">
        <v>5</v>
      </c>
      <c r="C10" s="58" t="n">
        <v>0</v>
      </c>
      <c r="D10" s="58" t="inlineStr">
        <is>
          <t>GJC-5: Verify latest data returned after SendJointComponent update</t>
        </is>
      </c>
      <c r="E10" s="58" t="n"/>
      <c r="F10" s="58" t="n"/>
      <c r="G10" s="58" t="n"/>
      <c r="H10" s="58" t="n"/>
      <c r="I10" s="58" t="inlineStr">
        <is>
          <t>n</t>
        </is>
      </c>
      <c r="J10" s="58" t="inlineStr">
        <is>
          <t>OPC 40450-1 Section 11.1 CU-119</t>
        </is>
      </c>
      <c r="K10" s="74" t="n"/>
      <c r="L10" s="27" t="n"/>
      <c r="M10" s="28" t="n"/>
      <c r="N10" s="28" t="n"/>
    </row>
    <row r="11" ht="26.1" customHeight="1" s="132">
      <c r="A11" s="103" t="n"/>
      <c r="B11" s="104" t="n"/>
      <c r="C11" s="105" t="n">
        <v>1</v>
      </c>
      <c r="D11" s="105" t="inlineStr">
        <is>
          <t>Call SendJointComponent with JointComponentId="COMP-GJC-002" and updated optional Manufacturer. Then call GetJointComponent(ProductInstanceUri, JointComponentId="COMP-GJC-002").</t>
        </is>
      </c>
      <c r="E11" s="105" t="inlineStr">
        <is>
          <t>"COMP-GJC-002" stored from GJC-2. SendJointComponent executable.</t>
        </is>
      </c>
      <c r="F11" s="105" t="inlineStr">
        <is>
          <t>GetJointComponent returns updated Manufacturer, not the original. Server maintains the latest version.</t>
        </is>
      </c>
      <c r="G11" s="105" t="inlineStr">
        <is>
          <t>Good</t>
        </is>
      </c>
      <c r="H11" s="105" t="inlineStr">
        <is>
          <t>GetJointComponent returns updated data after SendJointComponent re-send</t>
        </is>
      </c>
      <c r="I11" s="105" t="n"/>
      <c r="J11" s="105" t="inlineStr">
        <is>
          <t>OPC 40450-1 Section 11.1 CU-119</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GJC-4 (error): Call GetJointComponent with non-existent JointComponentId; verify Uncertain with Status=4</t>
        </is>
      </c>
      <c r="E13" s="97" t="n"/>
      <c r="F13" s="97" t="n"/>
      <c r="G13" s="97" t="n"/>
      <c r="H13" s="97" t="n"/>
      <c r="I13" s="97" t="inlineStr">
        <is>
          <t>n</t>
        </is>
      </c>
      <c r="J13" s="97" t="inlineStr">
        <is>
          <t>OPC 40450-1 Section 11.1 CU-119</t>
        </is>
      </c>
      <c r="K13" s="98" t="n"/>
      <c r="L13" s="27" t="n"/>
      <c r="M13" s="28" t="n"/>
      <c r="N13" s="28" t="n"/>
    </row>
    <row r="14" ht="39" customHeight="1" s="132">
      <c r="A14" s="103" t="n"/>
      <c r="B14" s="104" t="n"/>
      <c r="C14" s="105" t="n">
        <v>1</v>
      </c>
      <c r="D14" s="105" t="inlineStr">
        <is>
          <t>Call GetJointComponent(ProductInstanceUri, JointComponentId="COMP-UNKNOWN-999").</t>
        </is>
      </c>
      <c r="E14" s="105" t="inlineStr">
        <is>
          <t>GetJointComponent executable. Specified ID not stored.</t>
        </is>
      </c>
      <c r="F14" s="105" t="inlineStr">
        <is>
          <t>Call Service returns Good; method result code is Uncertain. Status output is 4 (input identifier/entity not found). StatusMessage explains the rejected input; no state change is performed.</t>
        </is>
      </c>
      <c r="G14" s="105" t="inlineStr">
        <is>
          <t>Good</t>
        </is>
      </c>
      <c r="H14" s="105" t="inlineStr">
        <is>
          <t>Uncertain; Status=4 output with StatusMessage</t>
        </is>
      </c>
      <c r="I14" s="105" t="n"/>
      <c r="J14" s="105" t="inlineStr">
        <is>
          <t>OPC 40450-1 Section 11.1 CU-119</t>
        </is>
      </c>
      <c r="K14" s="106" t="n"/>
      <c r="L14" s="27" t="n"/>
      <c r="M14" s="28" t="n"/>
      <c r="N14" s="28" t="n"/>
    </row>
    <row r="15" ht="26.1" customHeight="1" s="132">
      <c r="A15" s="112" t="inlineStr">
        <is>
          <t>n</t>
        </is>
      </c>
      <c r="B15" s="113" t="n">
        <v>5</v>
      </c>
      <c r="C15" s="114" t="n">
        <v>0</v>
      </c>
      <c r="D15" s="114" t="inlineStr">
        <is>
          <t>Call GetJointComponent with non-existent JointComponentId</t>
        </is>
      </c>
      <c r="E15" s="114" t="n"/>
      <c r="F15" s="114" t="n"/>
      <c r="G15" s="114" t="n"/>
      <c r="H15" s="114" t="n"/>
      <c r="I15" s="114" t="inlineStr">
        <is>
          <t>n</t>
        </is>
      </c>
      <c r="J15" s="114" t="inlineStr">
        <is>
          <t>OPC 40450-1 Section 11.1 CU-119</t>
        </is>
      </c>
      <c r="K15" s="115" t="n"/>
      <c r="L15" s="27" t="n"/>
      <c r="M15" s="28" t="n"/>
      <c r="N15" s="28" t="n"/>
    </row>
    <row r="16">
      <c r="A16" s="116" t="n"/>
      <c r="B16" s="117" t="n"/>
      <c r="C16" s="118" t="n">
        <v>1</v>
      </c>
      <c r="D16" s="118" t="inlineStr">
        <is>
          <t>Call GetJointComponent(ProductInstanceUri, fabricated JointComponentId).</t>
        </is>
      </c>
      <c r="E16" s="118" t="inlineStr">
        <is>
          <t>Server claims this Conformance Unit; no additional runtime setup is needed for this step.</t>
        </is>
      </c>
      <c r="F16" s="118" t="inlineStr">
        <is>
          <t>Call Service returns Good; method result code is Uncertain. Status output is 4 (input identifier/entity not found). StatusMessage explains the rejected input; no state change is performed.</t>
        </is>
      </c>
      <c r="G16" s="118" t="inlineStr">
        <is>
          <t>Good</t>
        </is>
      </c>
      <c r="H16" s="118" t="inlineStr">
        <is>
          <t>Uncertain; Status=4 output with StatusMessage</t>
        </is>
      </c>
      <c r="I16" s="118" t="n"/>
      <c r="J16" s="118" t="inlineStr">
        <is>
          <t>OPC 40450-1 Section 11.1 CU-119</t>
        </is>
      </c>
      <c r="K16" s="119" t="inlineStr">
        <is>
          <t>Requirement source: OPC 40450-1 Section 9.40 - Must exist.</t>
        </is>
      </c>
      <c r="L16" s="27" t="n"/>
      <c r="M16" s="28" t="n"/>
      <c r="N16" s="28" t="n"/>
    </row>
    <row r="17">
      <c r="A17" s="112" t="inlineStr">
        <is>
          <t>n</t>
        </is>
      </c>
      <c r="B17" s="113" t="n">
        <v>6</v>
      </c>
      <c r="C17" s="114" t="n">
        <v>0</v>
      </c>
      <c r="D17" s="114" t="inlineStr">
        <is>
          <t>Call GetJointComponent with empty JointComponentId</t>
        </is>
      </c>
      <c r="E17" s="114" t="n"/>
      <c r="F17" s="114" t="n"/>
      <c r="G17" s="114" t="n"/>
      <c r="H17" s="114" t="n"/>
      <c r="I17" s="114" t="inlineStr">
        <is>
          <t>n</t>
        </is>
      </c>
      <c r="J17" s="114" t="inlineStr">
        <is>
          <t>OPC 40450-1 Section 11.1 CU-119</t>
        </is>
      </c>
      <c r="K17" s="115" t="n"/>
      <c r="L17" s="27" t="n"/>
      <c r="M17" s="28" t="n"/>
      <c r="N17" s="28" t="n"/>
    </row>
    <row r="18" ht="25.8" customHeight="1" s="132">
      <c r="A18" s="116" t="n"/>
      <c r="B18" s="117" t="n"/>
      <c r="C18" s="118" t="n">
        <v>1</v>
      </c>
      <c r="D18" s="118" t="inlineStr">
        <is>
          <t>Call GetJointComponent(ProductInstanceUri, JointComponentId='').</t>
        </is>
      </c>
      <c r="E18" s="118" t="inlineStr">
        <is>
          <t>Server claims this Conformance Unit; no additional runtime setup is needed for this step.</t>
        </is>
      </c>
      <c r="F18" s="118" t="inlineStr">
        <is>
          <t>Call Service returns Good; method result code is Uncertain. Status output is 5 (invalid input). StatusMessage explains the rejected input; no state change is performed.</t>
        </is>
      </c>
      <c r="G18" s="118" t="inlineStr">
        <is>
          <t>Good</t>
        </is>
      </c>
      <c r="H18" s="118" t="inlineStr">
        <is>
          <t>Uncertain; Status=5 output with StatusMessage</t>
        </is>
      </c>
      <c r="I18" s="118" t="n"/>
      <c r="J18" s="118" t="inlineStr">
        <is>
          <t>OPC 40450-1 Section 11.1 CU-119</t>
        </is>
      </c>
      <c r="K18" s="119" t="inlineStr">
        <is>
          <t>Requirement source: OPC 40450-1 Section 9.40 - Empty string invalid.</t>
        </is>
      </c>
    </row>
    <row r="19" customFormat="1" s="138">
      <c r="A19" s="112" t="inlineStr">
        <is>
          <t>n</t>
        </is>
      </c>
      <c r="B19" s="110" t="n">
        <v>7</v>
      </c>
      <c r="C19" s="110" t="n">
        <v>0</v>
      </c>
      <c r="D19" s="110" t="inlineStr">
        <is>
          <t>Verify result includes mandatory JointComponentId</t>
        </is>
      </c>
      <c r="E19" s="110" t="n"/>
      <c r="F19" s="110" t="n"/>
      <c r="G19" s="110" t="n"/>
      <c r="H19" s="110" t="n"/>
      <c r="I19" s="110" t="inlineStr">
        <is>
          <t>n</t>
        </is>
      </c>
      <c r="J19" s="110" t="inlineStr">
        <is>
          <t>OPC 40450-1 Section 11.1 CU-119</t>
        </is>
      </c>
      <c r="K19" s="115" t="n"/>
    </row>
    <row r="20">
      <c r="A20" s="120" t="n"/>
      <c r="B20" s="121" t="n"/>
      <c r="C20" s="122" t="n">
        <v>1</v>
      </c>
      <c r="D20" s="122" t="inlineStr">
        <is>
          <t>Call GetJointComponent(ProductInstanceUri, valid JointComponentId).</t>
        </is>
      </c>
      <c r="E20" s="122" t="inlineStr">
        <is>
          <t>Server claims this Conformance Unit; no additional runtime setup is needed for this step.</t>
        </is>
      </c>
      <c r="F20" s="122" t="inlineStr">
        <is>
          <t>Result JointComponentId is non-empty.</t>
        </is>
      </c>
      <c r="G20" s="122" t="inlineStr">
        <is>
          <t>Good</t>
        </is>
      </c>
      <c r="H20" s="122" t="n"/>
      <c r="I20" s="122" t="n"/>
      <c r="J20" s="122" t="inlineStr">
        <is>
          <t>OPC 40450-1 Section 11.1 CU-119</t>
        </is>
      </c>
      <c r="K20" s="123" t="inlineStr">
        <is>
          <t>Requirement source: OPC 40450-1 Section 9.40 - Mandatory field.</t>
        </is>
      </c>
    </row>
  </sheetData>
  <mergeCells count="2">
    <mergeCell ref="A1:K1"/>
    <mergeCell ref="C2:J2"/>
  </mergeCells>
  <pageMargins left="0.7" right="0.7" top="0.75" bottom="0.75" header="0.3" footer="0.3"/>
</worksheet>
</file>

<file path=xl/worksheets/sheet126.xml><?xml version="1.0" encoding="utf-8"?>
<worksheet xmlns="http://schemas.openxmlformats.org/spreadsheetml/2006/main">
  <sheetPr codeName="Sheet10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CU-118: Joint Component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CU-118 — Joint Component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JCD-1: Verify JointComponentId is non-empty unique String</t>
        </is>
      </c>
      <c r="E4" s="58" t="n"/>
      <c r="F4" s="58" t="n"/>
      <c r="G4" s="58" t="n"/>
      <c r="H4" s="58" t="n"/>
      <c r="I4" s="58" t="inlineStr">
        <is>
          <t>n</t>
        </is>
      </c>
      <c r="J4" s="58" t="inlineStr">
        <is>
          <t>OPC 40450-1 Section 11.1 CU-120</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components with distinct JointComponentIds. Call GetJointComponentList(ProductInstanceUri) and inspect returned JointComponentDataType entries.</t>
        </is>
      </c>
      <c r="E5" s="108" t="inlineStr">
        <is>
          <t>Multiple components stored. GetJointComponentList executable.</t>
        </is>
      </c>
      <c r="F5" s="108" t="inlineStr">
        <is>
          <t>All JointComponentDataType entries have non-empty JointComponentId values. No two components share the same JointComponentId.</t>
        </is>
      </c>
      <c r="G5" s="108" t="inlineStr">
        <is>
          <t>Good</t>
        </is>
      </c>
      <c r="H5" s="108" t="inlineStr">
        <is>
          <t>All JointComponentIds non-empty and unique; no duplicates in JointComponentDataType[]</t>
        </is>
      </c>
      <c r="I5" s="108" t="n"/>
      <c r="J5" s="108" t="inlineStr">
        <is>
          <t>OPC 40450-1 Section 11.1 CU-120</t>
        </is>
      </c>
      <c r="K5" s="109" t="n"/>
    </row>
    <row r="6" ht="25.8" customHeight="1" s="132">
      <c r="A6" s="70" t="inlineStr">
        <is>
          <t>y</t>
        </is>
      </c>
      <c r="B6" s="71" t="n">
        <v>2</v>
      </c>
      <c r="C6" s="72" t="n">
        <v>0</v>
      </c>
      <c r="D6" s="72" t="inlineStr">
        <is>
          <t>JCD-2: Verify Manufacturer is present and LocalizedText</t>
        </is>
      </c>
      <c r="E6" s="72" t="n"/>
      <c r="F6" s="72" t="n"/>
      <c r="G6" s="72" t="n"/>
      <c r="H6" s="72" t="n"/>
      <c r="I6" s="72" t="inlineStr">
        <is>
          <t>n</t>
        </is>
      </c>
      <c r="J6" s="72" t="inlineStr">
        <is>
          <t>OPC 40450-1 Section 11.1 CU-120</t>
        </is>
      </c>
      <c r="K6" s="73" t="n"/>
    </row>
    <row r="7" ht="35.1" customHeight="1" s="132">
      <c r="A7" s="108" t="n"/>
      <c r="B7" s="108" t="n"/>
      <c r="C7" s="108" t="n">
        <v>1</v>
      </c>
      <c r="D7" s="108" t="inlineStr">
        <is>
          <t>Call GetJointComponent for each stored component. Inspect the Manufacturer field in the returned JointComponentDataType.</t>
        </is>
      </c>
      <c r="E7" s="108" t="inlineStr">
        <is>
          <t>Returned JointComponentDataType with JointComponentId, Manufacturer, and ManufacturerUri populated. Manufacturer uses the NodeSet datatype (LocalizedText).</t>
        </is>
      </c>
      <c r="F7" s="108" t="inlineStr">
        <is>
          <t>JointComponentId, Manufacturer, and ManufacturerUri are present. Manufacturer is decoded as LocalizedText and ManufacturerUri is non-empty.</t>
        </is>
      </c>
      <c r="G7" s="108" t="inlineStr">
        <is>
          <t>Good</t>
        </is>
      </c>
      <c r="H7" s="108" t="inlineStr">
        <is>
          <t>Required component fields present and datatypes valid</t>
        </is>
      </c>
      <c r="I7" s="108" t="n"/>
      <c r="J7" s="108" t="inlineStr">
        <is>
          <t>OPC 40450-1 Section 11.1 CU-120</t>
        </is>
      </c>
      <c r="K7" s="108" t="n"/>
    </row>
    <row r="8" ht="25.8" customHeight="1" s="132">
      <c r="A8" s="67" t="inlineStr">
        <is>
          <t>y</t>
        </is>
      </c>
      <c r="B8" s="67" t="n">
        <v>3</v>
      </c>
      <c r="C8" s="67" t="n">
        <v>0</v>
      </c>
      <c r="D8" s="67" t="inlineStr">
        <is>
          <t>JCD-3: Verify ManufacturerUri is present and valid</t>
        </is>
      </c>
      <c r="E8" s="67" t="n"/>
      <c r="F8" s="67" t="n"/>
      <c r="G8" s="67" t="n"/>
      <c r="H8" s="67" t="n"/>
      <c r="I8" s="67" t="inlineStr">
        <is>
          <t>n</t>
        </is>
      </c>
      <c r="J8" s="67" t="inlineStr">
        <is>
          <t>OPC 40450-1 Section 11.1 CU-120</t>
        </is>
      </c>
      <c r="K8" s="67" t="n"/>
    </row>
    <row r="9" ht="46.8" customHeight="1" s="132">
      <c r="A9" s="108" t="n"/>
      <c r="B9" s="108" t="n"/>
      <c r="C9" s="108" t="n">
        <v>1</v>
      </c>
      <c r="D9" s="108" t="inlineStr">
        <is>
          <t>Call GetJointComponent for each stored component. Inspect ManufacturerUri and verify it is a valid URI (e.g. starts with urn: or http://).</t>
        </is>
      </c>
      <c r="E9" s="108" t="inlineStr">
        <is>
          <t>At least one component stored.</t>
        </is>
      </c>
      <c r="F9" s="108" t="inlineStr">
        <is>
          <t>ManufacturerUri is present, non-empty, String-typed, and URI-compatible. Absence of ManufacturerUri fails this CU row.</t>
        </is>
      </c>
      <c r="G9" s="108" t="inlineStr">
        <is>
          <t>Good</t>
        </is>
      </c>
      <c r="H9" s="108" t="inlineStr">
        <is>
          <t>ManufacturerUri present and URI-compatible</t>
        </is>
      </c>
      <c r="I9" s="108" t="n"/>
      <c r="J9" s="108" t="inlineStr">
        <is>
          <t>OPC 40450-1 Section 11.1 CU-120</t>
        </is>
      </c>
      <c r="K9" s="108" t="n"/>
    </row>
    <row r="10" ht="25.8" customHeight="1" s="132">
      <c r="A10" s="67" t="inlineStr">
        <is>
          <t>y</t>
        </is>
      </c>
      <c r="B10" s="67" t="n">
        <v>4</v>
      </c>
      <c r="C10" s="67" t="n">
        <v>0</v>
      </c>
      <c r="D10" s="67" t="inlineStr">
        <is>
          <t>JCD-4: Verify uniqueness of JointComponentId across GetJointComponentList</t>
        </is>
      </c>
      <c r="E10" s="67" t="n"/>
      <c r="F10" s="67" t="n"/>
      <c r="G10" s="67" t="n"/>
      <c r="H10" s="67" t="n"/>
      <c r="I10" s="67" t="inlineStr">
        <is>
          <t>n</t>
        </is>
      </c>
      <c r="J10" s="67" t="inlineStr">
        <is>
          <t>OPC 40450-1 Section 11.1 CU-120</t>
        </is>
      </c>
      <c r="K10" s="67" t="n"/>
    </row>
    <row r="11" ht="35.1" customHeight="1" s="132">
      <c r="A11" s="108" t="n"/>
      <c r="B11" s="108" t="n"/>
      <c r="C11" s="108" t="n">
        <v>1</v>
      </c>
      <c r="D11" s="108" t="inlineStr">
        <is>
          <t>Call GetJointComponentList(ProductInstanceUri) and retrieve the full JointComponentDataType[] list. Check all JointComponentId values for duplicates.</t>
        </is>
      </c>
      <c r="E11" s="108" t="inlineStr">
        <is>
          <t>Multiple components stored. GetJointComponentList executable.</t>
        </is>
      </c>
      <c r="F11" s="108" t="inlineStr">
        <is>
          <t>No duplicate JointComponentId values in the returned JointComponentDataType[] list.</t>
        </is>
      </c>
      <c r="G11" s="108" t="inlineStr">
        <is>
          <t>Good</t>
        </is>
      </c>
      <c r="H11" s="108" t="inlineStr">
        <is>
          <t>GetJointComponentList contains no duplicate JointComponentIds</t>
        </is>
      </c>
      <c r="I11" s="108" t="n"/>
      <c r="J11" s="108" t="inlineStr">
        <is>
          <t>OPC 40450-1 Section 11.1 CU-120</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[Negative] SendJointComponent with omitted ManufacturerUri</t>
        </is>
      </c>
      <c r="E13" s="69" t="n"/>
      <c r="F13" s="69" t="n"/>
      <c r="G13" s="69" t="n"/>
      <c r="H13" s="69" t="n"/>
      <c r="I13" s="69" t="inlineStr">
        <is>
          <t>n</t>
        </is>
      </c>
      <c r="J13" s="69" t="inlineStr">
        <is>
          <t>OPC 40450-1 Section 11.1 CU-120</t>
        </is>
      </c>
      <c r="K13" s="69" t="n"/>
    </row>
    <row r="14" ht="58.5" customHeight="1" s="132">
      <c r="A14" s="108" t="n"/>
      <c r="B14" s="108" t="n"/>
      <c r="C14" s="108" t="n">
        <v>1</v>
      </c>
      <c r="D14" s="108" t="inlineStr">
        <is>
          <t>Construct JointComponentDataType with valid JointComponentId and omit ManufacturerUri. Call SendJointComponent(ProductInstanceUri, JointComponent).</t>
        </is>
      </c>
      <c r="E14" s="108" t="inlineStr">
        <is>
          <t>SendJointComponent executable.</t>
        </is>
      </c>
      <c r="F14" s="108" t="inlineStr">
        <is>
          <t>Call Service returns Good; method result code is Uncertain. Status output is 5 (invalid input) when ManufacturerUri is omitted from a syntactically decoded JointComponentDataType. StatusMessage explains the rejected input; no component is stored or updated.</t>
        </is>
      </c>
      <c r="G14" s="108" t="inlineStr">
        <is>
          <t>Good</t>
        </is>
      </c>
      <c r="H14" s="108" t="inlineStr">
        <is>
          <t>Uncertain; Status=5 output with StatusMessage</t>
        </is>
      </c>
      <c r="I14" s="108" t="n"/>
      <c r="J14" s="108" t="inlineStr">
        <is>
          <t>OPC 40450-1 Section 11.1 CU-120</t>
        </is>
      </c>
      <c r="K14" s="108" t="n"/>
    </row>
    <row r="15">
      <c r="A15" s="110" t="inlineStr">
        <is>
          <t>n</t>
        </is>
      </c>
      <c r="B15" s="110" t="n">
        <v>6</v>
      </c>
      <c r="C15" s="110" t="n">
        <v>0</v>
      </c>
      <c r="D15" s="110" t="inlineStr">
        <is>
          <t>Verify JointComponentId is non-empty in all instances</t>
        </is>
      </c>
      <c r="E15" s="110" t="n"/>
      <c r="F15" s="110" t="n"/>
      <c r="G15" s="110" t="n"/>
      <c r="H15" s="110" t="n"/>
      <c r="I15" s="110" t="inlineStr">
        <is>
          <t>n</t>
        </is>
      </c>
      <c r="J15" s="110" t="inlineStr">
        <is>
          <t>OPC 40450-1 Section 11.1 CU-120</t>
        </is>
      </c>
      <c r="K15" s="110" t="n"/>
    </row>
    <row r="16">
      <c r="A16" s="111" t="n"/>
      <c r="B16" s="111" t="n"/>
      <c r="C16" s="111" t="n">
        <v>1</v>
      </c>
      <c r="D16" s="111" t="inlineStr">
        <is>
          <t>Inspect JointComponentDataType instances.</t>
        </is>
      </c>
      <c r="E16" s="111" t="inlineStr">
        <is>
          <t>Server claims this Conformance Unit; no additional runtime setup is needed for this step.</t>
        </is>
      </c>
      <c r="F16" s="111" t="inlineStr">
        <is>
          <t>All JointComponentId values non-empty.</t>
        </is>
      </c>
      <c r="G16" s="111" t="inlineStr">
        <is>
          <t>Good</t>
        </is>
      </c>
      <c r="H16" s="111" t="n"/>
      <c r="I16" s="111" t="n"/>
      <c r="J16" s="111" t="inlineStr">
        <is>
          <t>OPC 40450-1 Section 11.1 CU-120</t>
        </is>
      </c>
      <c r="K16" s="111" t="inlineStr">
        <is>
          <t>Requirement source: OPC 40450-1 Section 10.16 - Mandatory.</t>
        </is>
      </c>
    </row>
    <row r="17">
      <c r="A17" s="110" t="inlineStr">
        <is>
          <t>n</t>
        </is>
      </c>
      <c r="B17" s="110" t="n">
        <v>7</v>
      </c>
      <c r="C17" s="110" t="n">
        <v>0</v>
      </c>
      <c r="D17" s="110" t="inlineStr">
        <is>
          <t>Verify JointComponentContent is optional and may be null</t>
        </is>
      </c>
      <c r="E17" s="110" t="n"/>
      <c r="F17" s="110" t="n"/>
      <c r="G17" s="110" t="n"/>
      <c r="H17" s="110" t="n"/>
      <c r="I17" s="110" t="inlineStr">
        <is>
          <t>n</t>
        </is>
      </c>
      <c r="J17" s="110" t="inlineStr">
        <is>
          <t>OPC 40450-1 Section 11.1 CU-120</t>
        </is>
      </c>
      <c r="K17" s="110" t="n"/>
    </row>
    <row r="18">
      <c r="A18" s="111" t="n"/>
      <c r="B18" s="111" t="n"/>
      <c r="C18" s="111" t="n">
        <v>1</v>
      </c>
      <c r="D18" s="111" t="inlineStr">
        <is>
          <t>Check JointComponentContent field.</t>
        </is>
      </c>
      <c r="E18" s="111" t="inlineStr">
        <is>
          <t>Server claims this Conformance Unit; no additional runtime setup is needed for this step.</t>
        </is>
      </c>
      <c r="F18" s="111" t="inlineStr">
        <is>
          <t>Content is null (allowed) or valid BaseDataType.</t>
        </is>
      </c>
      <c r="G18" s="111" t="inlineStr">
        <is>
          <t>Good</t>
        </is>
      </c>
      <c r="H18" s="111" t="n"/>
      <c r="I18" s="111" t="n"/>
      <c r="J18" s="111" t="inlineStr">
        <is>
          <t>OPC 40450-1 Section 11.1 CU-120</t>
        </is>
      </c>
      <c r="K18" s="111" t="inlineStr">
        <is>
          <t>Requirement source: OPC 40450-1 Section 10.16 - Optional BaseDataType.</t>
        </is>
      </c>
    </row>
    <row r="19">
      <c r="A19" s="110" t="inlineStr">
        <is>
          <t>n</t>
        </is>
      </c>
      <c r="B19" s="110" t="n">
        <v>8</v>
      </c>
      <c r="C19" s="110" t="n">
        <v>0</v>
      </c>
      <c r="D19" s="110" t="inlineStr">
        <is>
          <t>Verify Manufacturer is LocalizedText</t>
        </is>
      </c>
      <c r="E19" s="110" t="n"/>
      <c r="F19" s="110" t="n"/>
      <c r="G19" s="110" t="n"/>
      <c r="H19" s="110" t="n"/>
      <c r="I19" s="110" t="inlineStr">
        <is>
          <t>n</t>
        </is>
      </c>
      <c r="J19" s="110" t="inlineStr">
        <is>
          <t>OPC 40450-1 Section 11.1 CU-120</t>
        </is>
      </c>
      <c r="K19" s="110" t="n"/>
    </row>
    <row r="20">
      <c r="A20" s="111" t="n"/>
      <c r="B20" s="111" t="n"/>
      <c r="C20" s="111" t="n">
        <v>1</v>
      </c>
      <c r="D20" s="111" t="inlineStr">
        <is>
          <t>Read DataType of Manufacturer.</t>
        </is>
      </c>
      <c r="E20" s="111" t="inlineStr">
        <is>
          <t>Server claims this Conformance Unit; no additional runtime setup is needed for this step.</t>
        </is>
      </c>
      <c r="F20" s="111" t="inlineStr">
        <is>
          <t>DataType is LocalizedText (i=21).</t>
        </is>
      </c>
      <c r="G20" s="111" t="inlineStr">
        <is>
          <t>Good</t>
        </is>
      </c>
      <c r="H20" s="111" t="n"/>
      <c r="I20" s="111" t="n"/>
      <c r="J20" s="111" t="inlineStr">
        <is>
          <t>OPC 40450-1 Section 11.1 CU-120</t>
        </is>
      </c>
      <c r="K20" s="111" t="inlineStr">
        <is>
          <t>Requirement source: OPC 40450-1 Section 10.16 - LocalizedText type.</t>
        </is>
      </c>
    </row>
  </sheetData>
  <mergeCells count="2">
    <mergeCell ref="A1:K1"/>
    <mergeCell ref="C2:J2"/>
  </mergeCells>
  <pageMargins left="0.7" right="0.7" top="0.75" bottom="0.75" header="0.3" footer="0.3"/>
</worksheet>
</file>

<file path=xl/worksheets/sheet127.xml><?xml version="1.0" encoding="utf-8"?>
<worksheet xmlns="http://schemas.openxmlformats.org/spreadsheetml/2006/main">
  <sheetPr codeName="Sheet10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CU-121: Delete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CU-121 — Delete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DJC-1: Browse MethodSet for DeleteJointComponent; verify Executable=True</t>
        </is>
      </c>
      <c r="E4" s="58" t="n"/>
      <c r="F4" s="58" t="n"/>
      <c r="G4" s="58" t="n"/>
      <c r="H4" s="58" t="n"/>
      <c r="I4" s="58" t="inlineStr">
        <is>
          <t>n</t>
        </is>
      </c>
      <c r="J4" s="58" t="inlineStr">
        <is>
          <t>OPC 40450-1 Section 11.1 CU-121</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DeleteJointComponent Method node. Read Executable and UserExecutable attributes.</t>
        </is>
      </c>
      <c r="E5" s="105" t="inlineStr">
        <is>
          <t>IJT server running. JointManagement.MethodSet accessible.</t>
        </is>
      </c>
      <c r="F5" s="105" t="inlineStr">
        <is>
          <t>DeleteJointComponent found. Executable = True. UserExecutable = True.</t>
        </is>
      </c>
      <c r="G5" s="105" t="inlineStr">
        <is>
          <t>Good</t>
        </is>
      </c>
      <c r="H5" s="105" t="inlineStr">
        <is>
          <t>DeleteJointComponent found; Executable=True; UserExecutable=True</t>
        </is>
      </c>
      <c r="I5" s="105" t="n"/>
      <c r="J5" s="105" t="inlineStr">
        <is>
          <t>OPC 40450-1 Section 11.1 CU-121</t>
        </is>
      </c>
      <c r="K5" s="106" t="n"/>
      <c r="L5" s="27" t="n"/>
      <c r="M5" s="28" t="n"/>
      <c r="N5" s="28" t="n"/>
    </row>
    <row r="6" ht="26.1" customHeight="1" s="132">
      <c r="A6" s="56" t="inlineStr">
        <is>
          <t>y</t>
        </is>
      </c>
      <c r="B6" s="57" t="n">
        <v>2</v>
      </c>
      <c r="C6" s="58" t="n">
        <v>0</v>
      </c>
      <c r="D6" s="58" t="inlineStr">
        <is>
          <t>DJC-2: SendJointComponent then DeleteJointComponent; verify Good and removed from GetJointComponentList</t>
        </is>
      </c>
      <c r="E6" s="58" t="n"/>
      <c r="F6" s="58" t="n"/>
      <c r="G6" s="58" t="n"/>
      <c r="H6" s="58" t="n"/>
      <c r="I6" s="58" t="inlineStr">
        <is>
          <t>n</t>
        </is>
      </c>
      <c r="J6" s="58" t="inlineStr">
        <is>
          <t>OPC 40450-1 Section 11.1 CU-121</t>
        </is>
      </c>
      <c r="K6" s="74" t="n"/>
      <c r="L6" s="27" t="n"/>
      <c r="M6" s="28" t="n"/>
      <c r="N6" s="28" t="n"/>
    </row>
    <row r="7" ht="39" customHeight="1" s="132">
      <c r="A7" s="103" t="n"/>
      <c r="B7" s="104" t="n"/>
      <c r="C7" s="105" t="n">
        <v>1</v>
      </c>
      <c r="D7" s="105" t="inlineStr">
        <is>
          <t>Call SendJointComponent with JointComponentId="COMP-DJC-002". Confirm it is in GetJointComponentList(ProductInstanceUri). Then call DeleteJointComponent(ProductInstanceUri, JointComponentId="COMP-DJC-002"). Call GetJointComponentList(ProductInstanceUri) again.</t>
        </is>
      </c>
      <c r="E7" s="105" t="inlineStr">
        <is>
          <t>SendJointComponent and DeleteJointComponent both executable.</t>
        </is>
      </c>
      <c r="F7" s="105" t="inlineStr">
        <is>
          <t>DeleteJointComponent returns Good. Second GetJointComponentList does NOT contain "COMP-DJC-002". Component deleted.</t>
        </is>
      </c>
      <c r="G7" s="105" t="inlineStr">
        <is>
          <t>Good</t>
        </is>
      </c>
      <c r="H7" s="105" t="inlineStr">
        <is>
          <t>Good returned; "COMP-DJC-002" absent from GetJointComponentList after delete</t>
        </is>
      </c>
      <c r="I7" s="105" t="n"/>
      <c r="J7" s="105" t="inlineStr">
        <is>
          <t>OPC 40450-1 Section 11.1 CU-121</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DJC-3 (error): Delete non-existent JointComponentId; verify Uncertain with Status=4</t>
        </is>
      </c>
      <c r="E9" s="97" t="n"/>
      <c r="F9" s="97" t="n"/>
      <c r="G9" s="97" t="n"/>
      <c r="H9" s="97" t="n"/>
      <c r="I9" s="97" t="inlineStr">
        <is>
          <t>n</t>
        </is>
      </c>
      <c r="J9" s="97" t="inlineStr">
        <is>
          <t>OPC 40450-1 Section 11.1 CU-121</t>
        </is>
      </c>
      <c r="K9" s="98" t="n"/>
      <c r="L9" s="27" t="n"/>
      <c r="M9" s="28" t="n"/>
      <c r="N9" s="28" t="n"/>
    </row>
    <row r="10" ht="39" customHeight="1" s="132">
      <c r="A10" s="103" t="n"/>
      <c r="B10" s="104" t="n"/>
      <c r="C10" s="105" t="n">
        <v>1</v>
      </c>
      <c r="D10" s="105" t="inlineStr">
        <is>
          <t>Call DeleteJointComponent(ProductInstanceUri, JointComponentId="COMP-NONEXISTENT-999").</t>
        </is>
      </c>
      <c r="E10" s="105" t="inlineStr">
        <is>
          <t>DeleteJointComponent executable. Specified ID not stored.</t>
        </is>
      </c>
      <c r="F10" s="105" t="inlineStr">
        <is>
          <t>Call Service returns Good; method result code is Uncertain. Status output is 4 (input identifier/entity not found). StatusMessage explains the rejected input; no state change is performed.</t>
        </is>
      </c>
      <c r="G10" s="105" t="inlineStr">
        <is>
          <t>Good</t>
        </is>
      </c>
      <c r="H10" s="105" t="inlineStr">
        <is>
          <t>Uncertain; Status=4 output with StatusMessage</t>
        </is>
      </c>
      <c r="I10" s="105" t="n"/>
      <c r="J10" s="105" t="inlineStr">
        <is>
          <t>OPC 40450-1 Section 11.1 CU-121</t>
        </is>
      </c>
      <c r="K10" s="106" t="n"/>
      <c r="L10" s="27" t="n"/>
      <c r="M10" s="28" t="n"/>
      <c r="N10" s="28" t="n"/>
    </row>
    <row r="11" ht="39" customHeight="1" s="132">
      <c r="A11" s="95" t="inlineStr">
        <is>
          <t>n</t>
        </is>
      </c>
      <c r="B11" s="96" t="n">
        <v>4</v>
      </c>
      <c r="C11" s="97" t="n">
        <v>0</v>
      </c>
      <c r="D11" s="97" t="inlineStr">
        <is>
          <t>DJC-4 (error): Delete component referenced by active JointDesign; verify Uncertain with Status=1 or appropriate state handling</t>
        </is>
      </c>
      <c r="E11" s="97" t="n"/>
      <c r="F11" s="97" t="n"/>
      <c r="G11" s="97" t="n"/>
      <c r="H11" s="97" t="n"/>
      <c r="I11" s="97" t="inlineStr">
        <is>
          <t>n</t>
        </is>
      </c>
      <c r="J11" s="97" t="inlineStr">
        <is>
          <t>OPC 40450-1 Section 11.1 CU-121</t>
        </is>
      </c>
      <c r="K11" s="98" t="n"/>
      <c r="L11" s="27" t="n"/>
      <c r="M11" s="28" t="n"/>
      <c r="N11" s="28" t="n"/>
    </row>
    <row r="12" ht="58.5" customHeight="1" s="132">
      <c r="A12" s="103" t="n"/>
      <c r="B12" s="104" t="n"/>
      <c r="C12" s="105" t="n">
        <v>1</v>
      </c>
      <c r="D12" s="105" t="inlineStr">
        <is>
          <t>Create a JointDesign that references "COMP-DJC-004". Attempt DeleteJointComponent(ProductInstanceUri, JointComponentId="COMP-DJC-004") while the design is active.</t>
        </is>
      </c>
      <c r="E12" s="105" t="inlineStr">
        <is>
          <t>"COMP-DJC-004" stored and referenced by an active JointDesign. DeleteJointComponent executable.</t>
        </is>
      </c>
      <c r="F12" s="105" t="inlineStr">
        <is>
          <t>Call Service returns Good; method result code is Uncertain when the requested state transition is not accepted. Status output is 1 (generic not OK/application state). StatusMessage explains the state precondition; no unintended state change is performed.</t>
        </is>
      </c>
      <c r="G12" s="105" t="inlineStr">
        <is>
          <t>Good</t>
        </is>
      </c>
      <c r="H12" s="105" t="inlineStr">
        <is>
          <t>Uncertain; Status=1 output with StatusMessage</t>
        </is>
      </c>
      <c r="I12" s="105" t="n"/>
      <c r="J12" s="105" t="inlineStr">
        <is>
          <t>OPC 40450-1 Section 11.1 CU-121</t>
        </is>
      </c>
      <c r="K12" s="106" t="inlineStr">
        <is>
          <t>Requires server behavior that can detect active JointDesign references at delete time.</t>
        </is>
      </c>
      <c r="L12" s="27" t="n"/>
      <c r="M12" s="28" t="n"/>
      <c r="N12" s="28" t="n"/>
    </row>
    <row r="13" ht="25.8" customHeight="1" s="132">
      <c r="A13" s="95" t="inlineStr">
        <is>
          <t>n</t>
        </is>
      </c>
      <c r="B13" s="96" t="n">
        <v>5</v>
      </c>
      <c r="C13" s="97" t="n">
        <v>0</v>
      </c>
      <c r="D13" s="97" t="inlineStr">
        <is>
          <t>DJC-5 (error): Call DeleteJointComponent with invalid ProductInstanceUri; verify Uncertain with Status=2</t>
        </is>
      </c>
      <c r="E13" s="97" t="n"/>
      <c r="F13" s="97" t="n"/>
      <c r="G13" s="97" t="n"/>
      <c r="H13" s="97" t="n"/>
      <c r="I13" s="97" t="inlineStr">
        <is>
          <t>n</t>
        </is>
      </c>
      <c r="J13" s="97" t="inlineStr">
        <is>
          <t>OPC 40450-1 Section 11.1 CU-121</t>
        </is>
      </c>
      <c r="K13" s="98" t="n"/>
      <c r="L13" s="27" t="n"/>
      <c r="M13" s="28" t="n"/>
      <c r="N13" s="28" t="n"/>
    </row>
    <row r="14" ht="39" customHeight="1" s="132">
      <c r="A14" s="103" t="n"/>
      <c r="B14" s="104" t="n"/>
      <c r="C14" s="105" t="n">
        <v>1</v>
      </c>
      <c r="D14" s="105" t="inlineStr">
        <is>
          <t>Call DeleteJointComponent with an invalid ProductInstanceUri and a valid JointComponentId.</t>
        </is>
      </c>
      <c r="E14" s="105" t="inlineStr">
        <is>
          <t>DeleteJointComponent executable.</t>
        </is>
      </c>
      <c r="F14" s="105" t="inlineStr">
        <is>
          <t>Call Service returns Good; method result code is Uncertain. Status output is 2 (ProductInstanceUri not found). StatusMessage explains the rejected input; no state change is performed.</t>
        </is>
      </c>
      <c r="G14" s="105" t="inlineStr">
        <is>
          <t>Good</t>
        </is>
      </c>
      <c r="H14" s="105" t="inlineStr">
        <is>
          <t>Uncertain; Status=2 output with StatusMessage</t>
        </is>
      </c>
      <c r="I14" s="105" t="n"/>
      <c r="J14" s="105" t="inlineStr">
        <is>
          <t>OPC 40450-1 Section 11.1 CU-121</t>
        </is>
      </c>
      <c r="K14" s="106" t="n"/>
      <c r="L14" s="27" t="n"/>
      <c r="M14" s="28" t="n"/>
      <c r="N14" s="28" t="n"/>
    </row>
    <row r="15" ht="26.1" customHeight="1" s="132">
      <c r="A15" s="112" t="inlineStr">
        <is>
          <t>n</t>
        </is>
      </c>
      <c r="B15" s="113" t="n">
        <v>6</v>
      </c>
      <c r="C15" s="114" t="n">
        <v>0</v>
      </c>
      <c r="D15" s="114" t="inlineStr">
        <is>
          <t>Call DeleteJointComponent with referenced JointComponentId</t>
        </is>
      </c>
      <c r="E15" s="114" t="n"/>
      <c r="F15" s="114" t="n"/>
      <c r="G15" s="114" t="n"/>
      <c r="H15" s="114" t="n"/>
      <c r="I15" s="114" t="inlineStr">
        <is>
          <t>n</t>
        </is>
      </c>
      <c r="J15" s="114" t="inlineStr">
        <is>
          <t>OPC 40450-1 Section 11.1 CU-121</t>
        </is>
      </c>
      <c r="K15" s="115" t="n"/>
      <c r="L15" s="27" t="n"/>
      <c r="M15" s="28" t="n"/>
      <c r="N15" s="28" t="n"/>
    </row>
    <row r="16">
      <c r="A16" s="116" t="n"/>
      <c r="B16" s="117" t="n"/>
      <c r="C16" s="118" t="n">
        <v>1</v>
      </c>
      <c r="D16" s="118" t="inlineStr">
        <is>
          <t>Try to delete component referenced in JointDesign with DeleteJointComponent(ProductInstanceUri, JointComponentId).</t>
        </is>
      </c>
      <c r="E16" s="118" t="inlineStr">
        <is>
          <t>Server claims this Conformance Unit; no additional runtime setup is needed for this step.</t>
        </is>
      </c>
      <c r="F16" s="118" t="inlineStr">
        <is>
          <t>Call Service returns Good; method result code is Uncertain when the requested state transition is not accepted. Status output is 1 (generic not OK/application state). StatusMessage explains the state precondition; no unintended state change is performed.</t>
        </is>
      </c>
      <c r="G16" s="118" t="inlineStr">
        <is>
          <t>Good</t>
        </is>
      </c>
      <c r="H16" s="118" t="inlineStr">
        <is>
          <t>Uncertain; Status=1 output with StatusMessage</t>
        </is>
      </c>
      <c r="I16" s="118" t="n"/>
      <c r="J16" s="118" t="inlineStr">
        <is>
          <t>OPC 40450-1 Section 11.1 CU-121</t>
        </is>
      </c>
      <c r="K16" s="119" t="inlineStr">
        <is>
          <t>Requirement source: OPC 40450-1 Section 9.41 - Referenced component.</t>
        </is>
      </c>
      <c r="L16" s="27" t="n"/>
      <c r="M16" s="28" t="n"/>
      <c r="N16" s="28" t="n"/>
    </row>
    <row r="17">
      <c r="A17" s="112" t="inlineStr">
        <is>
          <t>n</t>
        </is>
      </c>
      <c r="B17" s="113" t="n">
        <v>7</v>
      </c>
      <c r="C17" s="114" t="n">
        <v>0</v>
      </c>
      <c r="D17" s="114" t="inlineStr">
        <is>
          <t>Verify GetJointComponent returns Uncertain/Status=4 after delete</t>
        </is>
      </c>
      <c r="E17" s="114" t="n"/>
      <c r="F17" s="114" t="n"/>
      <c r="G17" s="114" t="n"/>
      <c r="H17" s="114" t="n"/>
      <c r="I17" s="114" t="inlineStr">
        <is>
          <t>n</t>
        </is>
      </c>
      <c r="J17" s="114" t="inlineStr">
        <is>
          <t>OPC 40450-1 Section 11.1 CU-121</t>
        </is>
      </c>
      <c r="K17" s="115" t="n"/>
      <c r="L17" s="27" t="n"/>
      <c r="M17" s="28" t="n"/>
      <c r="N17" s="28" t="n"/>
    </row>
    <row r="18">
      <c r="A18" s="116" t="n"/>
      <c r="B18" s="117" t="n"/>
      <c r="C18" s="118" t="n">
        <v>1</v>
      </c>
      <c r="D18" s="118" t="inlineStr">
        <is>
          <t>Delete component. Call GetJointComponent(ProductInstanceUri, same JointComponentId).</t>
        </is>
      </c>
      <c r="E18" s="118" t="inlineStr">
        <is>
          <t>Server claims this Conformance Unit; no additional runtime setup is needed for this step.</t>
        </is>
      </c>
      <c r="F18" s="118" t="inlineStr">
        <is>
          <t>Call Service returns Good; method result code is Uncertain. Status output is 4 (input identifier/entity not found). StatusMessage explains the rejected input; no state change is performed.</t>
        </is>
      </c>
      <c r="G18" s="118" t="inlineStr">
        <is>
          <t>Good</t>
        </is>
      </c>
      <c r="H18" s="118" t="inlineStr">
        <is>
          <t>Uncertain; Status=4 output with StatusMessage</t>
        </is>
      </c>
      <c r="I18" s="118" t="n"/>
      <c r="J18" s="118" t="inlineStr">
        <is>
          <t>OPC 40450-1 Section 11.1 CU-121</t>
        </is>
      </c>
      <c r="K18" s="119" t="inlineStr">
        <is>
          <t>Requirement source: OPC 40450-1 Section 9.41 -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CU-122: IJT Get Joint Revision List</t>
        </is>
      </c>
    </row>
    <row r="2" ht="20.05" customHeight="1" s="132">
      <c r="A2" s="75">
        <f>HYPERLINK("#'Home'!A1","⌂ Home")</f>
        <v/>
      </c>
      <c r="C2" s="150" t="inlineStr">
        <is>
          <t>CU-122 — IJT Get Joint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GetJointRevisionList method exists with correct signature</t>
        </is>
      </c>
      <c r="E4" s="67" t="n"/>
      <c r="F4" s="67" t="n"/>
      <c r="G4" s="67" t="n"/>
      <c r="H4" s="67" t="n"/>
      <c r="I4" s="67" t="inlineStr">
        <is>
          <t>n</t>
        </is>
      </c>
      <c r="J4" s="67" t="inlineStr">
        <is>
          <t>OPC 40450-1 Section 11 (CU-122) / Section 7.6</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JointManagement/MethodSet or JoiningSystem/MethodSet. Verify GetJointRevisionList method.</t>
        </is>
      </c>
      <c r="E5" s="61" t="inlineStr">
        <is>
          <t>JoiningSystem with JointManagement.</t>
        </is>
      </c>
      <c r="F5" s="61" t="inlineStr">
        <is>
          <t>GetJointRevisionList found. NodeClass = Method. InputArguments: ProductInstanceUri (String), JointOriginId (TrimmedString). OutputArguments: JointList (JointDataType[]), Status (Int64), StatusMessage (LocalizedText).</t>
        </is>
      </c>
      <c r="G5" s="61" t="inlineStr">
        <is>
          <t>Good</t>
        </is>
      </c>
      <c r="H5" s="61" t="inlineStr">
        <is>
          <t>Good</t>
        </is>
      </c>
      <c r="I5" s="61" t="n"/>
      <c r="J5" s="61" t="inlineStr">
        <is>
          <t>OPC 40450-1 Section 7.6 GetJointRevisionList</t>
        </is>
      </c>
      <c r="K5" s="61" t="n"/>
    </row>
    <row r="6" ht="25.8" customHeight="1" s="132">
      <c r="A6" s="67" t="inlineStr">
        <is>
          <t>y</t>
        </is>
      </c>
      <c r="B6" s="67" t="n">
        <v>2</v>
      </c>
      <c r="C6" s="67" t="n">
        <v>0</v>
      </c>
      <c r="D6" s="67" t="inlineStr">
        <is>
          <t>Verify GetJointRevisionList returns revision history for a stored joint</t>
        </is>
      </c>
      <c r="E6" s="67" t="n"/>
      <c r="F6" s="67" t="n"/>
      <c r="G6" s="67" t="n"/>
      <c r="H6" s="67" t="n"/>
      <c r="I6" s="67" t="inlineStr">
        <is>
          <t>n</t>
        </is>
      </c>
      <c r="J6" s="67" t="inlineStr">
        <is>
          <t>OPC 40450-1 Section 11 (CU-122) / Section 7.6</t>
        </is>
      </c>
      <c r="K6" s="67" t="n"/>
    </row>
    <row r="7" ht="38.7" customHeight="1" s="132">
      <c r="A7" s="61" t="n"/>
      <c r="B7" s="61" t="n"/>
      <c r="C7" s="61" t="n">
        <v>1</v>
      </c>
      <c r="D7" s="61" t="inlineStr">
        <is>
          <t>Store or configure multiple joint revisions that share the same JointOriginId. Call GetJointRevisionList(ProductInstanceUri, JointOriginId).</t>
        </is>
      </c>
      <c r="E7" s="61" t="inlineStr">
        <is>
          <t>A joint origin with at least two stored revisions is available. JointManagement is available.</t>
        </is>
      </c>
      <c r="F7" s="61" t="inlineStr">
        <is>
          <t>Returns Good/domain success. JointList contains JointDataType entries for available revisions of the JointOriginId. Each entry has mandatory JointId; JointOriginId, CreationTime, and LastUpdatedTime are validated when present.</t>
        </is>
      </c>
      <c r="G7" s="61" t="inlineStr">
        <is>
          <t>Good</t>
        </is>
      </c>
      <c r="H7" s="61" t="inlineStr">
        <is>
          <t>Good returned; JointList is JointDataType[] for requested JointOriginId</t>
        </is>
      </c>
      <c r="I7" s="61" t="n"/>
      <c r="J7" s="61" t="inlineStr">
        <is>
          <t>OPC 40450-1 Section 7.6 GetJointRevisionList / CU-91 (Send Joint)</t>
        </is>
      </c>
      <c r="K7" s="61" t="n"/>
    </row>
    <row r="8" ht="25.8" customHeight="1" s="132">
      <c r="A8" s="67" t="inlineStr">
        <is>
          <t>y</t>
        </is>
      </c>
      <c r="B8" s="67" t="n">
        <v>3</v>
      </c>
      <c r="C8" s="67" t="n">
        <v>0</v>
      </c>
      <c r="D8" s="67" t="inlineStr">
        <is>
          <t>Verify each revision entry has required fields</t>
        </is>
      </c>
      <c r="E8" s="67" t="n"/>
      <c r="F8" s="67" t="n"/>
      <c r="G8" s="67" t="n"/>
      <c r="H8" s="67" t="n"/>
      <c r="I8" s="67" t="inlineStr">
        <is>
          <t>n</t>
        </is>
      </c>
      <c r="J8" s="67" t="inlineStr">
        <is>
          <t>OPC 40450-1 Section 11 (CU-122) / Section 7.6</t>
        </is>
      </c>
      <c r="K8" s="67" t="n"/>
    </row>
    <row r="9" ht="38.7" customHeight="1" s="132">
      <c r="A9" s="61" t="n"/>
      <c r="B9" s="61" t="n"/>
      <c r="C9" s="61" t="n">
        <v>1</v>
      </c>
      <c r="D9" s="61" t="inlineStr">
        <is>
          <t>Inspect each revision entry from GetJointRevisionList output.</t>
        </is>
      </c>
      <c r="E9" s="61" t="inlineStr">
        <is>
          <t>At least one revision entry returned.</t>
        </is>
      </c>
      <c r="F9" s="61" t="inlineStr">
        <is>
          <t>Each JointDataType entry has a non-empty JointId. If JointOriginId is present, it matches the requested origin id. CreationTime and LastUpdatedTime are valid when present. No separate RevisionId field is required by the NodeSet.</t>
        </is>
      </c>
      <c r="G9" s="61" t="inlineStr">
        <is>
          <t>Good</t>
        </is>
      </c>
      <c r="H9" s="61" t="inlineStr">
        <is>
          <t>JointDataType entries validated; no required RevisionId field</t>
        </is>
      </c>
      <c r="I9" s="61" t="n"/>
      <c r="J9" s="61" t="inlineStr">
        <is>
          <t>OPC 40450-1 Section 7.6</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GetJointRevisionList with non-existent JointOriginId returns empty or error</t>
        </is>
      </c>
      <c r="E11" s="69" t="n"/>
      <c r="F11" s="69" t="n"/>
      <c r="G11" s="69" t="n"/>
      <c r="H11" s="69" t="n"/>
      <c r="I11" s="69" t="inlineStr">
        <is>
          <t>n</t>
        </is>
      </c>
      <c r="J11" s="69" t="inlineStr">
        <is>
          <t>OPC 40450-1 Section 11 (CU-122) / Section 7.6</t>
        </is>
      </c>
      <c r="K11" s="69" t="n"/>
    </row>
    <row r="12" ht="25.8" customHeight="1" s="132">
      <c r="A12" s="61" t="n"/>
      <c r="B12" s="61" t="n"/>
      <c r="C12" s="61" t="n">
        <v>1</v>
      </c>
      <c r="D12" s="61" t="inlineStr">
        <is>
          <t>Call GetJointRevisionList(ProductInstanceUri, JointOriginId="NO_SUCH_JOINT_ORIGIN_XYZ").</t>
        </is>
      </c>
      <c r="E12" s="61" t="inlineStr">
        <is>
          <t>GetJointRevisionList method available.</t>
        </is>
      </c>
      <c r="F12" s="61" t="inlineStr">
        <is>
          <t>Call Service returns Good; method result code is Uncertain. Status output is 4 (input identifier/entity not found). StatusMessage explains the rejected input; no state change is performed.</t>
        </is>
      </c>
      <c r="G12" s="61" t="inlineStr">
        <is>
          <t>Good</t>
        </is>
      </c>
      <c r="H12" s="61" t="inlineStr">
        <is>
          <t>Uncertain; Status=4 output with StatusMessage</t>
        </is>
      </c>
      <c r="I12" s="61" t="n"/>
      <c r="J12" s="61" t="inlineStr">
        <is>
          <t>OPC 40450-1 Section 7.6</t>
        </is>
      </c>
      <c r="K12" s="61" t="n"/>
    </row>
    <row r="13" ht="25.8" customHeight="1" s="132">
      <c r="A13" s="69" t="inlineStr">
        <is>
          <t>n</t>
        </is>
      </c>
      <c r="B13" s="69" t="n">
        <v>2</v>
      </c>
      <c r="C13" s="69" t="n">
        <v>0</v>
      </c>
      <c r="D13" s="69" t="inlineStr">
        <is>
          <t>Verify GetJointRevisionList with empty JointOriginId returns Uncertain/Status=5</t>
        </is>
      </c>
      <c r="E13" s="69" t="n"/>
      <c r="F13" s="69" t="n"/>
      <c r="G13" s="69" t="n"/>
      <c r="H13" s="69" t="n"/>
      <c r="I13" s="69" t="inlineStr">
        <is>
          <t>n</t>
        </is>
      </c>
      <c r="J13" s="69" t="inlineStr">
        <is>
          <t>OPC 40450-1 Section 11 (CU-122) / Section 7.6</t>
        </is>
      </c>
      <c r="K13" s="69" t="n"/>
    </row>
    <row r="14" ht="25.8" customHeight="1" s="132">
      <c r="A14" s="61" t="n"/>
      <c r="B14" s="61" t="n"/>
      <c r="C14" s="61" t="n">
        <v>1</v>
      </c>
      <c r="D14" s="61" t="inlineStr">
        <is>
          <t>Call GetJointRevisionList(ProductInstanceUri, JointOriginId="").</t>
        </is>
      </c>
      <c r="E14" s="61" t="inlineStr">
        <is>
          <t>GetJointRevisionList method available.</t>
        </is>
      </c>
      <c r="F14" s="61" t="inlineStr">
        <is>
          <t>Call Service returns Good; method result code is Uncertain. Status output is 5 (invalid input). StatusMessage explains the rejected input; no state change is performed.</t>
        </is>
      </c>
      <c r="G14" s="61" t="inlineStr">
        <is>
          <t>Good</t>
        </is>
      </c>
      <c r="H14" s="61" t="inlineStr">
        <is>
          <t>Uncertain; Status=5 output with StatusMessage</t>
        </is>
      </c>
      <c r="I14" s="61" t="n"/>
      <c r="J14" s="61" t="inlineStr">
        <is>
          <t>OPC 40450-1 Section 7.6</t>
        </is>
      </c>
      <c r="K14" s="61" t="n"/>
    </row>
    <row r="15">
      <c r="A15" s="110" t="inlineStr">
        <is>
          <t>n</t>
        </is>
      </c>
      <c r="B15" s="110" t="n">
        <v>3</v>
      </c>
      <c r="C15" s="110" t="n">
        <v>0</v>
      </c>
      <c r="D15" s="110" t="inlineStr">
        <is>
          <t>Call GetJointRevisionList with non-existent JointOriginId</t>
        </is>
      </c>
      <c r="E15" s="110" t="n"/>
      <c r="F15" s="110" t="n"/>
      <c r="G15" s="110" t="n"/>
      <c r="H15" s="110" t="n"/>
      <c r="I15" s="110" t="inlineStr">
        <is>
          <t>n</t>
        </is>
      </c>
      <c r="J15" s="110" t="inlineStr">
        <is>
          <t>OPC 40450-1 Section 11.1 CU-122</t>
        </is>
      </c>
      <c r="K15" s="110" t="n"/>
    </row>
    <row r="16">
      <c r="A16" s="111" t="n"/>
      <c r="B16" s="111" t="n"/>
      <c r="C16" s="111" t="n">
        <v>1</v>
      </c>
      <c r="D16" s="111" t="inlineStr">
        <is>
          <t>Call GetJointRevisionList(ProductInstanceUri, fabricated JointOriginId).</t>
        </is>
      </c>
      <c r="E16" s="111" t="inlineStr">
        <is>
          <t>Server claims this Conformance Unit; no additional runtime setup is needed for this step.</t>
        </is>
      </c>
      <c r="F16" s="111" t="inlineStr">
        <is>
          <t>Call Service returns Good; method result code is Uncertain. Status output is 4 (input identifier/entity not found). StatusMessage explains the rejected input; no state change is performed.</t>
        </is>
      </c>
      <c r="G16" s="111" t="inlineStr">
        <is>
          <t>Good</t>
        </is>
      </c>
      <c r="H16" s="111" t="inlineStr">
        <is>
          <t>Uncertain; Status=4 output with StatusMessage</t>
        </is>
      </c>
      <c r="I16" s="111" t="n"/>
      <c r="J16" s="111" t="inlineStr">
        <is>
          <t>OPC 40450-1 Section 11.1 CU-122</t>
        </is>
      </c>
      <c r="K16" s="111" t="inlineStr">
        <is>
          <t>Requirement source: GetJointRevisionList selects by JointOriginId and returns JointDataType[].</t>
        </is>
      </c>
    </row>
    <row r="17">
      <c r="A17" s="110" t="inlineStr">
        <is>
          <t>n</t>
        </is>
      </c>
      <c r="B17" s="110" t="n">
        <v>4</v>
      </c>
      <c r="C17" s="110" t="n">
        <v>0</v>
      </c>
      <c r="D17" s="110" t="inlineStr">
        <is>
          <t>Call GetJointRevisionList when no revisions exist</t>
        </is>
      </c>
      <c r="E17" s="110" t="n"/>
      <c r="F17" s="110" t="n"/>
      <c r="G17" s="110" t="n"/>
      <c r="H17" s="110" t="n"/>
      <c r="I17" s="110" t="inlineStr">
        <is>
          <t>n</t>
        </is>
      </c>
      <c r="J17" s="110" t="inlineStr">
        <is>
          <t>OPC 40450-1 Section 11.1 CU-122</t>
        </is>
      </c>
      <c r="K17" s="110" t="n"/>
    </row>
    <row r="18">
      <c r="A18" s="111" t="n"/>
      <c r="B18" s="111" t="n"/>
      <c r="C18" s="111" t="n">
        <v>1</v>
      </c>
      <c r="D18" s="111" t="inlineStr">
        <is>
          <t>Call for a JointOriginId with a single available revision.</t>
        </is>
      </c>
      <c r="E18" s="111" t="inlineStr">
        <is>
          <t>Server claims this Conformance Unit; no additional runtime setup is needed for this step.</t>
        </is>
      </c>
      <c r="F18" s="111" t="inlineStr">
        <is>
          <t>Returns Good with empty or single-entry JointDataType[] list, depending on whether the server includes the current/original entry as a revision.</t>
        </is>
      </c>
      <c r="G18" s="111" t="inlineStr">
        <is>
          <t>Good</t>
        </is>
      </c>
      <c r="H18" s="111" t="n"/>
      <c r="I18" s="111" t="n"/>
      <c r="J18" s="111" t="inlineStr">
        <is>
          <t>OPC 40450-1 Section 11.1 CU-122</t>
        </is>
      </c>
      <c r="K18" s="111" t="inlineStr">
        <is>
          <t>Requirement source: OPC 40450-1 Section 9.42 - Empty revision list.</t>
        </is>
      </c>
    </row>
    <row r="19">
      <c r="A19" s="110" t="inlineStr">
        <is>
          <t>n</t>
        </is>
      </c>
      <c r="B19" s="110" t="n">
        <v>5</v>
      </c>
      <c r="C19" s="110" t="n">
        <v>0</v>
      </c>
      <c r="D19" s="110" t="inlineStr">
        <is>
          <t>Verify revision list is ordered chronologically</t>
        </is>
      </c>
      <c r="E19" s="110" t="n"/>
      <c r="F19" s="110" t="n"/>
      <c r="G19" s="110" t="n"/>
      <c r="H19" s="110" t="n"/>
      <c r="I19" s="110" t="inlineStr">
        <is>
          <t>n</t>
        </is>
      </c>
      <c r="J19" s="110" t="inlineStr">
        <is>
          <t>OPC 40450-1 Section 11.1 CU-122</t>
        </is>
      </c>
      <c r="K19" s="110" t="n"/>
    </row>
    <row r="20">
      <c r="A20" s="111" t="n"/>
      <c r="B20" s="111" t="n"/>
      <c r="C20" s="111" t="n">
        <v>1</v>
      </c>
      <c r="D20" s="111" t="inlineStr">
        <is>
          <t>Call GetJointRevisionList(ProductInstanceUri, JointOriginId). Check CreationTime/LastUpdatedTime ordering when those optional fields are present.</t>
        </is>
      </c>
      <c r="E20" s="111" t="inlineStr">
        <is>
          <t>Server claims this Conformance Unit; no additional runtime setup is needed for this step.</t>
        </is>
      </c>
      <c r="F20" s="111" t="inlineStr">
        <is>
          <t>Entries are ordered consistently when time metadata is present; if time fields are omitted, ordering is documented and no fabricated RevisionId requirement is introduced.</t>
        </is>
      </c>
      <c r="G20" s="111" t="inlineStr">
        <is>
          <t>Good</t>
        </is>
      </c>
      <c r="H20" s="111" t="n"/>
      <c r="I20" s="111" t="n"/>
      <c r="J20" s="111" t="inlineStr">
        <is>
          <t>OPC 40450-1 Section 11.1 CU-122</t>
        </is>
      </c>
      <c r="K20" s="111" t="inlineStr">
        <is>
          <t>Requirement source: OPC 40450-1 Section 9.42 - Consistent ordering.</t>
        </is>
      </c>
    </row>
  </sheetData>
  <mergeCells count="2">
    <mergeCell ref="A1:K1"/>
    <mergeCell ref="C2:J2"/>
  </mergeCells>
  <pageMargins left="0.75" right="0.75" top="1" bottom="1" header="0.5" footer="0.5"/>
</worksheet>
</file>

<file path=xl/worksheets/sheet129.xml><?xml version="1.0" encoding="utf-8"?>
<worksheet xmlns="http://schemas.openxmlformats.org/spreadsheetml/2006/main">
  <sheetPr codeName="Sheet4">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CU-123: IJT Engineering Units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CU-123 — IJT Engineering Units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EngineeringUnits field present for ResultValueDataType physical quantities</t>
        </is>
      </c>
      <c r="E4" s="58" t="n"/>
      <c r="F4" s="58" t="n"/>
      <c r="G4" s="58" t="n"/>
      <c r="H4" s="58" t="n"/>
      <c r="I4" s="58" t="inlineStr">
        <is>
          <t>n</t>
        </is>
      </c>
      <c r="J4" s="58" t="inlineStr">
        <is>
          <t>OPC 40450-1 Section 11 (CU-123) / OPC 10000-8</t>
        </is>
      </c>
      <c r="K4" s="59" t="inlineStr">
        <is>
          <t>NOTE: Namespace indices are server-assigned. Resolve from NamespaceArray (ns=0;i=2255). 2:=DI, 4:=Machinery, 5:=Machinery Result (OPC 40001-101).</t>
        </is>
      </c>
    </row>
    <row r="5" ht="90.3" customFormat="1" customHeight="1" s="138">
      <c r="A5" s="60" t="n"/>
      <c r="B5" s="61" t="n"/>
      <c r="C5" s="61" t="n">
        <v>1</v>
      </c>
      <c r="D5" s="61" t="inlineStr">
        <is>
          <t>Retrieve a SINGLE_RESULT. Navigate to JoiningResult.StepResults[].StepResultValues[]. For each ResultValueDataType that represents a physical measured quantity, read the EngineeringUnits field.</t>
        </is>
      </c>
      <c r="E5" s="61" t="inlineStr">
        <is>
          <t>At least one single result with StepResultValues available.</t>
        </is>
      </c>
      <c r="F5" s="61" t="inlineStr">
        <is>
          <t>Under CU-123, ResultValueDataType values that represent physical measured quantities provide EngineeringUnits of type EUInformation (OPC 10000-8). UnitId is valid for the physical quantity and DisplayName is human-readable.</t>
        </is>
      </c>
      <c r="G5" s="61" t="inlineStr">
        <is>
          <t>Good</t>
        </is>
      </c>
      <c r="H5" s="61" t="inlineStr">
        <is>
          <t>Good</t>
        </is>
      </c>
      <c r="I5" s="61" t="n"/>
      <c r="J5" s="61" t="inlineStr">
        <is>
          <t>OPC 40450-1 Section 11 (CU-123) / Section 9.1 / OPC 10000-8</t>
        </is>
      </c>
      <c r="K5" s="62" t="n"/>
    </row>
    <row r="6" ht="25.8" customHeight="1" s="132">
      <c r="A6" s="70" t="inlineStr">
        <is>
          <t>y</t>
        </is>
      </c>
      <c r="B6" s="71" t="n">
        <v>2</v>
      </c>
      <c r="C6" s="72" t="n">
        <v>0</v>
      </c>
      <c r="D6" s="72" t="inlineStr">
        <is>
          <t>Verify EngineeringUnits field present for TraceContentDataType physical quantities</t>
        </is>
      </c>
      <c r="E6" s="72" t="n"/>
      <c r="F6" s="72" t="n"/>
      <c r="G6" s="72" t="n"/>
      <c r="H6" s="72" t="n"/>
      <c r="I6" s="72" t="inlineStr">
        <is>
          <t>n</t>
        </is>
      </c>
      <c r="J6" s="72" t="inlineStr">
        <is>
          <t>OPC 40450-1 Section 11 (CU-123) / OPC 10000-8</t>
        </is>
      </c>
      <c r="K6" s="73" t="n"/>
    </row>
    <row r="7" ht="38.7" customHeight="1" s="132">
      <c r="A7" s="61" t="n"/>
      <c r="B7" s="61" t="n"/>
      <c r="C7" s="61" t="n">
        <v>1</v>
      </c>
      <c r="D7" s="61" t="inlineStr">
        <is>
          <t>Retrieve a result with trace data. Navigate to JoiningTraceDataType.StepTraces[].StepTraceContent[]. For each TraceContentDataType, read EngineeringUnits.</t>
        </is>
      </c>
      <c r="E7" s="61" t="inlineStr">
        <is>
          <t>A result with trace data available (CU-22 server).</t>
        </is>
      </c>
      <c r="F7" s="61" t="inlineStr">
        <is>
          <t>TraceContentDataType entries that represent physical trace quantities provide EngineeringUnits appropriate for the PhysicalQuantity. EngineeringUnits.UnitId is valid.</t>
        </is>
      </c>
      <c r="G7" s="61" t="inlineStr">
        <is>
          <t>Good</t>
        </is>
      </c>
      <c r="H7" s="61" t="inlineStr">
        <is>
          <t>Good</t>
        </is>
      </c>
      <c r="I7" s="61" t="n"/>
      <c r="J7" s="61" t="inlineStr">
        <is>
          <t>OPC 40450-1 Section 11 (CU-123) / Section 10 TraceContentDataType</t>
        </is>
      </c>
      <c r="K7" s="61" t="inlineStr">
        <is>
          <t>Cross-CU dependency: only applicable when trace data / CU-22 content is produced by the server under test.</t>
        </is>
      </c>
    </row>
    <row r="8" ht="25.8" customHeight="1" s="132">
      <c r="A8" s="67" t="inlineStr">
        <is>
          <t>y</t>
        </is>
      </c>
      <c r="B8" s="67" t="n">
        <v>3</v>
      </c>
      <c r="C8" s="67" t="n">
        <v>0</v>
      </c>
      <c r="D8" s="67" t="inlineStr">
        <is>
          <t>Verify EngineeringUnits present in ReportedValueDataType when the reported value has a physical quantity</t>
        </is>
      </c>
      <c r="E8" s="67" t="n"/>
      <c r="F8" s="67" t="n"/>
      <c r="G8" s="67" t="n"/>
      <c r="H8" s="67" t="n"/>
      <c r="I8" s="67" t="inlineStr">
        <is>
          <t>n</t>
        </is>
      </c>
      <c r="J8" s="67" t="inlineStr">
        <is>
          <t>OPC 40450-1 Section 11 (CU-123) / OPC 10000-8</t>
        </is>
      </c>
      <c r="K8" s="67" t="n"/>
    </row>
    <row r="9" ht="38.7" customHeight="1" s="132">
      <c r="A9" s="61" t="n"/>
      <c r="B9" s="61" t="n"/>
      <c r="C9" s="61" t="n">
        <v>1</v>
      </c>
      <c r="D9" s="61" t="inlineStr">
        <is>
          <t>Subscribe to events. When an event with ReportedValues[] occurs, inspect ReportedValueDataType entries that represent physical quantities and read EngineeringUnits.</t>
        </is>
      </c>
      <c r="E9" s="61" t="inlineStr">
        <is>
          <t>CU-74 (Event Payload Reported Values) compliant server. At least one event with ReportedValues.</t>
        </is>
      </c>
      <c r="F9" s="61" t="inlineStr">
        <is>
          <t>ReportedValueDataType entries with physical quantities provide EngineeringUnits appropriate for the reported quantity. Values without physical quantity semantics are not failed solely for omitted units.</t>
        </is>
      </c>
      <c r="G9" s="61" t="inlineStr">
        <is>
          <t>Good</t>
        </is>
      </c>
      <c r="H9" s="61" t="inlineStr">
        <is>
          <t>Good</t>
        </is>
      </c>
      <c r="I9" s="61" t="n"/>
      <c r="J9" s="61" t="inlineStr">
        <is>
          <t>OPC 40450-1 Section 11 (CU-123) / Section 10 ReportedValueDataType</t>
        </is>
      </c>
      <c r="K9" s="61" t="n"/>
    </row>
    <row r="10" ht="25.8" customHeight="1" s="132">
      <c r="A10" s="67" t="inlineStr">
        <is>
          <t>y</t>
        </is>
      </c>
      <c r="B10" s="67" t="n">
        <v>4</v>
      </c>
      <c r="C10" s="67" t="n">
        <v>0</v>
      </c>
      <c r="D10" s="67" t="inlineStr">
        <is>
          <t>Verify EngineeringUnits present in DesignValueDataType when the design value has a physical quantity</t>
        </is>
      </c>
      <c r="E10" s="67" t="n"/>
      <c r="F10" s="67" t="n"/>
      <c r="G10" s="67" t="n"/>
      <c r="H10" s="67" t="n"/>
      <c r="I10" s="67" t="inlineStr">
        <is>
          <t>n</t>
        </is>
      </c>
      <c r="J10" s="67" t="inlineStr">
        <is>
          <t>OPC 40450-1 Section 11 (CU-123) / OPC 10000-8</t>
        </is>
      </c>
      <c r="K10" s="67" t="n"/>
    </row>
    <row r="11" ht="38.7" customHeight="1" s="132">
      <c r="A11" s="61" t="n"/>
      <c r="B11" s="61" t="n"/>
      <c r="C11" s="61" t="n">
        <v>1</v>
      </c>
      <c r="D11" s="61" t="inlineStr">
        <is>
          <t>Retrieve a joint design via GetJointDesign. Inspect DesignValues[] in JointDesignContent. For each DesignValueDataType, read EngineeringUnits.</t>
        </is>
      </c>
      <c r="E11" s="61" t="inlineStr">
        <is>
          <t>CU-113 (Get Joint Design) compliant server. At least one joint design with DesignValueDataType entries that represent physical quantities. Skip this row when joint design methods are not in the server profile.</t>
        </is>
      </c>
      <c r="F11" s="61" t="inlineStr">
        <is>
          <t>DesignValueDataType entries that represent physical quantities provide EngineeringUnits appropriate for the design parameter. Optional non-quantity values are not failed solely for omitted units.</t>
        </is>
      </c>
      <c r="G11" s="61" t="inlineStr">
        <is>
          <t>Good</t>
        </is>
      </c>
      <c r="H11" s="61" t="inlineStr">
        <is>
          <t>Good</t>
        </is>
      </c>
      <c r="I11" s="61" t="n"/>
      <c r="J11" s="61" t="inlineStr">
        <is>
          <t>OPC 40450-1 Section 11 (CU-123) / Section 10 DesignValueDataType</t>
        </is>
      </c>
      <c r="K11" s="61" t="inlineStr">
        <is>
          <t>Cross-CU dependency: DesignValueDataType EngineeringUnits can only be checked when joint-design retrieval is supported and populated.</t>
        </is>
      </c>
    </row>
    <row r="12" ht="25.8" customHeight="1" s="132">
      <c r="A12" s="67" t="inlineStr">
        <is>
          <t>y</t>
        </is>
      </c>
      <c r="B12" s="67" t="n">
        <v>5</v>
      </c>
      <c r="C12" s="67" t="n">
        <v>0</v>
      </c>
      <c r="D12" s="67" t="inlineStr">
        <is>
          <t>Verify JoiningDataVariableType variables include EngineeringUnits property</t>
        </is>
      </c>
      <c r="E12" s="67" t="n"/>
      <c r="F12" s="67" t="n"/>
      <c r="G12" s="67" t="n"/>
      <c r="H12" s="67" t="n"/>
      <c r="I12" s="67" t="inlineStr">
        <is>
          <t>n</t>
        </is>
      </c>
      <c r="J12" s="67" t="inlineStr">
        <is>
          <t>OPC 40450-1 Section 11 (CU-123) / OPC 10000-8</t>
        </is>
      </c>
      <c r="K12" s="67" t="n"/>
    </row>
    <row r="13" ht="51.6" customHeight="1" s="132">
      <c r="A13" s="61" t="n"/>
      <c r="B13" s="61" t="n"/>
      <c r="C13" s="61" t="n">
        <v>1</v>
      </c>
      <c r="D13" s="61" t="inlineStr">
        <is>
          <t>Browse the address space for Variables with TypeDefinition = JoiningDataVariableType. For each such variable, verify EngineeringUnits property.</t>
        </is>
      </c>
      <c r="E13" s="61" t="inlineStr">
        <is>
          <t>JoiningSystem with JoiningDataVariableType instances in address space.</t>
        </is>
      </c>
      <c r="F13" s="61" t="inlineStr">
        <is>
          <t>All JoiningDataVariableType variables expose EngineeringUnits as a property. Per spec: "any variable with TypeDefinition JoiningDataVariableType includes EngineeringUnits property with an appropriate value."</t>
        </is>
      </c>
      <c r="G13" s="61" t="inlineStr">
        <is>
          <t>Good</t>
        </is>
      </c>
      <c r="H13" s="61" t="inlineStr">
        <is>
          <t>Good</t>
        </is>
      </c>
      <c r="I13" s="61" t="n"/>
      <c r="J13" s="61" t="inlineStr">
        <is>
          <t>OPC 40450-1 Section 11 (CU-123) / Section 6 JoiningDataVariableType</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EngineeringUnits with null/empty EUInformation is non-conformant</t>
        </is>
      </c>
      <c r="E15" s="69" t="n"/>
      <c r="F15" s="69" t="n"/>
      <c r="G15" s="69" t="n"/>
      <c r="H15" s="69" t="n"/>
      <c r="I15" s="69" t="inlineStr">
        <is>
          <t>n</t>
        </is>
      </c>
      <c r="J15" s="69" t="inlineStr">
        <is>
          <t>OPC 40450-1 Section 11 (CU-123) / OPC 10000-8</t>
        </is>
      </c>
      <c r="K15" s="69" t="n"/>
    </row>
    <row r="16" ht="38.7" customHeight="1" s="132">
      <c r="A16" s="61" t="n"/>
      <c r="B16" s="61" t="n"/>
      <c r="C16" s="61" t="n">
        <v>1</v>
      </c>
      <c r="D16" s="61" t="inlineStr">
        <is>
          <t>Scan ResultValueDataType, TraceContentDataType, ReportedValueDataType, and DesignValueDataType entries that represent physical quantities. Check for any required EngineeringUnits value that is absent or has null UnitId.</t>
        </is>
      </c>
      <c r="E16" s="61" t="inlineStr">
        <is>
          <t>Multiple results with various measurement types retrieved.</t>
        </is>
      </c>
      <c r="F16" s="61" t="inlineStr">
        <is>
          <t>For values representing physical quantities under CU-123, no required EngineeringUnits value is absent or null. Values without physical quantity semantics are handled per data type optionality and are not failed solely for omitted units.</t>
        </is>
      </c>
      <c r="G16" s="61" t="inlineStr">
        <is>
          <t>Good</t>
        </is>
      </c>
      <c r="H16" s="61" t="inlineStr">
        <is>
          <t>Good</t>
        </is>
      </c>
      <c r="I16" s="61" t="n"/>
      <c r="J16" s="61" t="inlineStr">
        <is>
          <t>OPC 40450-1 Section 11 (CU-123)</t>
        </is>
      </c>
      <c r="K16" s="61" t="inlineStr">
        <is>
          <t>UnitId=0 (dimensionless) is allowed for dimensionless quantities</t>
        </is>
      </c>
    </row>
    <row r="17" ht="25.8" customHeight="1" s="132">
      <c r="A17" s="69" t="inlineStr">
        <is>
          <t>n</t>
        </is>
      </c>
      <c r="B17" s="69" t="n">
        <v>2</v>
      </c>
      <c r="C17" s="69" t="n">
        <v>0</v>
      </c>
      <c r="D17" s="69" t="inlineStr">
        <is>
          <t>Verify EngineeringUnits values are consistent across multiple results</t>
        </is>
      </c>
      <c r="E17" s="69" t="n"/>
      <c r="F17" s="69" t="n"/>
      <c r="G17" s="69" t="n"/>
      <c r="H17" s="69" t="n"/>
      <c r="I17" s="69" t="inlineStr">
        <is>
          <t>n</t>
        </is>
      </c>
      <c r="J17" s="69" t="inlineStr">
        <is>
          <t>OPC 40450-1 Section 11 (CU-123) / OPC 10000-8</t>
        </is>
      </c>
      <c r="K17" s="69" t="n"/>
    </row>
    <row r="18" ht="38.7" customHeight="1" s="132">
      <c r="A18" s="61" t="n"/>
      <c r="B18" s="61" t="n"/>
      <c r="C18" s="61" t="n">
        <v>1</v>
      </c>
      <c r="D18" s="61" t="inlineStr">
        <is>
          <t>Retrieve 5 results. For Torque ResultValues: compare EngineeringUnits across results.</t>
        </is>
      </c>
      <c r="E18" s="61" t="inlineStr">
        <is>
          <t>Five results with Torque StepResultValues.</t>
        </is>
      </c>
      <c r="F18" s="61" t="inlineStr">
        <is>
          <t>Torque EngineeringUnits.UnitId is the same across all 5 results (e.g. always N·m). EU is not result-specific — it is device/program configuration, and should be consistent.</t>
        </is>
      </c>
      <c r="G18" s="61" t="inlineStr">
        <is>
          <t>Good</t>
        </is>
      </c>
      <c r="H18" s="61" t="inlineStr">
        <is>
          <t>Good</t>
        </is>
      </c>
      <c r="I18" s="61" t="n"/>
      <c r="J18" s="61" t="inlineStr">
        <is>
          <t>OPC 40450-1 Section 11 (CU-123) / Section 9.1</t>
        </is>
      </c>
      <c r="K18" s="61" t="n"/>
    </row>
    <row r="19">
      <c r="A19" s="110" t="inlineStr">
        <is>
          <t>n</t>
        </is>
      </c>
      <c r="B19" s="110" t="n">
        <v>3</v>
      </c>
      <c r="C19" s="110" t="n">
        <v>0</v>
      </c>
      <c r="D19" s="110" t="inlineStr">
        <is>
          <t>Verify PhysicalQuantity value 255 is not valid</t>
        </is>
      </c>
      <c r="E19" s="110" t="n"/>
      <c r="F19" s="110" t="n"/>
      <c r="G19" s="110" t="n"/>
      <c r="H19" s="110" t="n"/>
      <c r="I19" s="110" t="inlineStr">
        <is>
          <t>n</t>
        </is>
      </c>
      <c r="J19" s="110" t="inlineStr">
        <is>
          <t>OPC 40450-1 Section 11.1 CU-123</t>
        </is>
      </c>
      <c r="K19" s="110" t="n"/>
    </row>
    <row r="20">
      <c r="A20" s="111" t="n"/>
      <c r="B20" s="111" t="n"/>
      <c r="C20" s="111" t="n">
        <v>1</v>
      </c>
      <c r="D20" s="111" t="inlineStr">
        <is>
          <t>Read PhysicalQuantity values from results. Verify none &gt; 28.</t>
        </is>
      </c>
      <c r="E20" s="111" t="inlineStr">
        <is>
          <t>Server claims this Conformance Unit; no additional runtime setup is needed for this step.</t>
        </is>
      </c>
      <c r="F20" s="111" t="inlineStr">
        <is>
          <t>No PhysicalQuantity value &gt; 28.</t>
        </is>
      </c>
      <c r="G20" s="111" t="inlineStr">
        <is>
          <t>Good</t>
        </is>
      </c>
      <c r="H20" s="111" t="n"/>
      <c r="I20" s="111" t="n"/>
      <c r="J20" s="111" t="inlineStr">
        <is>
          <t>OPC 40450-1 Section 11.1 CU-123</t>
        </is>
      </c>
      <c r="K20" s="111" t="inlineStr">
        <is>
          <t>Requirement source: OPC 40450-1 Table 215 - PhysicalQuantity range 0-28.</t>
        </is>
      </c>
    </row>
    <row r="21">
      <c r="A21" s="110" t="inlineStr">
        <is>
          <t>n</t>
        </is>
      </c>
      <c r="B21" s="110" t="n">
        <v>4</v>
      </c>
      <c r="C21" s="110" t="n">
        <v>0</v>
      </c>
      <c r="D21" s="110" t="inlineStr">
        <is>
          <t>Verify EngineeringUnits.UnitId matches UNECE codes</t>
        </is>
      </c>
      <c r="E21" s="110" t="n"/>
      <c r="F21" s="110" t="n"/>
      <c r="G21" s="110" t="n"/>
      <c r="H21" s="110" t="n"/>
      <c r="I21" s="110" t="inlineStr">
        <is>
          <t>n</t>
        </is>
      </c>
      <c r="J21" s="110" t="inlineStr">
        <is>
          <t>OPC 40450-1 Section 11.1 CU-123</t>
        </is>
      </c>
      <c r="K21" s="110" t="n"/>
    </row>
    <row r="22">
      <c r="A22" s="111" t="n"/>
      <c r="B22" s="111" t="n"/>
      <c r="C22" s="111" t="n">
        <v>1</v>
      </c>
      <c r="D22" s="111" t="inlineStr">
        <is>
          <t>Check known units: Nm=4417 (TORQUE), deg=9262 (ANGLE). Read UnitId.</t>
        </is>
      </c>
      <c r="E22" s="111" t="inlineStr">
        <is>
          <t>Server claims this Conformance Unit; no additional runtime setup is needed for this step.</t>
        </is>
      </c>
      <c r="F22" s="111" t="inlineStr">
        <is>
          <t>UnitId values match expected UNECE codes.</t>
        </is>
      </c>
      <c r="G22" s="111" t="inlineStr">
        <is>
          <t>Good</t>
        </is>
      </c>
      <c r="H22" s="111" t="n"/>
      <c r="I22" s="111" t="n"/>
      <c r="J22" s="111" t="inlineStr">
        <is>
          <t>OPC 40450-1 Section 11.1 CU-123</t>
        </is>
      </c>
      <c r="K22" s="111" t="inlineStr">
        <is>
          <t>Requirement source: OPC 40450-1 Section 12 - UNECE Recommendation 20 codes.</t>
        </is>
      </c>
    </row>
    <row r="23">
      <c r="A23" s="110" t="inlineStr">
        <is>
          <t>n</t>
        </is>
      </c>
      <c r="B23" s="110" t="n">
        <v>5</v>
      </c>
      <c r="C23" s="110" t="n">
        <v>0</v>
      </c>
      <c r="D23" s="110" t="inlineStr">
        <is>
          <t>Verify PhysicalQuantity/EngineeringUnits consistency</t>
        </is>
      </c>
      <c r="E23" s="110" t="n"/>
      <c r="F23" s="110" t="n"/>
      <c r="G23" s="110" t="n"/>
      <c r="H23" s="110" t="n"/>
      <c r="I23" s="110" t="inlineStr">
        <is>
          <t>n</t>
        </is>
      </c>
      <c r="J23" s="110" t="inlineStr">
        <is>
          <t>OPC 40450-1 Section 11.1 CU-123</t>
        </is>
      </c>
      <c r="K23" s="110" t="n"/>
    </row>
    <row r="24" ht="25.8" customHeight="1" s="132">
      <c r="A24" s="111" t="n"/>
      <c r="B24" s="111" t="n"/>
      <c r="C24" s="111" t="n">
        <v>1</v>
      </c>
      <c r="D24" s="111" t="inlineStr">
        <is>
          <t>Check PhysicalQuantity=TORQUE(2) does not have EngineeringUnits=degrees.</t>
        </is>
      </c>
      <c r="E24" s="111" t="inlineStr">
        <is>
          <t>Server claims this Conformance Unit; no additional runtime setup is needed for this step.</t>
        </is>
      </c>
      <c r="F24" s="111" t="inlineStr">
        <is>
          <t>No mismatch between PhysicalQuantity and EngineeringUnits.</t>
        </is>
      </c>
      <c r="G24" s="111" t="inlineStr">
        <is>
          <t>Good</t>
        </is>
      </c>
      <c r="H24" s="111" t="n"/>
      <c r="I24" s="111" t="n"/>
      <c r="J24" s="111" t="inlineStr">
        <is>
          <t>OPC 40450-1 Section 11.1 CU-123</t>
        </is>
      </c>
      <c r="K24" s="111" t="inlineStr">
        <is>
          <t>Requirement source: OPC 40450-1 Section 12 - Unit must match quantity.</t>
        </is>
      </c>
    </row>
  </sheetData>
  <mergeCells count="2">
    <mergeCell ref="A1:K1"/>
    <mergeCell ref="C2:J2"/>
  </mergeCell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Alexander Allmendinger</dc:creator>
  <dcterms:created xmlns:dcterms="http://purl.org/dc/terms/" xmlns:xsi="http://www.w3.org/2001/XMLSchema-instance" xsi:type="dcterms:W3CDTF">2014-04-15T22:41:47Z</dcterms:created>
  <dcterms:modified xmlns:dcterms="http://purl.org/dc/terms/" xmlns:xsi="http://www.w3.org/2001/XMLSchema-instance" xsi:type="dcterms:W3CDTF">2026-05-04T12:08:15Z</dcterms:modified>
  <cp:lastModifiedBy>Mohit Agarwal</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0x010100A846AF89A598B94582DF5DB876977424</vt:lpwstr>
  </property>
  <property name="Eigentümer" fmtid="{D5CDD505-2E9C-101B-9397-08002B2CF9AE}" pid="3">
    <vt:lpwstr xmlns:vt="http://schemas.openxmlformats.org/officeDocument/2006/docPropsVTypes">0x01010040BCF6C5A811AB40BAC6E477668405FA</vt:lpwstr>
  </property>
  <property name="MediaServiceImageTags" fmtid="{D5CDD505-2E9C-101B-9397-08002B2CF9AE}" pid="4">
    <vt:lpwstr xmlns:vt="http://schemas.openxmlformats.org/officeDocument/2006/docPropsVTypes"/>
  </property>
</Properties>
</file>