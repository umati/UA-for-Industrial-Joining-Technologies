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book.xml" ContentType="application/vnd.ms-excel.sheet.macroEnabled.main+xml"/>
  <Override PartName="/docMetadata/LabelInfo.xml" ContentType="application/vnd.ms-office.classificationlabels+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 Id="rId5" Type="http://schemas.microsoft.com/office/2020/02/relationships/classificationlabels" Target="docMetadata/LabelInfo.xml"/></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7480" yWindow="11220" windowWidth="29040" windowHeight="15720" tabRatio="817" firstSheet="67" activeTab="71" autoFilterDateGrouping="1"/>
  </bookViews>
  <sheets>
    <sheet xmlns:r="http://schemas.openxmlformats.org/officeDocument/2006/relationships" name="Home" sheetId="1" state="visible" r:id="rId1"/>
    <sheet xmlns:r="http://schemas.openxmlformats.org/officeDocument/2006/relationships" name="Common References" sheetId="2" state="visible" r:id="rId2"/>
    <sheet xmlns:r="http://schemas.openxmlformats.org/officeDocument/2006/relationships" name="Type Inventory" sheetId="3" state="visible" r:id="rId3"/>
    <sheet xmlns:r="http://schemas.openxmlformats.org/officeDocument/2006/relationships" name="JS Base" sheetId="4" state="visible" r:id="rId4"/>
    <sheet xmlns:r="http://schemas.openxmlformats.org/officeDocument/2006/relationships" name="JS Identification" sheetId="5" state="visible" r:id="rId5"/>
    <sheet xmlns:r="http://schemas.openxmlformats.org/officeDocument/2006/relationships" name="JS Machinery Building Blocks" sheetId="6" state="visible" r:id="rId6"/>
    <sheet xmlns:r="http://schemas.openxmlformats.org/officeDocument/2006/relationships" name="Asset Management" sheetId="7" state="visible" r:id="rId7"/>
    <sheet xmlns:r="http://schemas.openxmlformats.org/officeDocument/2006/relationships" name="Result Management" sheetId="8" state="visible" r:id="rId8"/>
    <sheet xmlns:r="http://schemas.openxmlformats.org/officeDocument/2006/relationships" name="Single Result" sheetId="9" state="visible" r:id="rId9"/>
    <sheet xmlns:r="http://schemas.openxmlformats.org/officeDocument/2006/relationships" name="Basic Result" sheetId="10" state="visible" r:id="rId10"/>
    <sheet xmlns:r="http://schemas.openxmlformats.org/officeDocument/2006/relationships" name="Result Additional Data" sheetId="11" state="visible" r:id="rId11"/>
    <sheet xmlns:r="http://schemas.openxmlformats.org/officeDocument/2006/relationships" name="Result Extended Meta Data" sheetId="12" state="visible" r:id="rId12"/>
    <sheet xmlns:r="http://schemas.openxmlformats.org/officeDocument/2006/relationships" name="Result Processing Times" sheetId="13" state="visible" r:id="rId13"/>
    <sheet xmlns:r="http://schemas.openxmlformats.org/officeDocument/2006/relationships" name="Result Processing Durations" sheetId="14" state="visible" r:id="rId14"/>
    <sheet xmlns:r="http://schemas.openxmlformats.org/officeDocument/2006/relationships" name="Result Event Access" sheetId="15" state="visible" r:id="rId15"/>
    <sheet xmlns:r="http://schemas.openxmlformats.org/officeDocument/2006/relationships" name="Get Latest Result" sheetId="16" state="visible" r:id="rId16"/>
    <sheet xmlns:r="http://schemas.openxmlformats.org/officeDocument/2006/relationships" name="Get Result by Id" sheetId="17" state="visible" r:id="rId17"/>
    <sheet xmlns:r="http://schemas.openxmlformats.org/officeDocument/2006/relationships" name="Get Result with Filter Criteria" sheetId="18" state="visible" r:id="rId18"/>
    <sheet xmlns:r="http://schemas.openxmlformats.org/officeDocument/2006/relationships" name="Result Variable Access" sheetId="19" state="visible" r:id="rId19"/>
    <sheet xmlns:r="http://schemas.openxmlformats.org/officeDocument/2006/relationships" name="Result Internal Identifiers" sheetId="20" state="visible" r:id="rId20"/>
    <sheet xmlns:r="http://schemas.openxmlformats.org/officeDocument/2006/relationships" name="Result External Identifiers" sheetId="21" state="visible" r:id="rId21"/>
    <sheet xmlns:r="http://schemas.openxmlformats.org/officeDocument/2006/relationships" name="JR Failure Reason" sheetId="22" state="visible" r:id="rId22"/>
    <sheet xmlns:r="http://schemas.openxmlformats.org/officeDocument/2006/relationships" name="JR Overall Result Values" sheetId="23" state="visible" r:id="rId23"/>
    <sheet xmlns:r="http://schemas.openxmlformats.org/officeDocument/2006/relationships" name="JR Step Results" sheetId="24" state="visible" r:id="rId24"/>
    <sheet xmlns:r="http://schemas.openxmlformats.org/officeDocument/2006/relationships" name="JR Errors" sheetId="25" state="visible" r:id="rId25"/>
    <sheet xmlns:r="http://schemas.openxmlformats.org/officeDocument/2006/relationships" name="JR Trace" sheetId="26" state="visible" r:id="rId26"/>
    <sheet xmlns:r="http://schemas.openxmlformats.org/officeDocument/2006/relationships" name="RV Trace Point Time Offset" sheetId="27" state="visible" r:id="rId27"/>
    <sheet xmlns:r="http://schemas.openxmlformats.org/officeDocument/2006/relationships" name="RV Trace Point Index" sheetId="28" state="visible" r:id="rId28"/>
    <sheet xmlns:r="http://schemas.openxmlformats.org/officeDocument/2006/relationships" name="Sync Result" sheetId="29" state="visible" r:id="rId29"/>
    <sheet xmlns:r="http://schemas.openxmlformats.org/officeDocument/2006/relationships" name="Sync Result Counters" sheetId="30" state="visible" r:id="rId30"/>
    <sheet xmlns:r="http://schemas.openxmlformats.org/officeDocument/2006/relationships" name="Batch Result" sheetId="31" state="visible" r:id="rId31"/>
    <sheet xmlns:r="http://schemas.openxmlformats.org/officeDocument/2006/relationships" name="Intervention Result" sheetId="32" state="visible" r:id="rId32"/>
    <sheet xmlns:r="http://schemas.openxmlformats.org/officeDocument/2006/relationships" name="Batch Result Counters" sheetId="33" state="visible" r:id="rId33"/>
    <sheet xmlns:r="http://schemas.openxmlformats.org/officeDocument/2006/relationships" name="Job Result" sheetId="34" state="visible" r:id="rId34"/>
    <sheet xmlns:r="http://schemas.openxmlformats.org/officeDocument/2006/relationships" name="RV Final Tag" sheetId="35" state="visible" r:id="rId35"/>
    <sheet xmlns:r="http://schemas.openxmlformats.org/officeDocument/2006/relationships" name="CR Self Contained" sheetId="36" state="visible" r:id="rId36"/>
    <sheet xmlns:r="http://schemas.openxmlformats.org/officeDocument/2006/relationships" name="CR with References" sheetId="37" state="visible" r:id="rId37"/>
    <sheet xmlns:r="http://schemas.openxmlformats.org/officeDocument/2006/relationships" name="CR Partial" sheetId="38" state="visible" r:id="rId38"/>
    <sheet xmlns:r="http://schemas.openxmlformats.org/officeDocument/2006/relationships" name="Result Content" sheetId="39" state="visible" r:id="rId39"/>
    <sheet xmlns:r="http://schemas.openxmlformats.org/officeDocument/2006/relationships" name="Request Results" sheetId="40" state="visible" r:id="rId40"/>
    <sheet xmlns:r="http://schemas.openxmlformats.org/officeDocument/2006/relationships" name="RequestedResult Variable Access" sheetId="41" state="visible" r:id="rId41"/>
    <sheet xmlns:r="http://schemas.openxmlformats.org/officeDocument/2006/relationships" name="RequestedResult Event Access" sheetId="42" state="visible" r:id="rId42"/>
    <sheet xmlns:r="http://schemas.openxmlformats.org/officeDocument/2006/relationships" name="Acknowledge Results" sheetId="43" state="visible" r:id="rId43"/>
    <sheet xmlns:r="http://schemas.openxmlformats.org/officeDocument/2006/relationships" name="Request Unacknowledged Results" sheetId="44" state="visible" r:id="rId44"/>
    <sheet xmlns:r="http://schemas.openxmlformats.org/officeDocument/2006/relationships" name="AM Controller" sheetId="45" state="visible" r:id="rId45"/>
    <sheet xmlns:r="http://schemas.openxmlformats.org/officeDocument/2006/relationships" name="AM Tool" sheetId="46" state="visible" r:id="rId46"/>
    <sheet xmlns:r="http://schemas.openxmlformats.org/officeDocument/2006/relationships" name="AM Servo" sheetId="47" state="visible" r:id="rId47"/>
    <sheet xmlns:r="http://schemas.openxmlformats.org/officeDocument/2006/relationships" name="AM Memory Device" sheetId="48" state="visible" r:id="rId48"/>
    <sheet xmlns:r="http://schemas.openxmlformats.org/officeDocument/2006/relationships" name="AM Cable" sheetId="49" state="visible" r:id="rId49"/>
    <sheet xmlns:r="http://schemas.openxmlformats.org/officeDocument/2006/relationships" name="AM Power Supply" sheetId="50" state="visible" r:id="rId50"/>
    <sheet xmlns:r="http://schemas.openxmlformats.org/officeDocument/2006/relationships" name="AM Feeder" sheetId="51" state="visible" r:id="rId51"/>
    <sheet xmlns:r="http://schemas.openxmlformats.org/officeDocument/2006/relationships" name="AM Battery" sheetId="52" state="visible" r:id="rId52"/>
    <sheet xmlns:r="http://schemas.openxmlformats.org/officeDocument/2006/relationships" name="AM Sensor" sheetId="53" state="visible" r:id="rId53"/>
    <sheet xmlns:r="http://schemas.openxmlformats.org/officeDocument/2006/relationships" name="AM Accessory" sheetId="54" state="visible" r:id="rId54"/>
    <sheet xmlns:r="http://schemas.openxmlformats.org/officeDocument/2006/relationships" name="AM Software" sheetId="55" state="visible" r:id="rId55"/>
    <sheet xmlns:r="http://schemas.openxmlformats.org/officeDocument/2006/relationships" name="AM SubComponent" sheetId="56" state="visible" r:id="rId56"/>
    <sheet xmlns:r="http://schemas.openxmlformats.org/officeDocument/2006/relationships" name="AM Virtual Station" sheetId="57" state="visible" r:id="rId57"/>
    <sheet xmlns:r="http://schemas.openxmlformats.org/officeDocument/2006/relationships" name="AM Operation Counters" sheetId="58" state="visible" r:id="rId58"/>
    <sheet xmlns:r="http://schemas.openxmlformats.org/officeDocument/2006/relationships" name="AM Tool Op Cycle Counter" sheetId="59" state="visible" r:id="rId59"/>
    <sheet xmlns:r="http://schemas.openxmlformats.org/officeDocument/2006/relationships" name="AM Battery Op Cycle Counter" sheetId="60" state="visible" r:id="rId60"/>
    <sheet xmlns:r="http://schemas.openxmlformats.org/officeDocument/2006/relationships" name="AM Health" sheetId="61" state="visible" r:id="rId61"/>
    <sheet xmlns:r="http://schemas.openxmlformats.org/officeDocument/2006/relationships" name="AM Monitoring Health" sheetId="62" state="visible" r:id="rId62"/>
    <sheet xmlns:r="http://schemas.openxmlformats.org/officeDocument/2006/relationships" name="AM Service" sheetId="63" state="visible" r:id="rId63"/>
    <sheet xmlns:r="http://schemas.openxmlformats.org/officeDocument/2006/relationships" name="AM Calibration" sheetId="64" state="visible" r:id="rId64"/>
    <sheet xmlns:r="http://schemas.openxmlformats.org/officeDocument/2006/relationships" name="AM Additional Information" sheetId="65" state="visible" r:id="rId65"/>
    <sheet xmlns:r="http://schemas.openxmlformats.org/officeDocument/2006/relationships" name="AM Machinery Building Blocks" sheetId="66" state="visible" r:id="rId66"/>
    <sheet xmlns:r="http://schemas.openxmlformats.org/officeDocument/2006/relationships" name="Method Input Argument" sheetId="67" state="visible" r:id="rId67"/>
    <sheet xmlns:r="http://schemas.openxmlformats.org/officeDocument/2006/relationships" name="Disconnect Asset" sheetId="68" state="visible" r:id="rId68"/>
    <sheet xmlns:r="http://schemas.openxmlformats.org/officeDocument/2006/relationships" name="Enable Tool" sheetId="69" state="visible" r:id="rId69"/>
    <sheet xmlns:r="http://schemas.openxmlformats.org/officeDocument/2006/relationships" name="Send Identifiers Methods" sheetId="70" state="visible" r:id="rId70"/>
    <sheet xmlns:r="http://schemas.openxmlformats.org/officeDocument/2006/relationships" name="Get Identifiers Method" sheetId="71" state="visible" r:id="rId71"/>
    <sheet xmlns:r="http://schemas.openxmlformats.org/officeDocument/2006/relationships" name="Reset Identifiers Method" sheetId="72" state="visible" r:id="rId72"/>
    <sheet xmlns:r="http://schemas.openxmlformats.org/officeDocument/2006/relationships" name="Set Calibration" sheetId="73" state="visible" r:id="rId73"/>
    <sheet xmlns:r="http://schemas.openxmlformats.org/officeDocument/2006/relationships" name="Reboot Asset" sheetId="74" state="visible" r:id="rId74"/>
    <sheet xmlns:r="http://schemas.openxmlformats.org/officeDocument/2006/relationships" name="Feedback Methods" sheetId="75" state="visible" r:id="rId75"/>
    <sheet xmlns:r="http://schemas.openxmlformats.org/officeDocument/2006/relationships" name="Set Time" sheetId="76" state="visible" r:id="rId76"/>
    <sheet xmlns:r="http://schemas.openxmlformats.org/officeDocument/2006/relationships" name="Set Offline Timer" sheetId="77" state="visible" r:id="rId77"/>
    <sheet xmlns:r="http://schemas.openxmlformats.org/officeDocument/2006/relationships" name="IO Signals Methods" sheetId="78" state="visible" r:id="rId78"/>
    <sheet xmlns:r="http://schemas.openxmlformats.org/officeDocument/2006/relationships" name="Get Error Information" sheetId="79" state="visible" r:id="rId79"/>
    <sheet xmlns:r="http://schemas.openxmlformats.org/officeDocument/2006/relationships" name="Execute Operation" sheetId="80" state="visible" r:id="rId80"/>
    <sheet xmlns:r="http://schemas.openxmlformats.org/officeDocument/2006/relationships" name="Event Payload" sheetId="81" state="visible" r:id="rId81"/>
    <sheet xmlns:r="http://schemas.openxmlformats.org/officeDocument/2006/relationships" name="Event Condition Classes" sheetId="82" state="visible" r:id="rId82"/>
    <sheet xmlns:r="http://schemas.openxmlformats.org/officeDocument/2006/relationships" name="Asset Connection Event" sheetId="83" state="visible" r:id="rId83"/>
    <sheet xmlns:r="http://schemas.openxmlformats.org/officeDocument/2006/relationships" name="Asset Connection State Event" sheetId="84" state="visible" r:id="rId84"/>
    <sheet xmlns:r="http://schemas.openxmlformats.org/officeDocument/2006/relationships" name="Asset Enable State Event" sheetId="85" state="visible" r:id="rId85"/>
    <sheet xmlns:r="http://schemas.openxmlformats.org/officeDocument/2006/relationships" name="Event Payload Assoc Entities" sheetId="86" state="visible" r:id="rId86"/>
    <sheet xmlns:r="http://schemas.openxmlformats.org/officeDocument/2006/relationships" name="Event Payload Reported Values" sheetId="87" state="visible" r:id="rId87"/>
    <sheet xmlns:r="http://schemas.openxmlformats.org/officeDocument/2006/relationships" name="Identifiers Event" sheetId="88" state="visible" r:id="rId88"/>
    <sheet xmlns:r="http://schemas.openxmlformats.org/officeDocument/2006/relationships" name="Select Process Event" sheetId="89" state="visible" r:id="rId89"/>
    <sheet xmlns:r="http://schemas.openxmlformats.org/officeDocument/2006/relationships" name="Joining Process Management" sheetId="90" state="visible" r:id="rId90"/>
    <sheet xmlns:r="http://schemas.openxmlformats.org/officeDocument/2006/relationships" name="Get Joining Process List" sheetId="91" state="visible" r:id="rId91"/>
    <sheet xmlns:r="http://schemas.openxmlformats.org/officeDocument/2006/relationships" name="Abort Joining Process" sheetId="92" state="visible" r:id="rId92"/>
    <sheet xmlns:r="http://schemas.openxmlformats.org/officeDocument/2006/relationships" name="Start Selected Joining" sheetId="93" state="visible" r:id="rId93"/>
    <sheet xmlns:r="http://schemas.openxmlformats.org/officeDocument/2006/relationships" name="Select Joining Process" sheetId="94" state="visible" r:id="rId94"/>
    <sheet xmlns:r="http://schemas.openxmlformats.org/officeDocument/2006/relationships" name="Deselect Joining Process" sheetId="95" state="visible" r:id="rId95"/>
    <sheet xmlns:r="http://schemas.openxmlformats.org/officeDocument/2006/relationships" name="Reset Joining Process" sheetId="96" state="visible" r:id="rId96"/>
    <sheet xmlns:r="http://schemas.openxmlformats.org/officeDocument/2006/relationships" name="Increment JP Counter" sheetId="97" state="visible" r:id="rId97"/>
    <sheet xmlns:r="http://schemas.openxmlformats.org/officeDocument/2006/relationships" name="Decrement JP Counter" sheetId="98" state="visible" r:id="rId98"/>
    <sheet xmlns:r="http://schemas.openxmlformats.org/officeDocument/2006/relationships" name="Set Joining Process Size" sheetId="99" state="visible" r:id="rId99"/>
    <sheet xmlns:r="http://schemas.openxmlformats.org/officeDocument/2006/relationships" name="Start Joining Process" sheetId="100" state="visible" r:id="rId100"/>
    <sheet xmlns:r="http://schemas.openxmlformats.org/officeDocument/2006/relationships" name="Delete Joining Process" sheetId="101" state="visible" r:id="rId101"/>
    <sheet xmlns:r="http://schemas.openxmlformats.org/officeDocument/2006/relationships" name="Get Selected Joining Program" sheetId="102" state="visible" r:id="rId102"/>
    <sheet xmlns:r="http://schemas.openxmlformats.org/officeDocument/2006/relationships" name="Send Joining Process" sheetId="103" state="visible" r:id="rId103"/>
    <sheet xmlns:r="http://schemas.openxmlformats.org/officeDocument/2006/relationships" name="Get Joining Process" sheetId="104" state="visible" r:id="rId104"/>
    <sheet xmlns:r="http://schemas.openxmlformats.org/officeDocument/2006/relationships" name="Set Joining Process Counter" sheetId="105" state="visible" r:id="rId105"/>
    <sheet xmlns:r="http://schemas.openxmlformats.org/officeDocument/2006/relationships" name="Set Joining Process Mapping" sheetId="106" state="visible" r:id="rId106"/>
    <sheet xmlns:r="http://schemas.openxmlformats.org/officeDocument/2006/relationships" name="Get JP Revision List" sheetId="107" state="visible" r:id="rId107"/>
    <sheet xmlns:r="http://schemas.openxmlformats.org/officeDocument/2006/relationships" name="Joint Management" sheetId="108" state="visible" r:id="rId108"/>
    <sheet xmlns:r="http://schemas.openxmlformats.org/officeDocument/2006/relationships" name="Send Joint" sheetId="109" state="visible" r:id="rId109"/>
    <sheet xmlns:r="http://schemas.openxmlformats.org/officeDocument/2006/relationships" name="Get Joint List" sheetId="110" state="visible" r:id="rId110"/>
    <sheet xmlns:r="http://schemas.openxmlformats.org/officeDocument/2006/relationships" name="Select Joint" sheetId="111" state="visible" r:id="rId111"/>
    <sheet xmlns:r="http://schemas.openxmlformats.org/officeDocument/2006/relationships" name="Get Joint" sheetId="112" state="visible" r:id="rId112"/>
    <sheet xmlns:r="http://schemas.openxmlformats.org/officeDocument/2006/relationships" name="Joint Data" sheetId="113" state="visible" r:id="rId113"/>
    <sheet xmlns:r="http://schemas.openxmlformats.org/officeDocument/2006/relationships" name="Delete Joint" sheetId="114" state="visible" r:id="rId114"/>
    <sheet xmlns:r="http://schemas.openxmlformats.org/officeDocument/2006/relationships" name="Send Joint Design" sheetId="115" state="visible" r:id="rId115"/>
    <sheet xmlns:r="http://schemas.openxmlformats.org/officeDocument/2006/relationships" name="Get Joint Design List" sheetId="116" state="visible" r:id="rId116"/>
    <sheet xmlns:r="http://schemas.openxmlformats.org/officeDocument/2006/relationships" name="Get Joint Design" sheetId="117" state="visible" r:id="rId117"/>
    <sheet xmlns:r="http://schemas.openxmlformats.org/officeDocument/2006/relationships" name="Joint Design Data" sheetId="118" state="visible" r:id="rId118"/>
    <sheet xmlns:r="http://schemas.openxmlformats.org/officeDocument/2006/relationships" name="Delete Joint Design" sheetId="119" state="visible" r:id="rId119"/>
    <sheet xmlns:r="http://schemas.openxmlformats.org/officeDocument/2006/relationships" name="Send Joint Component" sheetId="120" state="visible" r:id="rId120"/>
    <sheet xmlns:r="http://schemas.openxmlformats.org/officeDocument/2006/relationships" name="Get Joint Component List" sheetId="121" state="visible" r:id="rId121"/>
    <sheet xmlns:r="http://schemas.openxmlformats.org/officeDocument/2006/relationships" name="Get Joint Component" sheetId="122" state="visible" r:id="rId122"/>
    <sheet xmlns:r="http://schemas.openxmlformats.org/officeDocument/2006/relationships" name="Joint Component Data" sheetId="123" state="visible" r:id="rId123"/>
    <sheet xmlns:r="http://schemas.openxmlformats.org/officeDocument/2006/relationships" name="Delete Joint Component" sheetId="124" state="visible" r:id="rId124"/>
    <sheet xmlns:r="http://schemas.openxmlformats.org/officeDocument/2006/relationships" name="Get Joint Revision List" sheetId="125" state="visible" r:id="rId125"/>
    <sheet xmlns:r="http://schemas.openxmlformats.org/officeDocument/2006/relationships" name="Engineering Units" sheetId="126" state="visible" r:id="rId126"/>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55">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family val="2"/>
      <b val="1"/>
      <color rgb="FFFFFFFF"/>
      <sz val="11"/>
    </font>
    <font>
      <name val="Calibri"/>
      <family val="2"/>
      <color rgb="FF000000"/>
      <sz val="10"/>
    </font>
    <font>
      <name val="Calibri"/>
      <family val="2"/>
      <b val="1"/>
      <color rgb="FF1F497D"/>
      <sz val="10"/>
    </font>
    <font>
      <name val="Calibri"/>
      <family val="2"/>
      <color rgb="FF000000"/>
      <sz val="10"/>
    </font>
    <font>
      <name val="Calibri"/>
      <family val="2"/>
      <color rgb="FF375623"/>
      <sz val="10"/>
    </font>
    <font>
      <name val="Calibri"/>
      <family val="2"/>
      <b val="1"/>
      <color rgb="FF000000"/>
      <sz val="11"/>
    </font>
    <font>
      <name val="Calibri"/>
      <family val="2"/>
      <b val="1"/>
      <color rgb="FFCC0000"/>
      <sz val="10"/>
    </font>
    <font>
      <name val="Calibri"/>
      <family val="2"/>
      <b val="1"/>
      <color rgb="FFFFFFFF"/>
      <sz val="18"/>
    </font>
    <font>
      <name val="Calibri"/>
      <family val="2"/>
      <b val="1"/>
      <color rgb="FFFFFFFF"/>
      <sz val="11"/>
    </font>
    <font>
      <name val="Calibri"/>
      <family val="2"/>
      <i val="1"/>
      <color rgb="FF595959"/>
      <sz val="8"/>
    </font>
    <font>
      <name val="Calibri"/>
      <family val="2"/>
      <b val="1"/>
      <color rgb="FF000000"/>
      <sz val="10"/>
    </font>
    <font>
      <name val="Calibri"/>
      <family val="2"/>
      <b val="1"/>
      <color rgb="FFFFFFFF"/>
      <sz val="10"/>
    </font>
    <font>
      <name val="Calibri"/>
      <family val="2"/>
      <b val="1"/>
      <color rgb="FF2E75B6"/>
      <sz val="10"/>
    </font>
    <font>
      <name val="Calibri"/>
      <family val="2"/>
      <b val="1"/>
      <color rgb="FF1F497D"/>
      <sz val="11"/>
    </font>
    <font>
      <name val="Calibri"/>
      <family val="2"/>
      <sz val="10"/>
    </font>
    <font>
      <name val="Calibri"/>
      <family val="2"/>
      <b val="1"/>
      <sz val="10"/>
    </font>
    <font>
      <name val="Calibri"/>
      <family val="2"/>
      <b val="1"/>
      <color rgb="FF1F497D"/>
      <sz val="10"/>
      <u val="single"/>
    </font>
    <font>
      <name val="Calibri"/>
      <family val="2"/>
      <b val="1"/>
      <color rgb="FF000000"/>
      <sz val="10"/>
    </font>
    <font>
      <name val="Calibri"/>
      <family val="2"/>
      <b val="1"/>
      <color rgb="FFFFFFFF"/>
      <sz val="14"/>
    </font>
    <font>
      <name val="Calibri"/>
      <family val="2"/>
      <b val="1"/>
      <color rgb="FFFFFFFF"/>
      <sz val="10"/>
    </font>
    <font>
      <name val="Calibri"/>
      <family val="2"/>
      <color rgb="FF000000"/>
      <sz val="9"/>
    </font>
    <font>
      <name val="Calibri"/>
      <family val="2"/>
      <sz val="9"/>
    </font>
    <font>
      <name val="Calibri"/>
      <family val="2"/>
      <b val="1"/>
      <color rgb="FFFFFFFF"/>
      <sz val="10"/>
    </font>
    <font>
      <name val="Calibri"/>
      <family val="2"/>
      <sz val="10"/>
    </font>
    <font>
      <name val="Calibri"/>
      <family val="2"/>
      <b val="1"/>
      <color rgb="FF000000"/>
      <sz val="10"/>
    </font>
    <font>
      <name val="Calibri"/>
      <family val="2"/>
      <color rgb="FF000000"/>
      <sz val="10"/>
    </font>
    <font>
      <name val="Calibri"/>
      <family val="2"/>
      <b val="1"/>
      <color rgb="FF1F497D"/>
      <sz val="10"/>
    </font>
    <font>
      <name val="Calibri"/>
      <family val="2"/>
      <sz val="10"/>
    </font>
    <font>
      <name val="Calibri"/>
      <family val="2"/>
      <b val="1"/>
      <color rgb="FF000000"/>
      <sz val="10"/>
    </font>
    <font>
      <name val="Calibri"/>
      <family val="2"/>
      <color rgb="FF000000"/>
      <sz val="10"/>
    </font>
    <font>
      <name val="Calibri"/>
      <family val="2"/>
      <b val="1"/>
      <color rgb="FF1F497D"/>
      <sz val="10"/>
      <u val="single"/>
    </font>
    <font>
      <name val="Calibri"/>
      <family val="2"/>
      <b val="1"/>
      <color rgb="FF000000"/>
      <sz val="10"/>
    </font>
    <font>
      <name val="Calibri"/>
      <family val="2"/>
      <b val="1"/>
      <color rgb="FFFFFFFF"/>
      <sz val="10"/>
    </font>
    <font>
      <name val="Calibri"/>
      <family val="2"/>
      <color rgb="FF000000"/>
      <sz val="11"/>
      <scheme val="minor"/>
    </font>
    <font>
      <name val="Calibri"/>
      <family val="2"/>
      <color rgb="FFFF0000"/>
      <sz val="11"/>
      <scheme val="minor"/>
    </font>
    <font>
      <name val="Calibri"/>
      <family val="2"/>
      <color rgb="FFFF0000"/>
      <sz val="10"/>
    </font>
    <font>
      <name val="Calibri"/>
      <family val="2"/>
      <strike val="1"/>
      <color rgb="FFFF0000"/>
      <sz val="10"/>
    </font>
    <font>
      <name val="Calibri"/>
      <family val="2"/>
      <b val="1"/>
      <color rgb="FFFF0000"/>
      <sz val="10"/>
    </font>
    <font>
      <name val="Calibri"/>
      <family val="2"/>
      <b val="1"/>
      <strike val="1"/>
      <color rgb="FFFF0000"/>
      <sz val="10"/>
    </font>
    <font>
      <name val="Calibri"/>
      <b val="1"/>
      <color rgb="00FFFFFF"/>
      <sz val="14"/>
    </font>
    <font>
      <name val="Calibri"/>
      <b val="1"/>
      <color rgb="00FFFFFF"/>
      <sz val="10"/>
    </font>
    <font>
      <name val="Calibri"/>
      <color rgb="00000000"/>
      <sz val="10"/>
    </font>
    <font>
      <color rgb="FF000000"/>
      <sz val="10"/>
    </font>
    <font>
      <b val="1"/>
      <color rgb="FF1F497D"/>
      <sz val="10"/>
      <u val="single"/>
    </font>
    <font>
      <b val="1"/>
      <color rgb="FFFFFFFF"/>
      <sz val="10"/>
    </font>
    <font>
      <b val="1"/>
      <color rgb="FF000000"/>
      <sz val="10"/>
    </font>
    <font>
      <b val="1"/>
      <color rgb="FF2E75B6"/>
      <sz val="10"/>
    </font>
    <font>
      <b val="1"/>
      <color rgb="FF1F497D"/>
      <sz val="11"/>
    </font>
    <font>
      <sz val="10"/>
    </font>
    <font>
      <name val="Calibri"/>
      <b val="1"/>
      <color rgb="001F497D"/>
      <sz val="10"/>
      <u val="single"/>
    </font>
    <font>
      <name val="Calibri"/>
      <b val="1"/>
      <color rgb="00000000"/>
      <sz val="10"/>
    </font>
  </fonts>
  <fills count="27">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
      <patternFill patternType="solid">
        <fgColor rgb="FFFFFF00"/>
        <bgColor indexed="64"/>
      </patternFill>
    </fill>
    <fill>
      <patternFill patternType="solid">
        <fgColor rgb="002E75B6"/>
      </patternFill>
    </fill>
    <fill>
      <patternFill patternType="solid">
        <fgColor rgb="001F497D"/>
      </patternFill>
    </fill>
    <fill>
      <patternFill patternType="solid">
        <fgColor rgb="00DCE6F1"/>
      </patternFill>
    </fill>
    <fill>
      <patternFill patternType="solid">
        <fgColor rgb="00FFFFFF"/>
      </patternFill>
    </fill>
    <fill>
      <patternFill patternType="solid">
        <fgColor rgb="00FFF2CC"/>
      </patternFill>
    </fill>
    <fill>
      <patternFill patternType="solid">
        <fgColor rgb="00F2F2F2"/>
      </patternFill>
    </fill>
  </fills>
  <borders count="35">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thin">
        <color rgb="FFB8CCE4"/>
      </left>
      <right style="thin">
        <color rgb="FFB8CCE4"/>
      </right>
      <top style="thin">
        <color rgb="FFB8CCE4"/>
      </top>
      <bottom style="thin">
        <color rgb="FFB8CCE4"/>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right style="thin">
        <color auto="1"/>
      </right>
      <top/>
      <bottom/>
      <diagonal/>
    </border>
    <border>
      <left/>
      <right/>
      <top style="thin">
        <color rgb="FFB8CCE4"/>
      </top>
      <bottom/>
      <diagonal/>
    </border>
    <border>
      <left/>
      <right style="thin">
        <color rgb="FFB8CCE4"/>
      </right>
      <top style="thin">
        <color rgb="FFB8CCE4"/>
      </top>
      <bottom/>
      <diagonal/>
    </border>
    <border>
      <left/>
      <right/>
      <top style="medium">
        <color rgb="FF1F497D"/>
      </top>
      <bottom/>
      <diagonal/>
    </border>
    <border>
      <left/>
      <right style="medium">
        <color rgb="FF1F497D"/>
      </right>
      <top style="medium">
        <color rgb="FF1F497D"/>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thin">
        <color rgb="00B8CCE4"/>
      </left>
      <right style="thin">
        <color rgb="00B8CCE4"/>
      </right>
      <top style="thin">
        <color rgb="00B8CCE4"/>
      </top>
      <bottom style="thin">
        <color rgb="00B8CCE4"/>
      </bottom>
    </border>
    <border>
      <left style="thin">
        <color rgb="FFB8CCE4"/>
      </left>
      <right style="thin">
        <color rgb="FFB8CCE4"/>
      </right>
      <top style="thin">
        <color rgb="FFB8CCE4"/>
      </top>
      <bottom style="thin">
        <color rgb="FFB8CCE4"/>
      </bottom>
    </border>
  </borders>
  <cellStyleXfs count="1">
    <xf numFmtId="0" fontId="0" fillId="0" borderId="0"/>
  </cellStyleXfs>
  <cellXfs count="413">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9" fillId="11" borderId="9" applyAlignment="1" pivotButton="0" quotePrefix="0" xfId="0">
      <alignment horizontal="left" vertical="top" wrapText="1"/>
    </xf>
    <xf numFmtId="1" fontId="19" fillId="11" borderId="1" applyAlignment="1" pivotButton="0" quotePrefix="1" xfId="0">
      <alignment horizontal="left" vertical="top" wrapText="1"/>
    </xf>
    <xf numFmtId="0" fontId="19" fillId="11" borderId="1" applyAlignment="1" pivotButton="0" quotePrefix="0" xfId="0">
      <alignment horizontal="left" vertical="top" wrapText="1"/>
    </xf>
    <xf numFmtId="0" fontId="13" fillId="11" borderId="2" applyAlignment="1" pivotButton="0" quotePrefix="0" xfId="0">
      <alignment horizontal="left" vertical="top" wrapText="1"/>
    </xf>
    <xf numFmtId="0" fontId="18" fillId="2" borderId="9" applyAlignment="1" pivotButton="0" quotePrefix="0" xfId="0">
      <alignment horizontal="left" vertical="top" wrapText="1"/>
    </xf>
    <xf numFmtId="0" fontId="18" fillId="0" borderId="0" applyAlignment="1" pivotButton="0" quotePrefix="0" xfId="0">
      <alignment horizontal="left" vertical="top" wrapText="1"/>
    </xf>
    <xf numFmtId="0" fontId="18" fillId="2" borderId="2" applyAlignment="1" pivotButton="0" quotePrefix="0" xfId="0">
      <alignment horizontal="left" vertical="top" wrapText="1"/>
    </xf>
    <xf numFmtId="0" fontId="18" fillId="0" borderId="4" applyAlignment="1" pivotButton="0" quotePrefix="0" xfId="0">
      <alignment horizontal="left" vertical="top" wrapText="1"/>
    </xf>
    <xf numFmtId="1" fontId="18" fillId="0" borderId="5" applyAlignment="1" pivotButton="0" quotePrefix="0" xfId="0">
      <alignment horizontal="left" vertical="top" wrapText="1"/>
    </xf>
    <xf numFmtId="0" fontId="18" fillId="0" borderId="5" applyAlignment="1" pivotButton="0" quotePrefix="0" xfId="0">
      <alignment horizontal="left" vertical="top" wrapText="1"/>
    </xf>
    <xf numFmtId="0" fontId="18" fillId="0" borderId="3" applyAlignment="1" pivotButton="0" quotePrefix="0" xfId="0">
      <alignment horizontal="left" vertical="top" wrapText="1"/>
    </xf>
    <xf numFmtId="0" fontId="19" fillId="11" borderId="0" applyAlignment="1" pivotButton="0" quotePrefix="0" xfId="0">
      <alignment horizontal="left" vertical="top" wrapText="1"/>
    </xf>
    <xf numFmtId="0" fontId="14" fillId="14" borderId="0" applyAlignment="1" pivotButton="0" quotePrefix="0" xfId="0">
      <alignment horizontal="left" vertical="top" wrapText="1"/>
    </xf>
    <xf numFmtId="0" fontId="19" fillId="16" borderId="0" applyAlignment="1" pivotButton="0" quotePrefix="0" xfId="0">
      <alignment horizontal="left" vertical="top" wrapText="1"/>
    </xf>
    <xf numFmtId="0" fontId="19" fillId="11" borderId="4" applyAlignment="1" pivotButton="0" quotePrefix="0" xfId="0">
      <alignment horizontal="left" vertical="top" wrapText="1"/>
    </xf>
    <xf numFmtId="1" fontId="19" fillId="11" borderId="5" applyAlignment="1" pivotButton="0" quotePrefix="0" xfId="0">
      <alignment horizontal="left" vertical="top" wrapText="1"/>
    </xf>
    <xf numFmtId="0" fontId="19" fillId="11" borderId="5" applyAlignment="1" pivotButton="0" quotePrefix="0" xfId="0">
      <alignment horizontal="left" vertical="top" wrapText="1"/>
    </xf>
    <xf numFmtId="0" fontId="19" fillId="11" borderId="3" applyAlignment="1" pivotButton="0" quotePrefix="0" xfId="0">
      <alignment horizontal="left" vertical="top" wrapText="1"/>
    </xf>
    <xf numFmtId="0" fontId="19" fillId="11" borderId="2" applyAlignment="1" pivotButton="0" quotePrefix="0" xfId="0">
      <alignment horizontal="left" vertical="top" wrapText="1"/>
    </xf>
    <xf numFmtId="0" fontId="13" fillId="11" borderId="0" applyAlignment="1" pivotButton="0" quotePrefix="0" xfId="0">
      <alignment horizontal="left" vertical="top" wrapText="1"/>
    </xf>
    <xf numFmtId="0" fontId="21" fillId="17" borderId="0" pivotButton="0" quotePrefix="0" xfId="0"/>
    <xf numFmtId="0" fontId="24" fillId="6" borderId="11" applyAlignment="1" pivotButton="0" quotePrefix="0" xfId="0">
      <alignment horizontal="left" vertical="center" wrapText="1"/>
    </xf>
    <xf numFmtId="0" fontId="24" fillId="7" borderId="11" applyAlignment="1" pivotButton="0" quotePrefix="0" xfId="0">
      <alignment horizontal="left" vertical="center" wrapText="1"/>
    </xf>
    <xf numFmtId="0" fontId="18" fillId="0" borderId="9" applyAlignment="1" pivotButton="0" quotePrefix="0" xfId="0">
      <alignment horizontal="left" vertical="top" wrapText="1"/>
    </xf>
    <xf numFmtId="1" fontId="18" fillId="0" borderId="1" applyAlignment="1" pivotButton="0" quotePrefix="1" xfId="0">
      <alignment horizontal="left" vertical="top" wrapText="1"/>
    </xf>
    <xf numFmtId="0" fontId="18" fillId="0" borderId="1" applyAlignment="1" pivotButton="0" quotePrefix="0" xfId="0">
      <alignment horizontal="left" vertical="top" wrapText="1"/>
    </xf>
    <xf numFmtId="0" fontId="18" fillId="0" borderId="2" applyAlignment="1" pivotButton="0" quotePrefix="0" xfId="0">
      <alignment horizontal="left" vertical="top" wrapText="1"/>
    </xf>
    <xf numFmtId="0" fontId="14" fillId="14" borderId="9" applyAlignment="1" pivotButton="0" quotePrefix="0" xfId="0">
      <alignment horizontal="left" vertical="top" wrapText="1"/>
    </xf>
    <xf numFmtId="1" fontId="14" fillId="14" borderId="1" applyAlignment="1" pivotButton="0" quotePrefix="1" xfId="0">
      <alignment horizontal="left" vertical="top" wrapText="1"/>
    </xf>
    <xf numFmtId="0" fontId="14" fillId="14" borderId="1" applyAlignment="1" pivotButton="0" quotePrefix="0" xfId="0">
      <alignment horizontal="left" vertical="top" wrapText="1"/>
    </xf>
    <xf numFmtId="0" fontId="14" fillId="14" borderId="2" applyAlignment="1" pivotButton="0" quotePrefix="0" xfId="0">
      <alignment horizontal="left" vertical="top" wrapText="1"/>
    </xf>
    <xf numFmtId="0" fontId="19" fillId="16" borderId="9" applyAlignment="1" pivotButton="0" quotePrefix="0" xfId="0">
      <alignment horizontal="left" vertical="top" wrapText="1"/>
    </xf>
    <xf numFmtId="1" fontId="19" fillId="16" borderId="1" applyAlignment="1" pivotButton="0" quotePrefix="1" xfId="0">
      <alignment horizontal="left" vertical="top" wrapText="1"/>
    </xf>
    <xf numFmtId="0" fontId="19" fillId="16" borderId="1" applyAlignment="1" pivotButton="0" quotePrefix="0" xfId="0">
      <alignment horizontal="left" vertical="top" wrapText="1"/>
    </xf>
    <xf numFmtId="0" fontId="19" fillId="16" borderId="2" applyAlignment="1" pivotButton="0" quotePrefix="0" xfId="0">
      <alignment horizontal="left" vertical="top" wrapText="1"/>
    </xf>
    <xf numFmtId="0" fontId="25" fillId="0" borderId="9" applyAlignment="1" pivotButton="0" quotePrefix="0" xfId="0">
      <alignment horizontal="left" vertical="top" wrapText="1"/>
    </xf>
    <xf numFmtId="1" fontId="25" fillId="0" borderId="1" applyAlignment="1" pivotButton="0" quotePrefix="1" xfId="0">
      <alignment horizontal="left" vertical="top" wrapText="1"/>
    </xf>
    <xf numFmtId="0" fontId="25" fillId="0" borderId="1" applyAlignment="1" pivotButton="0" quotePrefix="0" xfId="0">
      <alignment horizontal="left" vertical="top" wrapText="1"/>
    </xf>
    <xf numFmtId="0" fontId="25" fillId="0" borderId="2" applyAlignment="1" pivotButton="0" quotePrefix="0" xfId="0">
      <alignment horizontal="left" vertical="top" wrapText="1"/>
    </xf>
    <xf numFmtId="0" fontId="25" fillId="2" borderId="9" applyAlignment="1" pivotButton="0" quotePrefix="0" xfId="0">
      <alignment horizontal="left" vertical="top" wrapText="1"/>
    </xf>
    <xf numFmtId="0" fontId="25" fillId="0" borderId="0" applyAlignment="1" pivotButton="0" quotePrefix="0" xfId="0">
      <alignment horizontal="left" vertical="top" wrapText="1"/>
    </xf>
    <xf numFmtId="0" fontId="25" fillId="2" borderId="2" applyAlignment="1" pivotButton="0" quotePrefix="0" xfId="0">
      <alignment horizontal="left" vertical="top" wrapText="1"/>
    </xf>
    <xf numFmtId="0" fontId="14" fillId="16" borderId="0" applyAlignment="1" pivotButton="0" quotePrefix="0" xfId="0">
      <alignment vertical="top" wrapText="1"/>
    </xf>
    <xf numFmtId="0" fontId="18" fillId="0" borderId="0" applyAlignment="1" pivotButton="0" quotePrefix="0" xfId="0">
      <alignment vertical="top" wrapText="1"/>
    </xf>
    <xf numFmtId="0" fontId="14" fillId="16" borderId="9" applyAlignment="1" pivotButton="0" quotePrefix="0" xfId="0">
      <alignment vertical="top" wrapText="1"/>
    </xf>
    <xf numFmtId="1" fontId="14" fillId="16" borderId="1" applyAlignment="1" pivotButton="0" quotePrefix="1" xfId="0">
      <alignment vertical="top" wrapText="1"/>
    </xf>
    <xf numFmtId="0" fontId="14" fillId="16" borderId="1" applyAlignment="1" pivotButton="0" quotePrefix="0" xfId="0">
      <alignment vertical="top" wrapText="1"/>
    </xf>
    <xf numFmtId="0" fontId="14" fillId="16" borderId="2" applyAlignment="1" pivotButton="0" quotePrefix="0" xfId="0">
      <alignment vertical="top" wrapText="1"/>
    </xf>
    <xf numFmtId="0" fontId="18" fillId="0" borderId="9" applyAlignment="1" pivotButton="0" quotePrefix="0" xfId="0">
      <alignment vertical="top" wrapText="1"/>
    </xf>
    <xf numFmtId="1" fontId="18" fillId="0" borderId="1" applyAlignment="1" pivotButton="0" quotePrefix="1" xfId="0">
      <alignment vertical="top" wrapText="1"/>
    </xf>
    <xf numFmtId="0" fontId="18" fillId="0" borderId="1" applyAlignment="1" pivotButton="0" quotePrefix="0" xfId="0">
      <alignment vertical="top" wrapText="1"/>
    </xf>
    <xf numFmtId="0" fontId="18" fillId="0" borderId="2" applyAlignment="1" pivotButton="0" quotePrefix="0" xfId="0">
      <alignment vertical="top" wrapText="1"/>
    </xf>
    <xf numFmtId="0" fontId="18" fillId="0" borderId="4" applyAlignment="1" pivotButton="0" quotePrefix="0" xfId="0">
      <alignment vertical="top" wrapText="1"/>
    </xf>
    <xf numFmtId="1" fontId="18" fillId="0" borderId="5" applyAlignment="1" pivotButton="0" quotePrefix="0" xfId="0">
      <alignment vertical="top" wrapText="1"/>
    </xf>
    <xf numFmtId="0" fontId="18" fillId="0" borderId="5" applyAlignment="1" pivotButton="0" quotePrefix="0" xfId="0">
      <alignment vertical="top" wrapText="1"/>
    </xf>
    <xf numFmtId="0" fontId="18" fillId="0" borderId="3" applyAlignment="1" pivotButton="0" quotePrefix="0" xfId="0">
      <alignment vertical="top" wrapText="1"/>
    </xf>
    <xf numFmtId="0" fontId="14" fillId="14" borderId="0" pivotButton="0" quotePrefix="0" xfId="0"/>
    <xf numFmtId="0" fontId="14" fillId="16" borderId="4" applyAlignment="1" pivotButton="0" quotePrefix="0" xfId="0">
      <alignment vertical="top" wrapText="1"/>
    </xf>
    <xf numFmtId="1" fontId="14" fillId="16" borderId="5" applyAlignment="1" pivotButton="0" quotePrefix="0" xfId="0">
      <alignment vertical="top" wrapText="1"/>
    </xf>
    <xf numFmtId="0" fontId="14" fillId="16" borderId="5" applyAlignment="1" pivotButton="0" quotePrefix="0" xfId="0">
      <alignment vertical="top" wrapText="1"/>
    </xf>
    <xf numFmtId="0" fontId="14" fillId="16" borderId="3" applyAlignment="1" pivotButton="0" quotePrefix="0" xfId="0">
      <alignment vertical="top" wrapText="1"/>
    </xf>
    <xf numFmtId="0" fontId="9" fillId="11" borderId="20" applyAlignment="1" pivotButton="0" quotePrefix="0" xfId="0">
      <alignment horizontal="center" vertical="center"/>
    </xf>
    <xf numFmtId="0" fontId="7" fillId="19" borderId="0" applyAlignment="1" pivotButton="0" quotePrefix="0" xfId="0">
      <alignment horizontal="left" vertical="center"/>
    </xf>
    <xf numFmtId="0" fontId="21" fillId="19" borderId="0" applyAlignment="1" pivotButton="0" quotePrefix="0" xfId="0">
      <alignment horizontal="left" vertical="center"/>
    </xf>
    <xf numFmtId="0" fontId="6" fillId="11" borderId="21" applyAlignment="1" pivotButton="0" quotePrefix="0" xfId="0">
      <alignment horizontal="center" vertical="center"/>
    </xf>
    <xf numFmtId="0" fontId="6" fillId="11" borderId="21" applyAlignment="1" pivotButton="0" quotePrefix="0" xfId="0">
      <alignment horizontal="left" vertical="center" wrapText="1"/>
    </xf>
    <xf numFmtId="0" fontId="6" fillId="11" borderId="21" applyAlignment="1" pivotButton="0" quotePrefix="0" xfId="0">
      <alignment horizontal="left" vertical="center"/>
    </xf>
    <xf numFmtId="0" fontId="7" fillId="12" borderId="21" applyAlignment="1" pivotButton="0" quotePrefix="0" xfId="0">
      <alignment horizontal="left" vertical="top" wrapText="1"/>
    </xf>
    <xf numFmtId="0" fontId="7" fillId="12" borderId="21" applyAlignment="1" pivotButton="0" quotePrefix="0" xfId="0">
      <alignment horizontal="center" vertical="center"/>
    </xf>
    <xf numFmtId="0" fontId="7" fillId="13" borderId="21" applyAlignment="1" pivotButton="0" quotePrefix="0" xfId="0">
      <alignment horizontal="left" vertical="top" wrapText="1"/>
    </xf>
    <xf numFmtId="0" fontId="7" fillId="13" borderId="21" applyAlignment="1" pivotButton="0" quotePrefix="0" xfId="0">
      <alignment horizontal="center" vertical="center"/>
    </xf>
    <xf numFmtId="0" fontId="7" fillId="14" borderId="21" pivotButton="0" quotePrefix="0" xfId="0"/>
    <xf numFmtId="0" fontId="6" fillId="9" borderId="21" applyAlignment="1" pivotButton="0" quotePrefix="0" xfId="0">
      <alignment horizontal="center" vertical="center"/>
    </xf>
    <xf numFmtId="0" fontId="6" fillId="9" borderId="21" applyAlignment="1" pivotButton="0" quotePrefix="0" xfId="0">
      <alignment horizontal="left" vertical="center"/>
    </xf>
    <xf numFmtId="0" fontId="27" fillId="12" borderId="21" applyAlignment="1" pivotButton="0" quotePrefix="0" xfId="0">
      <alignment horizontal="left" vertical="top" wrapText="1"/>
    </xf>
    <xf numFmtId="0" fontId="27" fillId="13" borderId="21" applyAlignment="1" pivotButton="0" quotePrefix="0" xfId="0">
      <alignment horizontal="left" vertical="top" wrapText="1"/>
    </xf>
    <xf numFmtId="0" fontId="28" fillId="11" borderId="21" applyAlignment="1" pivotButton="0" quotePrefix="0" xfId="0">
      <alignment horizontal="center" vertical="center"/>
    </xf>
    <xf numFmtId="0" fontId="28" fillId="11" borderId="21" applyAlignment="1" pivotButton="0" quotePrefix="0" xfId="0">
      <alignment horizontal="left" vertical="center"/>
    </xf>
    <xf numFmtId="0" fontId="28" fillId="11" borderId="21" applyAlignment="1" pivotButton="0" quotePrefix="0" xfId="0">
      <alignment horizontal="left" vertical="top" wrapText="1"/>
    </xf>
    <xf numFmtId="0" fontId="27" fillId="9" borderId="21" applyAlignment="1" pivotButton="0" quotePrefix="0" xfId="0">
      <alignment horizontal="left" vertical="top" wrapText="1"/>
    </xf>
    <xf numFmtId="0" fontId="28" fillId="14" borderId="21" applyAlignment="1" pivotButton="0" quotePrefix="0" xfId="0">
      <alignment horizontal="left" vertical="top" wrapText="1"/>
    </xf>
    <xf numFmtId="0" fontId="28" fillId="16" borderId="21" applyAlignment="1" pivotButton="0" quotePrefix="0" xfId="0">
      <alignment horizontal="left" vertical="top" wrapText="1"/>
    </xf>
    <xf numFmtId="0" fontId="28" fillId="11" borderId="0" applyAlignment="1" pivotButton="0" quotePrefix="0" xfId="0">
      <alignment horizontal="left" vertical="top" wrapText="1"/>
    </xf>
    <xf numFmtId="0" fontId="27" fillId="0" borderId="0" applyAlignment="1" pivotButton="0" quotePrefix="0" xfId="0">
      <alignment horizontal="left" vertical="top" wrapText="1"/>
    </xf>
    <xf numFmtId="0" fontId="5" fillId="12" borderId="21" applyAlignment="1" pivotButton="0" quotePrefix="0" xfId="0">
      <alignment horizontal="left" vertical="top" wrapText="1"/>
    </xf>
    <xf numFmtId="0" fontId="29" fillId="12" borderId="21" applyAlignment="1" pivotButton="0" quotePrefix="0" xfId="0">
      <alignment horizontal="left" vertical="top" wrapText="1"/>
    </xf>
    <xf numFmtId="0" fontId="29" fillId="13" borderId="21" applyAlignment="1" pivotButton="0" quotePrefix="0" xfId="0">
      <alignment horizontal="left" vertical="top" wrapText="1"/>
    </xf>
    <xf numFmtId="0" fontId="32" fillId="16" borderId="0" applyAlignment="1" pivotButton="0" quotePrefix="0" xfId="0">
      <alignment horizontal="left" vertical="top" wrapText="1"/>
    </xf>
    <xf numFmtId="0" fontId="31" fillId="0" borderId="0" applyAlignment="1" pivotButton="0" quotePrefix="0" xfId="0">
      <alignment horizontal="left" vertical="top" wrapText="1"/>
    </xf>
    <xf numFmtId="0" fontId="32" fillId="11" borderId="0" applyAlignment="1" pivotButton="0" quotePrefix="0" xfId="0">
      <alignment horizontal="left" vertical="top" wrapText="1"/>
    </xf>
    <xf numFmtId="0" fontId="12" fillId="8" borderId="19" applyAlignment="1" pivotButton="0" quotePrefix="0" xfId="0">
      <alignment horizontal="center" vertical="top" wrapText="1"/>
    </xf>
    <xf numFmtId="9" fontId="12" fillId="8" borderId="19" applyAlignment="1" pivotButton="0" quotePrefix="0" xfId="0">
      <alignment horizontal="center" vertical="top" wrapText="1"/>
    </xf>
    <xf numFmtId="0" fontId="23" fillId="5" borderId="10" applyAlignment="1" pivotButton="0" quotePrefix="0" xfId="0">
      <alignment horizontal="center" vertical="top" wrapText="1"/>
    </xf>
    <xf numFmtId="0" fontId="24" fillId="6" borderId="11" applyAlignment="1" pivotButton="0" quotePrefix="0" xfId="0">
      <alignment horizontal="left" vertical="top" wrapText="1"/>
    </xf>
    <xf numFmtId="0" fontId="24" fillId="7" borderId="11" applyAlignment="1" pivotButton="0" quotePrefix="0" xfId="0">
      <alignment horizontal="left" vertical="top" wrapText="1"/>
    </xf>
    <xf numFmtId="0" fontId="1" fillId="0" borderId="7" applyAlignment="1" pivotButton="0" quotePrefix="0" xfId="0">
      <alignment horizontal="center" vertical="top" wrapText="1"/>
    </xf>
    <xf numFmtId="0" fontId="3" fillId="2" borderId="9" applyAlignment="1" pivotButton="0" quotePrefix="0" xfId="0">
      <alignment vertical="top" wrapText="1"/>
    </xf>
    <xf numFmtId="0" fontId="26" fillId="8" borderId="12" applyAlignment="1" pivotButton="0" quotePrefix="0" xfId="0">
      <alignment horizontal="center" vertical="top" wrapText="1"/>
    </xf>
    <xf numFmtId="0" fontId="26" fillId="8" borderId="14" applyAlignment="1" pivotButton="0" quotePrefix="0" xfId="0">
      <alignment horizontal="center" vertical="top" wrapText="1"/>
    </xf>
    <xf numFmtId="0" fontId="26" fillId="8" borderId="13" applyAlignment="1" pivotButton="0" quotePrefix="0" xfId="0">
      <alignment horizontal="center" vertical="top" wrapText="1"/>
    </xf>
    <xf numFmtId="0" fontId="6" fillId="11" borderId="21" applyAlignment="1" pivotButton="0" quotePrefix="0" xfId="0">
      <alignment horizontal="center" vertical="top" wrapText="1"/>
    </xf>
    <xf numFmtId="0" fontId="6" fillId="11" borderId="21" applyAlignment="1" pivotButton="0" quotePrefix="0" xfId="0">
      <alignment horizontal="left" vertical="top" wrapText="1"/>
    </xf>
    <xf numFmtId="0" fontId="8" fillId="12" borderId="21" applyAlignment="1" pivotButton="0" quotePrefix="0" xfId="0">
      <alignment horizontal="center" vertical="top" wrapText="1"/>
    </xf>
    <xf numFmtId="0" fontId="8" fillId="13" borderId="21" applyAlignment="1" pivotButton="0" quotePrefix="0" xfId="0">
      <alignment horizontal="center" vertical="top" wrapText="1"/>
    </xf>
    <xf numFmtId="0" fontId="9" fillId="14" borderId="21" applyAlignment="1" pivotButton="0" quotePrefix="0" xfId="0">
      <alignment horizontal="center" vertical="top" wrapText="1"/>
    </xf>
    <xf numFmtId="0" fontId="6" fillId="9" borderId="21" applyAlignment="1" pivotButton="0" quotePrefix="0" xfId="0">
      <alignment horizontal="center" vertical="top" wrapText="1"/>
    </xf>
    <xf numFmtId="0" fontId="6" fillId="9" borderId="21" applyAlignment="1" pivotButton="0" quotePrefix="0" xfId="0">
      <alignment horizontal="left" vertical="top" wrapText="1"/>
    </xf>
    <xf numFmtId="0" fontId="10" fillId="12" borderId="21" applyAlignment="1" pivotButton="0" quotePrefix="0" xfId="0">
      <alignment horizontal="center" vertical="top" wrapText="1"/>
    </xf>
    <xf numFmtId="0" fontId="30" fillId="11" borderId="21" applyAlignment="1" pivotButton="0" quotePrefix="0" xfId="0">
      <alignment horizontal="left" vertical="top" wrapText="1"/>
    </xf>
    <xf numFmtId="0" fontId="28" fillId="11" borderId="21" applyAlignment="1" pivotButton="0" quotePrefix="0" xfId="0">
      <alignment horizontal="center" vertical="top" wrapText="1"/>
    </xf>
    <xf numFmtId="0" fontId="10" fillId="13" borderId="21" applyAlignment="1" pivotButton="0" quotePrefix="0" xfId="0">
      <alignment horizontal="center" vertical="top" wrapText="1"/>
    </xf>
    <xf numFmtId="0" fontId="7" fillId="12" borderId="21" applyAlignment="1" pivotButton="0" quotePrefix="0" xfId="0">
      <alignment horizontal="center" vertical="top" wrapText="1"/>
    </xf>
    <xf numFmtId="0" fontId="7" fillId="13" borderId="21" applyAlignment="1" pivotButton="0" quotePrefix="0" xfId="0">
      <alignment horizontal="center" vertical="top" wrapText="1"/>
    </xf>
    <xf numFmtId="0" fontId="16" fillId="0" borderId="9" applyAlignment="1" pivotButton="0" quotePrefix="0" xfId="0">
      <alignment horizontal="center" vertical="top" wrapText="1"/>
    </xf>
    <xf numFmtId="0" fontId="15" fillId="8" borderId="9" applyAlignment="1" pivotButton="0" quotePrefix="0" xfId="0">
      <alignment horizontal="center" vertical="top" wrapText="1"/>
    </xf>
    <xf numFmtId="1" fontId="15" fillId="8" borderId="1" applyAlignment="1" pivotButton="0" quotePrefix="1" xfId="0">
      <alignment horizontal="center" vertical="top" wrapText="1"/>
    </xf>
    <xf numFmtId="0" fontId="15" fillId="8" borderId="1" applyAlignment="1" pivotButton="0" quotePrefix="0" xfId="0">
      <alignment horizontal="center" vertical="top" wrapText="1"/>
    </xf>
    <xf numFmtId="0" fontId="15" fillId="8" borderId="2" applyAlignment="1" pivotButton="0" quotePrefix="0" xfId="0">
      <alignment horizontal="center" vertical="top" wrapText="1"/>
    </xf>
    <xf numFmtId="0" fontId="14" fillId="14" borderId="0" applyAlignment="1" pivotButton="0" quotePrefix="0" xfId="0">
      <alignment vertical="top" wrapText="1"/>
    </xf>
    <xf numFmtId="0" fontId="16" fillId="0" borderId="0" applyAlignment="1" pivotButton="0" quotePrefix="0" xfId="0">
      <alignment horizontal="center" vertical="top" wrapText="1"/>
    </xf>
    <xf numFmtId="0" fontId="15" fillId="8" borderId="0" applyAlignment="1" pivotButton="0" quotePrefix="0" xfId="0">
      <alignment horizontal="center" vertical="top" wrapText="1"/>
    </xf>
    <xf numFmtId="0" fontId="33" fillId="10" borderId="24" applyAlignment="1" pivotButton="0" quotePrefix="0" xfId="0">
      <alignment horizontal="left" vertical="center"/>
    </xf>
    <xf numFmtId="0" fontId="33" fillId="10" borderId="24" applyAlignment="1" pivotButton="0" quotePrefix="0" xfId="0">
      <alignment horizontal="left" vertical="top" wrapText="1"/>
    </xf>
    <xf numFmtId="0" fontId="33" fillId="10" borderId="24" applyAlignment="1" pivotButton="0" quotePrefix="0" xfId="0">
      <alignment horizontal="center" vertical="center" wrapText="1"/>
    </xf>
    <xf numFmtId="0" fontId="33" fillId="12" borderId="24" applyAlignment="1" pivotButton="0" quotePrefix="0" xfId="0">
      <alignment horizontal="left" vertical="center"/>
    </xf>
    <xf numFmtId="0" fontId="33" fillId="12" borderId="24" applyAlignment="1" pivotButton="0" quotePrefix="0" xfId="0">
      <alignment horizontal="left" vertical="top" wrapText="1"/>
    </xf>
    <xf numFmtId="0" fontId="33" fillId="12" borderId="24" applyAlignment="1" pivotButton="0" quotePrefix="0" xfId="0">
      <alignment horizontal="center" vertical="center" wrapText="1"/>
    </xf>
    <xf numFmtId="0" fontId="33" fillId="19" borderId="24" applyAlignment="1" pivotButton="0" quotePrefix="0" xfId="0">
      <alignment horizontal="left" vertical="center" wrapText="1"/>
    </xf>
    <xf numFmtId="0" fontId="33" fillId="19" borderId="24" applyAlignment="1" pivotButton="0" quotePrefix="0" xfId="0">
      <alignment horizontal="center" vertical="center" wrapText="1"/>
    </xf>
    <xf numFmtId="0" fontId="34" fillId="9" borderId="24" applyAlignment="1" pivotButton="0" quotePrefix="0" xfId="0">
      <alignment horizontal="center" vertical="center" wrapText="1"/>
    </xf>
    <xf numFmtId="9" fontId="33" fillId="10" borderId="24" applyAlignment="1" pivotButton="0" quotePrefix="0" xfId="0">
      <alignment horizontal="center" vertical="center" wrapText="1"/>
    </xf>
    <xf numFmtId="9" fontId="33" fillId="12" borderId="24" applyAlignment="1" pivotButton="0" quotePrefix="0" xfId="0">
      <alignment horizontal="center" vertical="center" wrapText="1"/>
    </xf>
    <xf numFmtId="0" fontId="35" fillId="19" borderId="24" applyAlignment="1" pivotButton="0" quotePrefix="0" xfId="0">
      <alignment horizontal="left" vertical="center" wrapText="1"/>
    </xf>
    <xf numFmtId="0" fontId="36" fillId="8" borderId="24" applyAlignment="1" pivotButton="0" quotePrefix="0" xfId="0">
      <alignment horizontal="left" vertical="center" wrapText="1"/>
    </xf>
    <xf numFmtId="0" fontId="36" fillId="8" borderId="24" applyAlignment="1" pivotButton="0" quotePrefix="0" xfId="0">
      <alignment horizontal="center" vertical="center" wrapText="1"/>
    </xf>
    <xf numFmtId="0" fontId="6" fillId="10" borderId="20" applyAlignment="1" pivotButton="0" quotePrefix="0" xfId="0">
      <alignment horizontal="left" vertical="top" wrapText="1"/>
    </xf>
    <xf numFmtId="0" fontId="0" fillId="0" borderId="13" pivotButton="0" quotePrefix="0" xfId="0"/>
    <xf numFmtId="0" fontId="0" fillId="0" borderId="14" pivotButton="0" quotePrefix="0" xfId="0"/>
    <xf numFmtId="0" fontId="26" fillId="15" borderId="19" applyAlignment="1" pivotButton="0" quotePrefix="0" xfId="0">
      <alignment horizontal="center" vertical="top" wrapText="1"/>
    </xf>
    <xf numFmtId="0" fontId="0" fillId="0" borderId="22" pivotButton="0" quotePrefix="0" xfId="0"/>
    <xf numFmtId="0" fontId="0" fillId="0" borderId="23" pivotButton="0" quotePrefix="0" xfId="0"/>
    <xf numFmtId="0" fontId="20" fillId="9" borderId="20" applyAlignment="1" pivotButton="0" quotePrefix="0" xfId="0">
      <alignment horizontal="center" vertical="top" wrapText="1"/>
    </xf>
    <xf numFmtId="0" fontId="11" fillId="15" borderId="0" applyAlignment="1" pivotButton="0" quotePrefix="0" xfId="0">
      <alignment horizontal="center"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3" fillId="18" borderId="0" applyAlignment="1" pivotButton="0" quotePrefix="0" xfId="0">
      <alignment horizontal="left" vertical="top" wrapText="1"/>
    </xf>
    <xf numFmtId="0" fontId="4" fillId="5" borderId="17" applyAlignment="1" pivotButton="0" quotePrefix="0" xfId="0">
      <alignment horizontal="center" vertical="top" wrapText="1"/>
    </xf>
    <xf numFmtId="0" fontId="0" fillId="0" borderId="18" pivotButton="0" quotePrefix="0" xfId="0"/>
    <xf numFmtId="0" fontId="0" fillId="0" borderId="17" pivotButton="0" quotePrefix="0" xfId="0"/>
    <xf numFmtId="0" fontId="23" fillId="18" borderId="17" applyAlignment="1" pivotButton="0" quotePrefix="0" xfId="0">
      <alignment horizontal="left" vertical="top" wrapText="1"/>
    </xf>
    <xf numFmtId="0" fontId="22" fillId="4" borderId="0" applyAlignment="1" pivotButton="0" quotePrefix="0" xfId="0">
      <alignment horizontal="center" vertical="top" wrapText="1"/>
    </xf>
    <xf numFmtId="0" fontId="15" fillId="15" borderId="8" applyAlignment="1" pivotButton="0" quotePrefix="0" xfId="0">
      <alignment horizontal="center" vertical="top" wrapText="1"/>
    </xf>
    <xf numFmtId="0" fontId="0" fillId="0" borderId="15" pivotButton="0" quotePrefix="0" xfId="0"/>
    <xf numFmtId="0" fontId="0" fillId="0" borderId="8" pivotButton="0" quotePrefix="0" xfId="0"/>
    <xf numFmtId="0" fontId="17" fillId="0" borderId="1" applyAlignment="1" pivotButton="0" quotePrefix="0" xfId="0">
      <alignment horizontal="center" vertical="top" wrapText="1"/>
    </xf>
    <xf numFmtId="0" fontId="0" fillId="0" borderId="16" pivotButton="0" quotePrefix="0" xfId="0"/>
    <xf numFmtId="0" fontId="0" fillId="0" borderId="9" pivotButton="0" quotePrefix="0" xfId="0"/>
    <xf numFmtId="0" fontId="15" fillId="15" borderId="0" applyAlignment="1" pivotButton="0" quotePrefix="0" xfId="0">
      <alignment horizontal="center" vertical="top" wrapText="1"/>
    </xf>
    <xf numFmtId="0" fontId="17" fillId="0" borderId="0" applyAlignment="1" pivotButton="0" quotePrefix="0" xfId="0">
      <alignment horizontal="center" vertical="top" wrapText="1"/>
    </xf>
    <xf numFmtId="0" fontId="5" fillId="13" borderId="21" applyAlignment="1" pivotButton="0" quotePrefix="0" xfId="0">
      <alignment horizontal="left" vertical="top" wrapText="1"/>
    </xf>
    <xf numFmtId="0" fontId="38" fillId="0" borderId="0" applyAlignment="1" pivotButton="0" quotePrefix="0" xfId="0">
      <alignment wrapText="1"/>
    </xf>
    <xf numFmtId="0" fontId="39" fillId="12" borderId="21" applyAlignment="1" pivotButton="0" quotePrefix="0" xfId="0">
      <alignment horizontal="left" vertical="top" wrapText="1"/>
    </xf>
    <xf numFmtId="0" fontId="40" fillId="12" borderId="21" applyAlignment="1" pivotButton="0" quotePrefix="0" xfId="0">
      <alignment horizontal="center" vertical="center"/>
    </xf>
    <xf numFmtId="0" fontId="40" fillId="12" borderId="21" applyAlignment="1" pivotButton="0" quotePrefix="0" xfId="0">
      <alignment horizontal="left" vertical="top" wrapText="1"/>
    </xf>
    <xf numFmtId="0" fontId="39" fillId="13" borderId="21" applyAlignment="1" pivotButton="0" quotePrefix="0" xfId="0">
      <alignment horizontal="left" vertical="top" wrapText="1"/>
    </xf>
    <xf numFmtId="0" fontId="14" fillId="11" borderId="21" applyAlignment="1" pivotButton="0" quotePrefix="0" xfId="0">
      <alignment horizontal="left" vertical="top" wrapText="1"/>
    </xf>
    <xf numFmtId="0" fontId="41" fillId="20" borderId="21" applyAlignment="1" pivotButton="0" quotePrefix="0" xfId="0">
      <alignment horizontal="left" vertical="center" wrapText="1"/>
    </xf>
    <xf numFmtId="0" fontId="40" fillId="13" borderId="21" applyAlignment="1" pivotButton="0" quotePrefix="0" xfId="0">
      <alignment horizontal="left" vertical="top" wrapText="1"/>
    </xf>
    <xf numFmtId="0" fontId="40" fillId="13" borderId="21" applyAlignment="1" pivotButton="0" quotePrefix="0" xfId="0">
      <alignment horizontal="center" vertical="center"/>
    </xf>
    <xf numFmtId="0" fontId="40" fillId="0" borderId="0" applyAlignment="1" pivotButton="0" quotePrefix="0" xfId="0">
      <alignment horizontal="left" vertical="top" wrapText="1"/>
    </xf>
    <xf numFmtId="0" fontId="42" fillId="11" borderId="21" applyAlignment="1" pivotButton="0" quotePrefix="0" xfId="0">
      <alignment horizontal="center" vertical="top" wrapText="1"/>
    </xf>
    <xf numFmtId="0" fontId="42" fillId="11" borderId="21" applyAlignment="1" pivotButton="0" quotePrefix="0" xfId="0">
      <alignment horizontal="center" vertical="center"/>
    </xf>
    <xf numFmtId="0" fontId="42" fillId="11" borderId="21" applyAlignment="1" pivotButton="0" quotePrefix="0" xfId="0">
      <alignment horizontal="left" vertical="top" wrapText="1"/>
    </xf>
    <xf numFmtId="0" fontId="41" fillId="11" borderId="21" applyAlignment="1" pivotButton="0" quotePrefix="0" xfId="0">
      <alignment horizontal="left" vertical="center" wrapText="1"/>
    </xf>
    <xf numFmtId="0" fontId="46" fillId="10" borderId="34" applyAlignment="1" pivotButton="0" quotePrefix="0" xfId="0">
      <alignment horizontal="left" vertical="center"/>
    </xf>
    <xf numFmtId="0" fontId="46" fillId="10" borderId="34" applyAlignment="1" pivotButton="0" quotePrefix="0" xfId="0">
      <alignment horizontal="left" vertical="center"/>
    </xf>
    <xf numFmtId="0" fontId="47" fillId="9" borderId="34" applyAlignment="1" pivotButton="0" quotePrefix="0" xfId="0">
      <alignment horizontal="center" vertical="center" wrapText="1"/>
    </xf>
    <xf numFmtId="0" fontId="46" fillId="10" borderId="34" applyAlignment="1" pivotButton="0" quotePrefix="0" xfId="0">
      <alignment horizontal="left" vertical="top" wrapText="1"/>
    </xf>
    <xf numFmtId="0" fontId="46" fillId="10" borderId="34" applyAlignment="1" pivotButton="0" quotePrefix="0" xfId="0">
      <alignment horizontal="center" vertical="center" wrapText="1"/>
    </xf>
    <xf numFmtId="9" fontId="46" fillId="10" borderId="34" applyAlignment="1" pivotButton="0" quotePrefix="0" xfId="0">
      <alignment horizontal="center" vertical="center" wrapText="1"/>
    </xf>
    <xf numFmtId="0" fontId="46" fillId="12" borderId="34" applyAlignment="1" pivotButton="0" quotePrefix="0" xfId="0">
      <alignment horizontal="left" vertical="center"/>
    </xf>
    <xf numFmtId="0" fontId="46" fillId="12" borderId="34" applyAlignment="1" pivotButton="0" quotePrefix="0" xfId="0">
      <alignment horizontal="left" vertical="center"/>
    </xf>
    <xf numFmtId="0" fontId="46" fillId="12" borderId="34" applyAlignment="1" pivotButton="0" quotePrefix="0" xfId="0">
      <alignment horizontal="left" vertical="top" wrapText="1"/>
    </xf>
    <xf numFmtId="0" fontId="46" fillId="12" borderId="34" applyAlignment="1" pivotButton="0" quotePrefix="0" xfId="0">
      <alignment horizontal="center" vertical="center" wrapText="1"/>
    </xf>
    <xf numFmtId="9" fontId="46" fillId="12" borderId="34" applyAlignment="1" pivotButton="0" quotePrefix="0" xfId="0">
      <alignment horizontal="center" vertical="center" wrapText="1"/>
    </xf>
    <xf numFmtId="0" fontId="48" fillId="8" borderId="34" applyAlignment="1" pivotButton="0" quotePrefix="0" xfId="0">
      <alignment horizontal="left" vertical="center" wrapText="1"/>
    </xf>
    <xf numFmtId="0" fontId="48" fillId="8" borderId="34" applyAlignment="1" pivotButton="0" quotePrefix="0" xfId="0">
      <alignment horizontal="center" vertical="center" wrapText="1"/>
    </xf>
    <xf numFmtId="0" fontId="49" fillId="19" borderId="34" applyAlignment="1" pivotButton="0" quotePrefix="0" xfId="0">
      <alignment horizontal="left" vertical="center" wrapText="1"/>
    </xf>
    <xf numFmtId="0" fontId="46" fillId="19" borderId="34" applyAlignment="1" pivotButton="0" quotePrefix="0" xfId="0">
      <alignment horizontal="left" vertical="center" wrapText="1"/>
    </xf>
    <xf numFmtId="0" fontId="46" fillId="19" borderId="34" applyAlignment="1" pivotButton="0" quotePrefix="0" xfId="0">
      <alignment horizontal="center" vertical="center" wrapText="1"/>
    </xf>
    <xf numFmtId="0" fontId="43" fillId="21" borderId="0" applyAlignment="1" pivotButton="0" quotePrefix="0" xfId="0">
      <alignment horizontal="center" vertical="top" wrapText="1"/>
    </xf>
    <xf numFmtId="0" fontId="44" fillId="22" borderId="0" applyAlignment="1" pivotButton="0" quotePrefix="0" xfId="0">
      <alignment horizontal="center" vertical="top" wrapText="1"/>
    </xf>
    <xf numFmtId="0" fontId="44" fillId="22" borderId="33" applyAlignment="1" pivotButton="0" quotePrefix="0" xfId="0">
      <alignment horizontal="center" vertical="top" wrapText="1"/>
    </xf>
    <xf numFmtId="0" fontId="45" fillId="23" borderId="33" applyAlignment="1" pivotButton="0" quotePrefix="0" xfId="0">
      <alignment horizontal="left" vertical="top" wrapText="1"/>
    </xf>
    <xf numFmtId="0" fontId="45" fillId="24" borderId="33" applyAlignment="1" pivotButton="0" quotePrefix="0" xfId="0">
      <alignment horizontal="left" vertical="top" wrapText="1"/>
    </xf>
    <xf numFmtId="0" fontId="20" fillId="9" borderId="24" applyAlignment="1" pivotButton="0" quotePrefix="0" xfId="0">
      <alignment horizontal="center" vertical="top" wrapText="1"/>
    </xf>
    <xf numFmtId="0" fontId="6" fillId="10" borderId="24" applyAlignment="1" pivotButton="0" quotePrefix="0" xfId="0">
      <alignment horizontal="left" vertical="top" wrapText="1"/>
    </xf>
    <xf numFmtId="0" fontId="38" fillId="0" borderId="0" applyAlignment="1" pivotButton="0" quotePrefix="0" xfId="0">
      <alignment vertical="top" wrapText="1"/>
    </xf>
    <xf numFmtId="0" fontId="41" fillId="11" borderId="21" applyAlignment="1" pivotButton="0" quotePrefix="0" xfId="0">
      <alignment horizontal="left" vertical="top" wrapText="1"/>
    </xf>
    <xf numFmtId="0" fontId="41" fillId="20" borderId="21"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8" fillId="15" borderId="19" applyAlignment="1" pivotButton="0" quotePrefix="0" xfId="0">
      <alignment horizontal="center" vertical="top" wrapText="1"/>
    </xf>
    <xf numFmtId="0" fontId="50" fillId="9" borderId="24" applyAlignment="1" pivotButton="0" quotePrefix="0" xfId="0">
      <alignment horizontal="center" vertical="top" wrapText="1"/>
    </xf>
    <xf numFmtId="0" fontId="51" fillId="10" borderId="24" applyAlignment="1" pivotButton="0" quotePrefix="0" xfId="0">
      <alignment horizontal="center" vertical="top" wrapText="1"/>
    </xf>
    <xf numFmtId="0" fontId="48" fillId="8" borderId="12" applyAlignment="1" pivotButton="0" quotePrefix="0" xfId="0">
      <alignment horizontal="center" vertical="top" wrapText="1"/>
    </xf>
    <xf numFmtId="0" fontId="48" fillId="8" borderId="14" applyAlignment="1" pivotButton="0" quotePrefix="0" xfId="0">
      <alignment horizontal="center" vertical="top" wrapText="1"/>
    </xf>
    <xf numFmtId="0" fontId="48" fillId="8" borderId="13" applyAlignment="1" pivotButton="0" quotePrefix="0" xfId="0">
      <alignment horizontal="center" vertical="top" wrapText="1"/>
    </xf>
    <xf numFmtId="0" fontId="49" fillId="11" borderId="21" applyAlignment="1" pivotButton="0" quotePrefix="0" xfId="0">
      <alignment horizontal="left" vertical="top" wrapText="1"/>
    </xf>
    <xf numFmtId="0" fontId="52" fillId="12" borderId="21" applyAlignment="1" pivotButton="0" quotePrefix="0" xfId="0">
      <alignment horizontal="left" vertical="top" wrapText="1"/>
    </xf>
    <xf numFmtId="0" fontId="52" fillId="11" borderId="21" applyAlignment="1" pivotButton="0" quotePrefix="0" xfId="0">
      <alignment horizontal="left" vertical="top" wrapText="1"/>
    </xf>
    <xf numFmtId="0" fontId="52" fillId="13" borderId="21" applyAlignment="1" pivotButton="0" quotePrefix="0" xfId="0">
      <alignment horizontal="left" vertical="top" wrapText="1"/>
    </xf>
    <xf numFmtId="0" fontId="52" fillId="14" borderId="21"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8" fillId="15" borderId="8" applyAlignment="1" pivotButton="0" quotePrefix="0" xfId="0">
      <alignment horizontal="center" vertical="top" wrapText="1"/>
    </xf>
    <xf numFmtId="0" fontId="50" fillId="0" borderId="9" applyAlignment="1" pivotButton="0" quotePrefix="0" xfId="0">
      <alignment horizontal="center" vertical="top" wrapText="1"/>
    </xf>
    <xf numFmtId="0" fontId="51" fillId="0" borderId="1" applyAlignment="1" pivotButton="0" quotePrefix="0" xfId="0">
      <alignment horizontal="center" vertical="top" wrapText="1"/>
    </xf>
    <xf numFmtId="0" fontId="48" fillId="8" borderId="9" applyAlignment="1" pivotButton="0" quotePrefix="0" xfId="0">
      <alignment horizontal="center" vertical="top" wrapText="1"/>
    </xf>
    <xf numFmtId="1" fontId="48" fillId="8" borderId="1" applyAlignment="1" pivotButton="0" quotePrefix="1" xfId="0">
      <alignment horizontal="center" vertical="top" wrapText="1"/>
    </xf>
    <xf numFmtId="0" fontId="48" fillId="8" borderId="1" applyAlignment="1" pivotButton="0" quotePrefix="0" xfId="0">
      <alignment horizontal="center" vertical="top" wrapText="1"/>
    </xf>
    <xf numFmtId="0" fontId="48" fillId="8" borderId="2" applyAlignment="1" pivotButton="0" quotePrefix="0" xfId="0">
      <alignment horizontal="center" vertical="top" wrapText="1"/>
    </xf>
    <xf numFmtId="0" fontId="49" fillId="11" borderId="9" applyAlignment="1" pivotButton="0" quotePrefix="0" xfId="0">
      <alignment horizontal="left" vertical="top" wrapText="1"/>
    </xf>
    <xf numFmtId="1" fontId="49" fillId="11" borderId="1" applyAlignment="1" pivotButton="0" quotePrefix="1" xfId="0">
      <alignment horizontal="left" vertical="top" wrapText="1"/>
    </xf>
    <xf numFmtId="0" fontId="49" fillId="11" borderId="1" applyAlignment="1" pivotButton="0" quotePrefix="0" xfId="0">
      <alignment horizontal="left" vertical="top" wrapText="1"/>
    </xf>
    <xf numFmtId="0" fontId="49" fillId="11" borderId="2" applyAlignment="1" pivotButton="0" quotePrefix="0" xfId="0">
      <alignment horizontal="left" vertical="top" wrapText="1"/>
    </xf>
    <xf numFmtId="0" fontId="52" fillId="2" borderId="9" applyAlignment="1" pivotButton="0" quotePrefix="0" xfId="0">
      <alignment horizontal="left" vertical="top" wrapText="1"/>
    </xf>
    <xf numFmtId="0" fontId="52" fillId="0" borderId="0" applyAlignment="1" pivotButton="0" quotePrefix="0" xfId="0">
      <alignment horizontal="left" vertical="top" wrapText="1"/>
    </xf>
    <xf numFmtId="0" fontId="52" fillId="2" borderId="2" applyAlignment="1" pivotButton="0" quotePrefix="0" xfId="0">
      <alignment horizontal="left" vertical="top" wrapText="1"/>
    </xf>
    <xf numFmtId="0" fontId="52" fillId="0" borderId="4" applyAlignment="1" pivotButton="0" quotePrefix="0" xfId="0">
      <alignment horizontal="left" vertical="top" wrapText="1"/>
    </xf>
    <xf numFmtId="1" fontId="52" fillId="0" borderId="5" applyAlignment="1" pivotButton="0" quotePrefix="0" xfId="0">
      <alignment horizontal="left" vertical="top" wrapText="1"/>
    </xf>
    <xf numFmtId="0" fontId="52" fillId="0" borderId="5" applyAlignment="1" pivotButton="0" quotePrefix="0" xfId="0">
      <alignment horizontal="left" vertical="top" wrapText="1"/>
    </xf>
    <xf numFmtId="0" fontId="52" fillId="0" borderId="3" applyAlignment="1" pivotButton="0" quotePrefix="0" xfId="0">
      <alignment horizontal="left" vertical="top" wrapText="1"/>
    </xf>
    <xf numFmtId="0" fontId="49" fillId="11" borderId="0" applyAlignment="1" pivotButton="0" quotePrefix="0" xfId="0">
      <alignment horizontal="left" vertical="top" wrapText="1"/>
    </xf>
    <xf numFmtId="0" fontId="52" fillId="11" borderId="0"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52" fillId="11" borderId="4" applyAlignment="1" pivotButton="0" quotePrefix="0" xfId="0">
      <alignment horizontal="left" vertical="top" wrapText="1"/>
    </xf>
    <xf numFmtId="1" fontId="52" fillId="11" borderId="5" applyAlignment="1" pivotButton="0" quotePrefix="0" xfId="0">
      <alignment horizontal="left" vertical="top" wrapText="1"/>
    </xf>
    <xf numFmtId="0" fontId="52" fillId="11" borderId="5" applyAlignment="1" pivotButton="0" quotePrefix="0" xfId="0">
      <alignment horizontal="left" vertical="top" wrapText="1"/>
    </xf>
    <xf numFmtId="0" fontId="52" fillId="11" borderId="3" applyAlignment="1" pivotButton="0" quotePrefix="0" xfId="0">
      <alignment horizontal="left" vertical="top" wrapText="1"/>
    </xf>
    <xf numFmtId="0" fontId="49" fillId="11" borderId="4" applyAlignment="1" pivotButton="0" quotePrefix="0" xfId="0">
      <alignment horizontal="left" vertical="top" wrapText="1"/>
    </xf>
    <xf numFmtId="1" fontId="49" fillId="11" borderId="5" applyAlignment="1" pivotButton="0" quotePrefix="0" xfId="0">
      <alignment horizontal="left" vertical="top" wrapText="1"/>
    </xf>
    <xf numFmtId="0" fontId="49" fillId="11" borderId="5" applyAlignment="1" pivotButton="0" quotePrefix="0" xfId="0">
      <alignment horizontal="left" vertical="top" wrapText="1"/>
    </xf>
    <xf numFmtId="0" fontId="49" fillId="11" borderId="3"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52" fillId="0" borderId="9" applyAlignment="1" pivotButton="0" quotePrefix="0" xfId="0">
      <alignment horizontal="left" vertical="top" wrapText="1"/>
    </xf>
    <xf numFmtId="1" fontId="52" fillId="0" borderId="1" applyAlignment="1" pivotButton="0" quotePrefix="1" xfId="0">
      <alignment horizontal="left" vertical="top" wrapText="1"/>
    </xf>
    <xf numFmtId="0" fontId="52" fillId="0" borderId="1" applyAlignment="1" pivotButton="0" quotePrefix="0" xfId="0">
      <alignment horizontal="left" vertical="top" wrapText="1"/>
    </xf>
    <xf numFmtId="0" fontId="52" fillId="0" borderId="2"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52" fillId="11" borderId="9" applyAlignment="1" pivotButton="0" quotePrefix="0" xfId="0">
      <alignment horizontal="left" vertical="top" wrapText="1"/>
    </xf>
    <xf numFmtId="1" fontId="52" fillId="11" borderId="1" applyAlignment="1" pivotButton="0" quotePrefix="1" xfId="0">
      <alignment horizontal="left" vertical="top" wrapText="1"/>
    </xf>
    <xf numFmtId="0" fontId="52" fillId="11" borderId="1" applyAlignment="1" pivotButton="0" quotePrefix="0" xfId="0">
      <alignment horizontal="left" vertical="top" wrapText="1"/>
    </xf>
    <xf numFmtId="0" fontId="52" fillId="11" borderId="2" applyAlignment="1" pivotButton="0" quotePrefix="0" xfId="0">
      <alignment horizontal="left" vertical="top" wrapText="1"/>
    </xf>
    <xf numFmtId="0" fontId="48" fillId="15" borderId="0" applyAlignment="1" pivotButton="0" quotePrefix="0" xfId="0">
      <alignment horizontal="center" vertical="top" wrapText="1"/>
    </xf>
    <xf numFmtId="0" fontId="50" fillId="0" borderId="0" applyAlignment="1" pivotButton="0" quotePrefix="0" xfId="0">
      <alignment horizontal="center" vertical="top" wrapText="1"/>
    </xf>
    <xf numFmtId="0" fontId="51" fillId="0" borderId="0" applyAlignment="1" pivotButton="0" quotePrefix="0" xfId="0">
      <alignment horizontal="center" vertical="top" wrapText="1"/>
    </xf>
    <xf numFmtId="0" fontId="48" fillId="8" borderId="0" applyAlignment="1" pivotButton="0" quotePrefix="0" xfId="0">
      <alignment horizontal="center"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52" fillId="16" borderId="0"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54" fillId="26" borderId="0" applyAlignment="1" pivotButton="0" quotePrefix="0" xfId="0">
      <alignment vertical="top" wrapText="1"/>
    </xf>
    <xf numFmtId="0" fontId="54" fillId="26" borderId="0" applyAlignment="1" pivotButton="0" quotePrefix="0" xfId="0">
      <alignment horizontal="left" vertical="center"/>
    </xf>
    <xf numFmtId="0" fontId="54" fillId="26" borderId="0" pivotButton="0" quotePrefix="0" xfId="0"/>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9" fillId="14" borderId="0" applyAlignment="1" pivotButton="0" quotePrefix="0" xfId="0">
      <alignment horizontal="left" vertical="top" wrapText="1"/>
    </xf>
    <xf numFmtId="0" fontId="49" fillId="16" borderId="0" applyAlignment="1" pivotButton="0" quotePrefix="0" xfId="0">
      <alignment horizontal="left" vertical="top" wrapText="1"/>
    </xf>
    <xf numFmtId="0" fontId="52" fillId="14" borderId="0" applyAlignment="1" pivotButton="0" quotePrefix="0" xfId="0">
      <alignment horizontal="left" vertical="top" wrapText="1"/>
    </xf>
    <xf numFmtId="0" fontId="49" fillId="14" borderId="9" applyAlignment="1" pivotButton="0" quotePrefix="0" xfId="0">
      <alignment horizontal="left" vertical="top" wrapText="1"/>
    </xf>
    <xf numFmtId="1" fontId="49" fillId="14" borderId="1" applyAlignment="1" pivotButton="0" quotePrefix="1" xfId="0">
      <alignment horizontal="left" vertical="top" wrapText="1"/>
    </xf>
    <xf numFmtId="0" fontId="49" fillId="14" borderId="1" applyAlignment="1" pivotButton="0" quotePrefix="0" xfId="0">
      <alignment horizontal="left" vertical="top" wrapText="1"/>
    </xf>
    <xf numFmtId="0" fontId="49" fillId="14" borderId="2" applyAlignment="1" pivotButton="0" quotePrefix="0" xfId="0">
      <alignment horizontal="left" vertical="top" wrapText="1"/>
    </xf>
    <xf numFmtId="0" fontId="49" fillId="16" borderId="9" applyAlignment="1" pivotButton="0" quotePrefix="0" xfId="0">
      <alignment horizontal="left" vertical="top" wrapText="1"/>
    </xf>
    <xf numFmtId="1" fontId="49" fillId="16" borderId="1" applyAlignment="1" pivotButton="0" quotePrefix="1" xfId="0">
      <alignment horizontal="left" vertical="top" wrapText="1"/>
    </xf>
    <xf numFmtId="0" fontId="49" fillId="16" borderId="1" applyAlignment="1" pivotButton="0" quotePrefix="0" xfId="0">
      <alignment horizontal="left" vertical="top" wrapText="1"/>
    </xf>
    <xf numFmtId="0" fontId="49" fillId="16" borderId="2" applyAlignment="1" pivotButton="0" quotePrefix="0" xfId="0">
      <alignment horizontal="left" vertical="top" wrapText="1"/>
    </xf>
    <xf numFmtId="0" fontId="52" fillId="14" borderId="9" applyAlignment="1" pivotButton="0" quotePrefix="0" xfId="0">
      <alignment horizontal="left" vertical="top" wrapText="1"/>
    </xf>
    <xf numFmtId="1" fontId="52" fillId="14" borderId="1" applyAlignment="1" pivotButton="0" quotePrefix="1" xfId="0">
      <alignment horizontal="left" vertical="top" wrapText="1"/>
    </xf>
    <xf numFmtId="0" fontId="52" fillId="14" borderId="1" applyAlignment="1" pivotButton="0" quotePrefix="0" xfId="0">
      <alignment horizontal="left" vertical="top" wrapText="1"/>
    </xf>
    <xf numFmtId="0" fontId="52" fillId="14" borderId="2"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9" fillId="14" borderId="21" applyAlignment="1" pivotButton="0" quotePrefix="0" xfId="0">
      <alignment horizontal="left" vertical="top" wrapText="1"/>
    </xf>
    <xf numFmtId="0" fontId="49" fillId="16" borderId="21"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52" fillId="0" borderId="21"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styles" Target="styles.xml" Id="rId127"/><Relationship Type="http://schemas.openxmlformats.org/officeDocument/2006/relationships/theme" Target="theme/theme1.xml" Id="rId128"/><Relationship Type="http://schemas.microsoft.com/office/2006/relationships/vbaProject" Target="vbaProject.bin" Id="rId129"/></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M125" headerRowCount="1">
  <autoFilter ref="B2:M125"/>
  <tableColumns count="12">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1"/>
  <sheetViews>
    <sheetView topLeftCell="D1" zoomScaleNormal="100" workbookViewId="0">
      <pane ySplit="2" topLeftCell="A3" activePane="bottomLeft" state="frozen"/>
      <selection pane="bottomLeft" activeCell="D44" sqref="D44"/>
    </sheetView>
  </sheetViews>
  <sheetFormatPr baseColWidth="8" defaultColWidth="0" defaultRowHeight="0" customHeight="1" zeroHeight="1"/>
  <cols>
    <col width="5" bestFit="1" customWidth="1" style="4" min="1" max="1"/>
    <col width="10" customWidth="1" style="171" min="2" max="2"/>
    <col width="40" customWidth="1" style="171" min="3" max="3"/>
    <col width="38" customWidth="1" style="171" min="4" max="4"/>
    <col width="55" customWidth="1" style="172" min="5" max="5"/>
    <col width="12" customWidth="1" style="172" min="6" max="6"/>
    <col width="6" customWidth="1" style="172" min="7" max="7"/>
    <col width="12" customWidth="1" style="172" min="8" max="8"/>
    <col width="10" customWidth="1" style="172" min="9" max="9"/>
    <col width="10" bestFit="1" customWidth="1" style="172" min="10" max="10"/>
    <col width="12" customWidth="1" style="172" min="11" max="11"/>
    <col width="10" customWidth="1" style="173" min="12" max="12"/>
    <col width="12" bestFit="1" customWidth="1" style="174" min="13" max="13"/>
  </cols>
  <sheetData>
    <row r="1" ht="36" customHeight="1" s="173">
      <c r="A1" s="170" t="inlineStr">
        <is>
          <t>Project Progress: IJT OPC UA for Joining Systems – OPC 40450-1 (Server)</t>
        </is>
      </c>
    </row>
    <row r="2" ht="36" customHeight="1" s="173">
      <c r="A2" s="118" t="inlineStr">
        <is>
          <t>#</t>
        </is>
      </c>
      <c r="B2" s="118" t="inlineStr">
        <is>
          <t>Category</t>
        </is>
      </c>
      <c r="C2" s="118" t="inlineStr">
        <is>
          <t>Conformance Unit</t>
        </is>
      </c>
      <c r="D2" s="118" t="inlineStr">
        <is>
          <t>Navigation</t>
        </is>
      </c>
      <c r="E2" s="118" t="inlineStr">
        <is>
          <t>Description</t>
        </is>
      </c>
      <c r="F2" s="118" t="inlineStr">
        <is>
          <t>Owner</t>
        </is>
      </c>
      <c r="G2" s="118" t="inlineStr">
        <is>
          <t>PRI</t>
        </is>
      </c>
      <c r="H2" s="118" t="inlineStr">
        <is>
          <t># Test Cases</t>
        </is>
      </c>
      <c r="I2" s="118" t="inlineStr">
        <is>
          <t># CTT</t>
        </is>
      </c>
      <c r="J2" s="118" t="inlineStr">
        <is>
          <t># Lab</t>
        </is>
      </c>
      <c r="K2" s="118" t="inlineStr">
        <is>
          <t># Reviewed</t>
        </is>
      </c>
      <c r="L2" s="118" t="inlineStr">
        <is>
          <t># Remain</t>
        </is>
      </c>
      <c r="M2" s="119" t="inlineStr">
        <is>
          <t>% Complete</t>
        </is>
      </c>
    </row>
    <row r="3" ht="52" customFormat="1" customHeight="1" s="3">
      <c r="A3" s="409" t="n">
        <v>1</v>
      </c>
      <c r="B3" s="411" t="inlineStr">
        <is>
          <t>Server</t>
        </is>
      </c>
      <c r="C3" s="411" t="inlineStr">
        <is>
          <t>IJT Joining System Base</t>
        </is>
      </c>
      <c r="D3" s="206">
        <f>HYPERLINK("#'JS Base'!A1","▶ JS Base")</f>
        <v/>
      </c>
      <c r="E3" s="207" t="inlineStr">
        <is>
          <t>Server implements at least one instance of JoiningSystemType.</t>
        </is>
      </c>
      <c r="F3" s="208" t="inlineStr"/>
      <c r="G3" s="208" t="n">
        <v>1</v>
      </c>
      <c r="H3" s="208">
        <f>COUNT('JS Base'!B:B)</f>
        <v/>
      </c>
      <c r="I3" s="208">
        <f>COUNTIF('JS Base'!A:A,"y")</f>
        <v/>
      </c>
      <c r="J3" s="208">
        <f>COUNTIF('JS Base'!A:A,"n")</f>
        <v/>
      </c>
      <c r="K3" s="208">
        <f>COUNTIF('JS Base'!I:I,"y")</f>
        <v/>
      </c>
      <c r="L3" s="208">
        <f>TableHome[[#This Row],['# Test Cases]]-TableHome[[#This Row],['# Reviewed]]</f>
        <v/>
      </c>
      <c r="M3" s="209">
        <f>TableHome[[#This Row],['# Reviewed]]/TableHome[[#This Row],['# Test Cases]]</f>
        <v/>
      </c>
      <c r="N3" s="209" t="n"/>
    </row>
    <row r="4" ht="52" customFormat="1" customHeight="1" s="3">
      <c r="A4" s="410" t="n">
        <v>2</v>
      </c>
      <c r="B4" s="412" t="inlineStr">
        <is>
          <t>Server</t>
        </is>
      </c>
      <c r="C4" s="412" t="inlineStr">
        <is>
          <t>IJT Joining System Identification</t>
        </is>
      </c>
      <c r="D4" s="206">
        <f>HYPERLINK("#'JS Identification'!A1","▶ JS Identification")</f>
        <v/>
      </c>
      <c r="E4" s="212" t="inlineStr">
        <is>
          <t>JoiningSystem includes Identification AddIn of type JoiningSystemIdentificationType with optional properties: ProductInstanceUri, Manufacturer, ManufacturerUri.</t>
        </is>
      </c>
      <c r="F4" s="213" t="inlineStr"/>
      <c r="G4" s="213" t="n">
        <v>2</v>
      </c>
      <c r="H4" s="213">
        <f>COUNT('JS Identification'!B:B)</f>
        <v/>
      </c>
      <c r="I4" s="213">
        <f>COUNTIF('JS Identification'!A:A,"y")</f>
        <v/>
      </c>
      <c r="J4" s="213">
        <f>COUNTIF('JS Identification'!A:A,"n")</f>
        <v/>
      </c>
      <c r="K4" s="213">
        <f>COUNTIF('JS Identification'!I:I,"y")</f>
        <v/>
      </c>
      <c r="L4" s="213">
        <f>TableHome[[#This Row],['# Test Cases]]-TableHome[[#This Row],['# Reviewed]]</f>
        <v/>
      </c>
      <c r="M4" s="214">
        <f>TableHome[[#This Row],['# Reviewed]]/TableHome[[#This Row],['# Test Cases]]</f>
        <v/>
      </c>
      <c r="N4" s="214" t="n"/>
    </row>
    <row r="5" ht="52" customFormat="1" customHeight="1" s="3">
      <c r="A5" s="409" t="n">
        <v>3</v>
      </c>
      <c r="B5" s="411" t="inlineStr">
        <is>
          <t>Server</t>
        </is>
      </c>
      <c r="C5" s="411" t="inlineStr">
        <is>
          <t>IJT Joining System Machinery Building Blocks</t>
        </is>
      </c>
      <c r="D5" s="206">
        <f>HYPERLINK("#'JS Machinery Building Blocks'!A1","▶ JS Machinery Building Blocks")</f>
        <v/>
      </c>
      <c r="E5" s="207" t="inlineStr">
        <is>
          <t>JoiningSystem includes the optional MachineryBuildingBlocks per OPC 40001-1.</t>
        </is>
      </c>
      <c r="F5" s="208" t="inlineStr"/>
      <c r="G5" s="208" t="n">
        <v>2</v>
      </c>
      <c r="H5" s="208">
        <f>COUNT('JS Machinery Building Blocks'!B:B)</f>
        <v/>
      </c>
      <c r="I5" s="208">
        <f>COUNTIF('JS Machinery Building Blocks'!A:A,"y")</f>
        <v/>
      </c>
      <c r="J5" s="208">
        <f>COUNTIF('JS Machinery Building Blocks'!A:A,"n")</f>
        <v/>
      </c>
      <c r="K5" s="208">
        <f>COUNTIF('JS Machinery Building Blocks'!I:I,"y")</f>
        <v/>
      </c>
      <c r="L5" s="208">
        <f>TableHome[[#This Row],['# Test Cases]]-TableHome[[#This Row],['# Reviewed]]</f>
        <v/>
      </c>
      <c r="M5" s="209">
        <f>TableHome[[#This Row],['# Reviewed]]/TableHome[[#This Row],['# Test Cases]]</f>
        <v/>
      </c>
      <c r="N5" s="209" t="n"/>
    </row>
    <row r="6" ht="52" customFormat="1" customHeight="1" s="3">
      <c r="A6" s="410" t="n">
        <v>4</v>
      </c>
      <c r="B6" s="412" t="inlineStr">
        <is>
          <t>Server</t>
        </is>
      </c>
      <c r="C6" s="412" t="inlineStr">
        <is>
          <t>IJT Asset Management</t>
        </is>
      </c>
      <c r="D6" s="206">
        <f>HYPERLINK("#'Asset Management'!A1","▶ Asset Management")</f>
        <v/>
      </c>
      <c r="E6" s="212" t="inlineStr">
        <is>
          <t>JoiningSystem includes optional AssetManagement with Assets folder, sub-folders, and MethodSet of type JoiningSystemAssetMethodSetType.</t>
        </is>
      </c>
      <c r="F6" s="213" t="inlineStr"/>
      <c r="G6" s="213" t="n">
        <v>2</v>
      </c>
      <c r="H6" s="213">
        <f>COUNT('Asset Management'!B:B)</f>
        <v/>
      </c>
      <c r="I6" s="213">
        <f>COUNTIF('Asset Management'!A:A,"y")</f>
        <v/>
      </c>
      <c r="J6" s="213">
        <f>COUNTIF('Asset Management'!A:A,"n")</f>
        <v/>
      </c>
      <c r="K6" s="213">
        <f>COUNTIF('Asset Management'!I:I,"y")</f>
        <v/>
      </c>
      <c r="L6" s="213">
        <f>TableHome[[#This Row],['# Test Cases]]-TableHome[[#This Row],['# Reviewed]]</f>
        <v/>
      </c>
      <c r="M6" s="214">
        <f>TableHome[[#This Row],['# Reviewed]]/TableHome[[#This Row],['# Test Cases]]</f>
        <v/>
      </c>
      <c r="N6" s="214" t="n"/>
    </row>
    <row r="7" ht="52" customFormat="1" customHeight="1" s="3">
      <c r="A7" s="409" t="n">
        <v>5</v>
      </c>
      <c r="B7" s="411" t="inlineStr">
        <is>
          <t>Server</t>
        </is>
      </c>
      <c r="C7" s="411" t="inlineStr">
        <is>
          <t>IJT Result Management</t>
        </is>
      </c>
      <c r="D7" s="206">
        <f>HYPERLINK("#'Result Management'!A1","▶ Result Management")</f>
        <v/>
      </c>
      <c r="E7" s="207" t="inlineStr">
        <is>
          <t>JoiningSystem includes optional ResultManagement with Results folder.</t>
        </is>
      </c>
      <c r="F7" s="208" t="inlineStr"/>
      <c r="G7" s="208" t="n">
        <v>2</v>
      </c>
      <c r="H7" s="208">
        <f>COUNT('Result Management'!B:B)</f>
        <v/>
      </c>
      <c r="I7" s="208">
        <f>COUNTIF('Result Management'!A:A,"y")</f>
        <v/>
      </c>
      <c r="J7" s="208">
        <f>COUNTIF('Result Management'!A:A,"n")</f>
        <v/>
      </c>
      <c r="K7" s="208">
        <f>COUNTIF('Result Management'!I:I,"y")</f>
        <v/>
      </c>
      <c r="L7" s="208">
        <f>TableHome[[#This Row],['# Test Cases]]-TableHome[[#This Row],['# Reviewed]]</f>
        <v/>
      </c>
      <c r="M7" s="209">
        <f>TableHome[[#This Row],['# Reviewed]]/TableHome[[#This Row],['# Test Cases]]</f>
        <v/>
      </c>
      <c r="N7" s="209" t="n"/>
    </row>
    <row r="8" ht="52" customFormat="1" customHeight="1" s="3">
      <c r="A8" s="410" t="n">
        <v>6</v>
      </c>
      <c r="B8" s="412" t="inlineStr">
        <is>
          <t>Server</t>
        </is>
      </c>
      <c r="C8" s="412" t="inlineStr">
        <is>
          <t>IJT Single Result</t>
        </is>
      </c>
      <c r="D8" s="206">
        <f>HYPERLINK("#'Single Result'!A1","▶ Single Result")</f>
        <v/>
      </c>
      <c r="E8" s="212" t="inlineStr">
        <is>
          <t>Server supports generating Single Results where Result.ResultMetaData.Classification = SINGLE_RESULT.</t>
        </is>
      </c>
      <c r="F8" s="213" t="inlineStr"/>
      <c r="G8" s="213" t="n">
        <v>1</v>
      </c>
      <c r="H8" s="213">
        <f>COUNT('Single Result'!B:B)</f>
        <v/>
      </c>
      <c r="I8" s="213">
        <f>COUNTIF('Single Result'!A:A,"y")</f>
        <v/>
      </c>
      <c r="J8" s="213">
        <f>COUNTIF('Single Result'!A:A,"n")</f>
        <v/>
      </c>
      <c r="K8" s="213">
        <f>COUNTIF('Single Result'!I:I,"y")</f>
        <v/>
      </c>
      <c r="L8" s="213">
        <f>TableHome[[#This Row],['# Test Cases]]-TableHome[[#This Row],['# Reviewed]]</f>
        <v/>
      </c>
      <c r="M8" s="214">
        <f>TableHome[[#This Row],['# Reviewed]]/TableHome[[#This Row],['# Test Cases]]</f>
        <v/>
      </c>
      <c r="N8" s="214" t="n"/>
    </row>
    <row r="9" ht="52" customFormat="1" customHeight="1" s="3">
      <c r="A9" s="409" t="n">
        <v>7</v>
      </c>
      <c r="B9" s="411" t="inlineStr">
        <is>
          <t>Server</t>
        </is>
      </c>
      <c r="C9" s="411" t="inlineStr">
        <is>
          <t>IJT Basic Result</t>
        </is>
      </c>
      <c r="D9" s="206">
        <f>HYPERLINK("#'Basic Result'!A1","▶ Basic Result")</f>
        <v/>
      </c>
      <c r="E9" s="207" t="inlineStr">
        <is>
          <t>Result includes mandatory ResultMetaData fields: ResultId, Classification, IsSimulated, IsPartial, ResultEvaluation, JoiningTechnology, ResultState, SequenceNumber, CreationTime.</t>
        </is>
      </c>
      <c r="F9" s="208" t="inlineStr"/>
      <c r="G9" s="208" t="n">
        <v>1</v>
      </c>
      <c r="H9" s="208">
        <f>COUNT('Basic Result'!B:B)</f>
        <v/>
      </c>
      <c r="I9" s="208">
        <f>COUNTIF('Basic Result'!A:A,"y")</f>
        <v/>
      </c>
      <c r="J9" s="208">
        <f>COUNTIF('Basic Result'!A:A,"n")</f>
        <v/>
      </c>
      <c r="K9" s="208">
        <f>COUNTIF('Basic Result'!I:I,"y")</f>
        <v/>
      </c>
      <c r="L9" s="208">
        <f>TableHome[[#This Row],['# Test Cases]]-TableHome[[#This Row],['# Reviewed]]</f>
        <v/>
      </c>
      <c r="M9" s="209">
        <f>TableHome[[#This Row],['# Reviewed]]/TableHome[[#This Row],['# Test Cases]]</f>
        <v/>
      </c>
      <c r="N9" s="209" t="n"/>
    </row>
    <row r="10" ht="52" customFormat="1" customHeight="1" s="3">
      <c r="A10" s="410" t="n">
        <v>8</v>
      </c>
      <c r="B10" s="412" t="inlineStr">
        <is>
          <t>Server</t>
        </is>
      </c>
      <c r="C10" s="412" t="inlineStr">
        <is>
          <t>IJT Result Additional Data</t>
        </is>
      </c>
      <c r="D10" s="206">
        <f>HYPERLINK("#'Result Additional Data'!A1","▶ Result Additional Data")</f>
        <v/>
      </c>
      <c r="E10" s="212" t="inlineStr">
        <is>
          <t>Result.ResultMetaData includes optional fields: Name, Description, ResultEvaluationCode, ResultEvaluationDetails, AssemblyType, OperationMode.</t>
        </is>
      </c>
      <c r="F10" s="213" t="inlineStr"/>
      <c r="G10" s="213" t="n">
        <v>2</v>
      </c>
      <c r="H10" s="213">
        <f>COUNT('Result Additional Data'!B:B)</f>
        <v/>
      </c>
      <c r="I10" s="213">
        <f>COUNTIF('Result Additional Data'!A:A,"y")</f>
        <v/>
      </c>
      <c r="J10" s="213">
        <f>COUNTIF('Result Additional Data'!A:A,"n")</f>
        <v/>
      </c>
      <c r="K10" s="213">
        <f>COUNTIF('Result Additional Data'!I:I,"y")</f>
        <v/>
      </c>
      <c r="L10" s="213">
        <f>TableHome[[#This Row],['# Test Cases]]-TableHome[[#This Row],['# Reviewed]]</f>
        <v/>
      </c>
      <c r="M10" s="214">
        <f>TableHome[[#This Row],['# Reviewed]]/TableHome[[#This Row],['# Test Cases]]</f>
        <v/>
      </c>
      <c r="N10" s="214" t="n"/>
    </row>
    <row r="11" ht="52" customFormat="1" customHeight="1" s="3">
      <c r="A11" s="409" t="n">
        <v>9</v>
      </c>
      <c r="B11" s="411" t="inlineStr">
        <is>
          <t>Server</t>
        </is>
      </c>
      <c r="C11" s="411" t="inlineStr">
        <is>
          <t>IJT Result Extended Meta Data</t>
        </is>
      </c>
      <c r="D11" s="206">
        <f>HYPERLINK("#'Result Extended Meta Data'!A1","▶ Result Extended Meta Data")</f>
        <v/>
      </c>
      <c r="E11" s="207" t="inlineStr">
        <is>
          <t>Result.ResultMetaData.ExtendedMetaData[] provides additional meta data as KeyValueDataType entries.</t>
        </is>
      </c>
      <c r="F11" s="208" t="inlineStr"/>
      <c r="G11" s="208" t="n">
        <v>2</v>
      </c>
      <c r="H11" s="208">
        <f>COUNT('Result Extended Meta Data'!B:B)</f>
        <v/>
      </c>
      <c r="I11" s="208">
        <f>COUNTIF('Result Extended Meta Data'!A:A,"y")</f>
        <v/>
      </c>
      <c r="J11" s="208">
        <f>COUNTIF('Result Extended Meta Data'!A:A,"n")</f>
        <v/>
      </c>
      <c r="K11" s="208">
        <f>COUNTIF('Result Extended Meta Data'!I:I,"y")</f>
        <v/>
      </c>
      <c r="L11" s="208">
        <f>TableHome[[#This Row],['# Test Cases]]-TableHome[[#This Row],['# Reviewed]]</f>
        <v/>
      </c>
      <c r="M11" s="209">
        <f>TableHome[[#This Row],['# Reviewed]]/TableHome[[#This Row],['# Test Cases]]</f>
        <v/>
      </c>
      <c r="N11" s="209" t="n"/>
    </row>
    <row r="12" ht="52" customFormat="1" customHeight="1" s="3">
      <c r="A12" s="410" t="n">
        <v>10</v>
      </c>
      <c r="B12" s="412" t="inlineStr">
        <is>
          <t>Server</t>
        </is>
      </c>
      <c r="C12" s="412" t="inlineStr">
        <is>
          <t>IJT Result Processing Times</t>
        </is>
      </c>
      <c r="D12" s="206">
        <f>HYPERLINK("#'Result Processing Times'!A1","▶ Result Processing Times")</f>
        <v/>
      </c>
      <c r="E12" s="212" t="inlineStr">
        <is>
          <t>Result.ResultMetaData.ProcessingTimes includes StartTime and EndTime.</t>
        </is>
      </c>
      <c r="F12" s="213" t="inlineStr"/>
      <c r="G12" s="213" t="n">
        <v>2</v>
      </c>
      <c r="H12" s="213">
        <f>COUNT('Result Processing Times'!B:B)</f>
        <v/>
      </c>
      <c r="I12" s="213">
        <f>COUNTIF('Result Processing Times'!A:A,"y")</f>
        <v/>
      </c>
      <c r="J12" s="213">
        <f>COUNTIF('Result Processing Times'!A:A,"n")</f>
        <v/>
      </c>
      <c r="K12" s="213">
        <f>COUNTIF('Result Processing Times'!I:I,"y")</f>
        <v/>
      </c>
      <c r="L12" s="213">
        <f>TableHome[[#This Row],['# Test Cases]]-TableHome[[#This Row],['# Reviewed]]</f>
        <v/>
      </c>
      <c r="M12" s="214">
        <f>TableHome[[#This Row],['# Reviewed]]/TableHome[[#This Row],['# Test Cases]]</f>
        <v/>
      </c>
      <c r="N12" s="214" t="n"/>
    </row>
    <row r="13" ht="52" customFormat="1" customHeight="1" s="3">
      <c r="A13" s="409" t="n">
        <v>11</v>
      </c>
      <c r="B13" s="411" t="inlineStr">
        <is>
          <t>Server</t>
        </is>
      </c>
      <c r="C13" s="411" t="inlineStr">
        <is>
          <t>IJT Result Processing Times Durations</t>
        </is>
      </c>
      <c r="D13" s="206">
        <f>HYPERLINK("#'Result Processing Durations'!A1","▶ Result Processing Durations")</f>
        <v/>
      </c>
      <c r="E13" s="207" t="inlineStr">
        <is>
          <t>Result.ResultMetaData.ProcessingTimes includes AcquisitionDuration and ProcessingDuration.</t>
        </is>
      </c>
      <c r="F13" s="208" t="inlineStr"/>
      <c r="G13" s="208" t="n">
        <v>2</v>
      </c>
      <c r="H13" s="208">
        <f>COUNT('Result Processing Durations'!B:B)</f>
        <v/>
      </c>
      <c r="I13" s="208">
        <f>COUNTIF('Result Processing Durations'!A:A,"y")</f>
        <v/>
      </c>
      <c r="J13" s="208">
        <f>COUNTIF('Result Processing Durations'!A:A,"n")</f>
        <v/>
      </c>
      <c r="K13" s="208">
        <f>COUNTIF('Result Processing Durations'!I:I,"y")</f>
        <v/>
      </c>
      <c r="L13" s="208">
        <f>TableHome[[#This Row],['# Test Cases]]-TableHome[[#This Row],['# Reviewed]]</f>
        <v/>
      </c>
      <c r="M13" s="209">
        <f>TableHome[[#This Row],['# Reviewed]]/TableHome[[#This Row],['# Test Cases]]</f>
        <v/>
      </c>
      <c r="N13" s="209" t="n"/>
    </row>
    <row r="14" ht="52" customFormat="1" customHeight="1" s="3">
      <c r="A14" s="410" t="n">
        <v>12</v>
      </c>
      <c r="B14" s="412" t="inlineStr">
        <is>
          <t>Server</t>
        </is>
      </c>
      <c r="C14" s="412" t="inlineStr">
        <is>
          <t>IJT Result Event Access</t>
        </is>
      </c>
      <c r="D14" s="206">
        <f>HYPERLINK("#'Result Event Access'!A1","▶ Result Event Access")</f>
        <v/>
      </c>
      <c r="E14" s="212" t="inlineStr">
        <is>
          <t>Server reports Results by generating events of JoiningSystemResultReadyEventType.</t>
        </is>
      </c>
      <c r="F14" s="213" t="inlineStr"/>
      <c r="G14" s="213" t="n">
        <v>1</v>
      </c>
      <c r="H14" s="213">
        <f>COUNT('Result Event Access'!B:B)</f>
        <v/>
      </c>
      <c r="I14" s="213">
        <f>COUNTIF('Result Event Access'!A:A,"y")</f>
        <v/>
      </c>
      <c r="J14" s="213">
        <f>COUNTIF('Result Event Access'!A:A,"n")</f>
        <v/>
      </c>
      <c r="K14" s="213">
        <f>COUNTIF('Result Event Access'!I:I,"y")</f>
        <v/>
      </c>
      <c r="L14" s="213">
        <f>TableHome[[#This Row],['# Test Cases]]-TableHome[[#This Row],['# Reviewed]]</f>
        <v/>
      </c>
      <c r="M14" s="214">
        <f>TableHome[[#This Row],['# Reviewed]]/TableHome[[#This Row],['# Test Cases]]</f>
        <v/>
      </c>
      <c r="N14" s="214" t="n"/>
    </row>
    <row r="15" ht="52" customFormat="1" customHeight="1" s="3">
      <c r="A15" s="409" t="n">
        <v>13</v>
      </c>
      <c r="B15" s="411" t="inlineStr">
        <is>
          <t>Server</t>
        </is>
      </c>
      <c r="C15" s="411" t="inlineStr">
        <is>
          <t>IJT Get Latest Result</t>
        </is>
      </c>
      <c r="D15" s="206">
        <f>HYPERLINK("#'Get Latest Result'!A1","▶ Get Latest Result")</f>
        <v/>
      </c>
      <c r="E15" s="207" t="inlineStr">
        <is>
          <t>The Server shall support GetLatestResult method which returns the last available result in the output argument.</t>
        </is>
      </c>
      <c r="F15" s="208" t="inlineStr"/>
      <c r="G15" s="208" t="n">
        <v>2</v>
      </c>
      <c r="H15" s="208">
        <f>COUNT('Get Latest Result'!B:B)</f>
        <v/>
      </c>
      <c r="I15" s="208">
        <f>COUNTIF('Get Latest Result'!A:A,"y")</f>
        <v/>
      </c>
      <c r="J15" s="208">
        <f>COUNTIF('Get Latest Result'!A:A,"n")</f>
        <v/>
      </c>
      <c r="K15" s="208">
        <f>COUNTIF('Get Latest Result'!I:I,"y")</f>
        <v/>
      </c>
      <c r="L15" s="208">
        <f>TableHome[[#This Row],['# Test Cases]]-TableHome[[#This Row],['# Reviewed]]</f>
        <v/>
      </c>
      <c r="M15" s="209">
        <f>TableHome[[#This Row],['# Reviewed]]/TableHome[[#This Row],['# Test Cases]]</f>
        <v/>
      </c>
      <c r="N15" s="209" t="n"/>
    </row>
    <row r="16" ht="52" customFormat="1" customHeight="1" s="3">
      <c r="A16" s="410" t="n">
        <v>14</v>
      </c>
      <c r="B16" s="412" t="inlineStr">
        <is>
          <t>Server</t>
        </is>
      </c>
      <c r="C16" s="412" t="inlineStr">
        <is>
          <t>IJT Get Result by Id</t>
        </is>
      </c>
      <c r="D16" s="206">
        <f>HYPERLINK("#'Get Result by Id'!A1","▶ Get Result by Id")</f>
        <v/>
      </c>
      <c r="E16" s="212" t="inlineStr">
        <is>
          <t>The Server shall support GetResultById method which returns the complete result including Result.ResultMetaData and Result.ResultContent based on the input identifier.</t>
        </is>
      </c>
      <c r="F16" s="213" t="inlineStr"/>
      <c r="G16" s="213" t="n">
        <v>2</v>
      </c>
      <c r="H16" s="213">
        <f>COUNT('Get Result by Id'!B:B)</f>
        <v/>
      </c>
      <c r="I16" s="213">
        <f>COUNTIF('Get Result by Id'!A:A,"y")</f>
        <v/>
      </c>
      <c r="J16" s="213">
        <f>COUNTIF('Get Result by Id'!A:A,"n")</f>
        <v/>
      </c>
      <c r="K16" s="213">
        <f>COUNTIF('Get Result by Id'!I:I,"y")</f>
        <v/>
      </c>
      <c r="L16" s="213">
        <f>TableHome[[#This Row],['# Test Cases]]-TableHome[[#This Row],['# Reviewed]]</f>
        <v/>
      </c>
      <c r="M16" s="214">
        <f>TableHome[[#This Row],['# Reviewed]]/TableHome[[#This Row],['# Test Cases]]</f>
        <v/>
      </c>
      <c r="N16" s="214" t="n"/>
    </row>
    <row r="17" ht="52" customFormat="1" customHeight="1" s="3">
      <c r="A17" s="409" t="n">
        <v>15</v>
      </c>
      <c r="B17" s="411" t="inlineStr">
        <is>
          <t>Server</t>
        </is>
      </c>
      <c r="C17" s="411" t="inlineStr">
        <is>
          <t>IJT Get Result with Filter Criteria</t>
        </is>
      </c>
      <c r="D17" s="206">
        <f>HYPERLINK("#'Get Result with Filter Criteria'!A1","▶ Get Result with Filter Criteria")</f>
        <v/>
      </c>
      <c r="E17" s="207" t="inlineStr">
        <is>
          <t>Server supports GetResultIdListFiltered using at least SequenceNumber or CreationTime as a filter criterion.</t>
        </is>
      </c>
      <c r="F17" s="208" t="inlineStr"/>
      <c r="G17" s="208" t="n">
        <v>2</v>
      </c>
      <c r="H17" s="208">
        <f>COUNT('Get Result with Filter Criteria'!B:B)</f>
        <v/>
      </c>
      <c r="I17" s="208">
        <f>COUNTIF('Get Result with Filter Criteria'!A:A,"y")</f>
        <v/>
      </c>
      <c r="J17" s="208">
        <f>COUNTIF('Get Result with Filter Criteria'!A:A,"n")</f>
        <v/>
      </c>
      <c r="K17" s="208">
        <f>COUNTIF('Get Result with Filter Criteria'!I:I,"y")</f>
        <v/>
      </c>
      <c r="L17" s="208">
        <f>TableHome[[#This Row],['# Test Cases]]-TableHome[[#This Row],['# Reviewed]]</f>
        <v/>
      </c>
      <c r="M17" s="209">
        <f>TableHome[[#This Row],['# Reviewed]]/TableHome[[#This Row],['# Test Cases]]</f>
        <v/>
      </c>
      <c r="N17" s="209" t="n"/>
    </row>
    <row r="18" ht="52" customFormat="1" customHeight="1" s="3">
      <c r="A18" s="410" t="n">
        <v>16</v>
      </c>
      <c r="B18" s="412" t="inlineStr">
        <is>
          <t>Server</t>
        </is>
      </c>
      <c r="C18" s="412" t="inlineStr">
        <is>
          <t>IJT Result Variable Access</t>
        </is>
      </c>
      <c r="D18" s="206">
        <f>HYPERLINK("#'Result Variable Access'!A1","▶ Result Variable Access")</f>
        <v/>
      </c>
      <c r="E18" s="212" t="inlineStr">
        <is>
          <t>The Server shall expose results as a ResultVariable in the address space with at least Result.ResultMetaData as per JoiningSystemResultType.</t>
        </is>
      </c>
      <c r="F18" s="213" t="inlineStr"/>
      <c r="G18" s="213" t="n">
        <v>2</v>
      </c>
      <c r="H18" s="213">
        <f>COUNT('Result Variable Access'!B:B)</f>
        <v/>
      </c>
      <c r="I18" s="213">
        <f>COUNTIF('Result Variable Access'!A:A,"y")</f>
        <v/>
      </c>
      <c r="J18" s="213">
        <f>COUNTIF('Result Variable Access'!A:A,"n")</f>
        <v/>
      </c>
      <c r="K18" s="213">
        <f>COUNTIF('Result Variable Access'!I:I,"y")</f>
        <v/>
      </c>
      <c r="L18" s="213">
        <f>TableHome[[#This Row],['# Test Cases]]-TableHome[[#This Row],['# Reviewed]]</f>
        <v/>
      </c>
      <c r="M18" s="214">
        <f>TableHome[[#This Row],['# Reviewed]]/TableHome[[#This Row],['# Test Cases]]</f>
        <v/>
      </c>
      <c r="N18" s="214" t="n"/>
    </row>
    <row r="19" ht="52" customFormat="1" customHeight="1" s="3">
      <c r="A19" s="409" t="n">
        <v>17</v>
      </c>
      <c r="B19" s="411" t="inlineStr">
        <is>
          <t>Server</t>
        </is>
      </c>
      <c r="C19" s="411" t="inlineStr">
        <is>
          <t>IJT Result Internal Identifiers</t>
        </is>
      </c>
      <c r="D19" s="206">
        <f>HYPERLINK("#'Result Internal Identifiers'!A1","▶ Result Internal Identifiers")</f>
        <v/>
      </c>
      <c r="E19" s="207" t="inlineStr">
        <is>
          <t>Result.ResultMetaData.AssociatedEntities[] includes CONTROLLER and TOOL identifiers; also MEMORY_DEVICE, SERVO etc. and Joining Process identifiers.</t>
        </is>
      </c>
      <c r="F19" s="208" t="inlineStr"/>
      <c r="G19" s="208" t="n">
        <v>2</v>
      </c>
      <c r="H19" s="208">
        <f>COUNT('Result Internal Identifiers'!B:B)</f>
        <v/>
      </c>
      <c r="I19" s="208">
        <f>COUNTIF('Result Internal Identifiers'!A:A,"y")</f>
        <v/>
      </c>
      <c r="J19" s="208">
        <f>COUNTIF('Result Internal Identifiers'!A:A,"n")</f>
        <v/>
      </c>
      <c r="K19" s="208">
        <f>COUNTIF('Result Internal Identifiers'!I:I,"y")</f>
        <v/>
      </c>
      <c r="L19" s="208">
        <f>TableHome[[#This Row],['# Test Cases]]-TableHome[[#This Row],['# Reviewed]]</f>
        <v/>
      </c>
      <c r="M19" s="209">
        <f>TableHome[[#This Row],['# Reviewed]]/TableHome[[#This Row],['# Test Cases]]</f>
        <v/>
      </c>
      <c r="N19" s="209" t="n"/>
    </row>
    <row r="20" ht="52" customFormat="1" customHeight="1" s="3">
      <c r="A20" s="410" t="n">
        <v>18</v>
      </c>
      <c r="B20" s="412" t="inlineStr">
        <is>
          <t>Server</t>
        </is>
      </c>
      <c r="C20" s="412" t="inlineStr">
        <is>
          <t>IJT Result External Identifiers</t>
        </is>
      </c>
      <c r="D20" s="206">
        <f>HYPERLINK("#'Result External Identifiers'!A1","▶ Result External Identifiers")</f>
        <v/>
      </c>
      <c r="E20" s="212" t="inlineStr">
        <is>
          <t>Result.ResultMetaData.AssociatedEntities[] includes at least one of: VEHICLE, PRODUCT, PART, JOINT, ORDER, MODEL identifiers.</t>
        </is>
      </c>
      <c r="F20" s="213" t="inlineStr"/>
      <c r="G20" s="213" t="n">
        <v>2</v>
      </c>
      <c r="H20" s="213">
        <f>COUNT('Result External Identifiers'!B:B)</f>
        <v/>
      </c>
      <c r="I20" s="213">
        <f>COUNTIF('Result External Identifiers'!A:A,"y")</f>
        <v/>
      </c>
      <c r="J20" s="213">
        <f>COUNTIF('Result External Identifiers'!A:A,"n")</f>
        <v/>
      </c>
      <c r="K20" s="213">
        <f>COUNTIF('Result External Identifiers'!I:I,"y")</f>
        <v/>
      </c>
      <c r="L20" s="213">
        <f>TableHome[[#This Row],['# Test Cases]]-TableHome[[#This Row],['# Reviewed]]</f>
        <v/>
      </c>
      <c r="M20" s="214">
        <f>TableHome[[#This Row],['# Reviewed]]/TableHome[[#This Row],['# Test Cases]]</f>
        <v/>
      </c>
      <c r="N20" s="214" t="n"/>
    </row>
    <row r="21" ht="52" customFormat="1" customHeight="1" s="3">
      <c r="A21" s="409" t="n">
        <v>19</v>
      </c>
      <c r="B21" s="411" t="inlineStr">
        <is>
          <t>Server</t>
        </is>
      </c>
      <c r="C21" s="411" t="inlineStr">
        <is>
          <t>IJT Joining Result Failure Reason</t>
        </is>
      </c>
      <c r="D21" s="206">
        <f>HYPERLINK("#'JR Failure Reason'!A1","▶ JR Failure Reason")</f>
        <v/>
      </c>
      <c r="E21" s="207" t="inlineStr">
        <is>
          <t>JoiningResultDataType provides FailureReason when Result.ResultMetaData.ResultEvaluation=NotOK.</t>
        </is>
      </c>
      <c r="F21" s="208" t="inlineStr"/>
      <c r="G21" s="208" t="n">
        <v>2</v>
      </c>
      <c r="H21" s="208">
        <f>COUNT('JR Failure Reason'!B:B)</f>
        <v/>
      </c>
      <c r="I21" s="208">
        <f>COUNTIF('JR Failure Reason'!A:A,"y")</f>
        <v/>
      </c>
      <c r="J21" s="208">
        <f>COUNTIF('JR Failure Reason'!A:A,"n")</f>
        <v/>
      </c>
      <c r="K21" s="208">
        <f>COUNTIF('JR Failure Reason'!I:I,"y")</f>
        <v/>
      </c>
      <c r="L21" s="208">
        <f>TableHome[[#This Row],['# Test Cases]]-TableHome[[#This Row],['# Reviewed]]</f>
        <v/>
      </c>
      <c r="M21" s="209">
        <f>TableHome[[#This Row],['# Reviewed]]/TableHome[[#This Row],['# Test Cases]]</f>
        <v/>
      </c>
      <c r="N21" s="209" t="n"/>
    </row>
    <row r="22" ht="52" customFormat="1" customHeight="1" s="3">
      <c r="A22" s="410" t="n">
        <v>20</v>
      </c>
      <c r="B22" s="412" t="inlineStr">
        <is>
          <t>Server</t>
        </is>
      </c>
      <c r="C22" s="412" t="inlineStr">
        <is>
          <t>IJT Joining Result Overall Result Values</t>
        </is>
      </c>
      <c r="D22" s="206">
        <f>HYPERLINK("#'JR Overall Result Values'!A1","▶ JR Overall Result Values")</f>
        <v/>
      </c>
      <c r="E22" s="212" t="inlineStr">
        <is>
          <t>JoiningResultDataType.OverallResultValues[] includes MeasuredValue, PhysicalQuantity, Name, ResultEvaluation; ViolationType and ViolationConsequence if ResultEvaluation=NotOK.</t>
        </is>
      </c>
      <c r="F22" s="213" t="inlineStr"/>
      <c r="G22" s="213" t="n">
        <v>2</v>
      </c>
      <c r="H22" s="213">
        <f>COUNT('JR Overall Result Values'!B:B)</f>
        <v/>
      </c>
      <c r="I22" s="213">
        <f>COUNTIF('JR Overall Result Values'!A:A,"y")</f>
        <v/>
      </c>
      <c r="J22" s="213">
        <f>COUNTIF('JR Overall Result Values'!A:A,"n")</f>
        <v/>
      </c>
      <c r="K22" s="213">
        <f>COUNTIF('JR Overall Result Values'!I:I,"y")</f>
        <v/>
      </c>
      <c r="L22" s="213">
        <f>TableHome[[#This Row],['# Test Cases]]-TableHome[[#This Row],['# Reviewed]]</f>
        <v/>
      </c>
      <c r="M22" s="214">
        <f>TableHome[[#This Row],['# Reviewed]]/TableHome[[#This Row],['# Test Cases]]</f>
        <v/>
      </c>
      <c r="N22" s="214" t="n"/>
    </row>
    <row r="23" ht="52" customFormat="1" customHeight="1" s="3">
      <c r="A23" s="409" t="n">
        <v>21</v>
      </c>
      <c r="B23" s="411" t="inlineStr">
        <is>
          <t>Server</t>
        </is>
      </c>
      <c r="C23" s="411" t="inlineStr">
        <is>
          <t>IJT Joining Result Step Results</t>
        </is>
      </c>
      <c r="D23" s="206">
        <f>HYPERLINK("#'JR Step Results'!A1","▶ JR Step Results")</f>
        <v/>
      </c>
      <c r="E23" s="207" t="inlineStr">
        <is>
          <t>JoiningResult.StepResults[] each includes StepResultId, ProgramStepId or ProgramStep, Name, ResultEvaluation, StepTraceId+StartTimeOffset if traces present. StepResultValues[] includes MeasuredValue, PhysicalQuantity, Name, ResultEvaluation.</t>
        </is>
      </c>
      <c r="F23" s="208" t="inlineStr"/>
      <c r="G23" s="208" t="n">
        <v>2</v>
      </c>
      <c r="H23" s="208">
        <f>COUNT('JR Step Results'!B:B)</f>
        <v/>
      </c>
      <c r="I23" s="208">
        <f>COUNTIF('JR Step Results'!A:A,"y")</f>
        <v/>
      </c>
      <c r="J23" s="208">
        <f>COUNTIF('JR Step Results'!A:A,"n")</f>
        <v/>
      </c>
      <c r="K23" s="208">
        <f>COUNTIF('JR Step Results'!I:I,"y")</f>
        <v/>
      </c>
      <c r="L23" s="208">
        <f>TableHome[[#This Row],['# Test Cases]]-TableHome[[#This Row],['# Reviewed]]</f>
        <v/>
      </c>
      <c r="M23" s="209">
        <f>TableHome[[#This Row],['# Reviewed]]/TableHome[[#This Row],['# Test Cases]]</f>
        <v/>
      </c>
      <c r="N23" s="209" t="n"/>
    </row>
    <row r="24" ht="52" customFormat="1" customHeight="1" s="3">
      <c r="A24" s="410" t="n">
        <v>22</v>
      </c>
      <c r="B24" s="412" t="inlineStr">
        <is>
          <t>Server</t>
        </is>
      </c>
      <c r="C24" s="412" t="inlineStr">
        <is>
          <t>IJT Joining Result Errors</t>
        </is>
      </c>
      <c r="D24" s="206">
        <f>HYPERLINK("#'JR Errors'!A1","▶ JR Errors")</f>
        <v/>
      </c>
      <c r="E24" s="212" t="inlineStr">
        <is>
          <t>JoiningResultDataType.Errors[] each instance of ErrorInformationDataType includes at least ErrorType and ErrorMessage.</t>
        </is>
      </c>
      <c r="F24" s="213" t="inlineStr"/>
      <c r="G24" s="213" t="n">
        <v>2</v>
      </c>
      <c r="H24" s="213">
        <f>COUNT('JR Errors'!B:B)</f>
        <v/>
      </c>
      <c r="I24" s="213">
        <f>COUNTIF('JR Errors'!A:A,"y")</f>
        <v/>
      </c>
      <c r="J24" s="213">
        <f>COUNTIF('JR Errors'!A:A,"n")</f>
        <v/>
      </c>
      <c r="K24" s="213">
        <f>COUNTIF('JR Errors'!I:I,"y")</f>
        <v/>
      </c>
      <c r="L24" s="213">
        <f>TableHome[[#This Row],['# Test Cases]]-TableHome[[#This Row],['# Reviewed]]</f>
        <v/>
      </c>
      <c r="M24" s="214">
        <f>TableHome[[#This Row],['# Reviewed]]/TableHome[[#This Row],['# Test Cases]]</f>
        <v/>
      </c>
      <c r="N24" s="214" t="n"/>
    </row>
    <row r="25" ht="52" customFormat="1" customHeight="1" s="3">
      <c r="A25" s="409" t="n">
        <v>23</v>
      </c>
      <c r="B25" s="411" t="inlineStr">
        <is>
          <t>Server</t>
        </is>
      </c>
      <c r="C25" s="411" t="inlineStr">
        <is>
          <t>IJT Joining Result Trace</t>
        </is>
      </c>
      <c r="D25" s="206">
        <f>HYPERLINK("#'JR Trace'!A1","▶ JR Trace")</f>
        <v/>
      </c>
      <c r="E25" s="207" t="inlineStr">
        <is>
          <t>JoiningResultDataType.Trace (JoiningTraceDataType) includes TraceId, ResultId, StepTraces[]. Each StepTraceDataType includes StepTraceId, StepResultId, NumberOfTracePoints, StepTraceContent[], StartTimeOffset or SamplingInterval.</t>
        </is>
      </c>
      <c r="F25" s="208" t="inlineStr"/>
      <c r="G25" s="208" t="n">
        <v>2</v>
      </c>
      <c r="H25" s="208">
        <f>COUNT('JR Trace'!B:B)</f>
        <v/>
      </c>
      <c r="I25" s="208">
        <f>COUNTIF('JR Trace'!A:A,"y")</f>
        <v/>
      </c>
      <c r="J25" s="208">
        <f>COUNTIF('JR Trace'!A:A,"n")</f>
        <v/>
      </c>
      <c r="K25" s="208">
        <f>COUNTIF('JR Trace'!I:I,"y")</f>
        <v/>
      </c>
      <c r="L25" s="208">
        <f>TableHome[[#This Row],['# Test Cases]]-TableHome[[#This Row],['# Reviewed]]</f>
        <v/>
      </c>
      <c r="M25" s="209">
        <f>TableHome[[#This Row],['# Reviewed]]/TableHome[[#This Row],['# Test Cases]]</f>
        <v/>
      </c>
      <c r="N25" s="209" t="n"/>
    </row>
    <row r="26" ht="52" customFormat="1" customHeight="1" s="3">
      <c r="A26" s="410" t="n">
        <v>24</v>
      </c>
      <c r="B26" s="412" t="inlineStr">
        <is>
          <t>Server</t>
        </is>
      </c>
      <c r="C26" s="412" t="inlineStr">
        <is>
          <t>IJT Result Value Trace Point Time Offset</t>
        </is>
      </c>
      <c r="D26" s="206">
        <f>HYPERLINK("#'RV Trace Point Time Offset'!A1","▶ RV Trace Point Time Offset")</f>
        <v/>
      </c>
      <c r="E26" s="212" t="inlineStr">
        <is>
          <t>StepResultValues[] includes TracePointOffset (time-based trace point reference).</t>
        </is>
      </c>
      <c r="F26" s="213" t="inlineStr"/>
      <c r="G26" s="213" t="n">
        <v>2</v>
      </c>
      <c r="H26" s="213">
        <f>COUNT('RV Trace Point Time Offset'!B:B)</f>
        <v/>
      </c>
      <c r="I26" s="213">
        <f>COUNTIF('RV Trace Point Time Offset'!A:A,"y")</f>
        <v/>
      </c>
      <c r="J26" s="213">
        <f>COUNTIF('RV Trace Point Time Offset'!A:A,"n")</f>
        <v/>
      </c>
      <c r="K26" s="213">
        <f>COUNTIF('RV Trace Point Time Offset'!I:I,"y")</f>
        <v/>
      </c>
      <c r="L26" s="213">
        <f>TableHome[[#This Row],['# Test Cases]]-TableHome[[#This Row],['# Reviewed]]</f>
        <v/>
      </c>
      <c r="M26" s="214">
        <f>TableHome[[#This Row],['# Reviewed]]/TableHome[[#This Row],['# Test Cases]]</f>
        <v/>
      </c>
      <c r="N26" s="214" t="n"/>
    </row>
    <row r="27" ht="52" customFormat="1" customHeight="1" s="3">
      <c r="A27" s="409" t="n">
        <v>25</v>
      </c>
      <c r="B27" s="411" t="inlineStr">
        <is>
          <t>Server</t>
        </is>
      </c>
      <c r="C27" s="411" t="inlineStr">
        <is>
          <t>IJT Result Value Trace Point Index</t>
        </is>
      </c>
      <c r="D27" s="206">
        <f>HYPERLINK("#'RV Trace Point Index'!A1","▶ RV Trace Point Index")</f>
        <v/>
      </c>
      <c r="E27" s="207" t="inlineStr">
        <is>
          <t>The respective StepResultValue shall include the TracePointIndex which can point to a specific sample in a TraceContent array.</t>
        </is>
      </c>
      <c r="F27" s="208" t="inlineStr"/>
      <c r="G27" s="208" t="n">
        <v>2</v>
      </c>
      <c r="H27" s="208">
        <f>COUNT('RV Trace Point Index'!B:B)</f>
        <v/>
      </c>
      <c r="I27" s="208">
        <f>COUNTIF('RV Trace Point Index'!A:A,"y")</f>
        <v/>
      </c>
      <c r="J27" s="208">
        <f>COUNTIF('RV Trace Point Index'!A:A,"n")</f>
        <v/>
      </c>
      <c r="K27" s="208">
        <f>COUNTIF('RV Trace Point Index'!I:I,"y")</f>
        <v/>
      </c>
      <c r="L27" s="208">
        <f>TableHome[[#This Row],['# Test Cases]]-TableHome[[#This Row],['# Reviewed]]</f>
        <v/>
      </c>
      <c r="M27" s="209">
        <f>TableHome[[#This Row],['# Reviewed]]/TableHome[[#This Row],['# Test Cases]]</f>
        <v/>
      </c>
      <c r="N27" s="209" t="n"/>
    </row>
    <row r="28" ht="52" customFormat="1" customHeight="1" s="3">
      <c r="A28" s="410" t="n">
        <v>26</v>
      </c>
      <c r="B28" s="412" t="inlineStr">
        <is>
          <t>Server</t>
        </is>
      </c>
      <c r="C28" s="412" t="inlineStr">
        <is>
          <t>IJT Sync Result</t>
        </is>
      </c>
      <c r="D28" s="206">
        <f>HYPERLINK("#'Sync Result'!A1","▶ Sync Result")</f>
        <v/>
      </c>
      <c r="E28" s="212" t="inlineStr">
        <is>
          <t>The joining system shall support the Result with Result.ResultMetaData.Classification as SYNC_RESULT.</t>
        </is>
      </c>
      <c r="F28" s="213" t="inlineStr"/>
      <c r="G28" s="213" t="n">
        <v>2</v>
      </c>
      <c r="H28" s="213">
        <f>COUNT('Sync Result'!B:B)</f>
        <v/>
      </c>
      <c r="I28" s="213">
        <f>COUNTIF('Sync Result'!A:A,"y")</f>
        <v/>
      </c>
      <c r="J28" s="213">
        <f>COUNTIF('Sync Result'!A:A,"n")</f>
        <v/>
      </c>
      <c r="K28" s="213">
        <f>COUNTIF('Sync Result'!I:I,"y")</f>
        <v/>
      </c>
      <c r="L28" s="213">
        <f>TableHome[[#This Row],['# Test Cases]]-TableHome[[#This Row],['# Reviewed]]</f>
        <v/>
      </c>
      <c r="M28" s="214">
        <f>TableHome[[#This Row],['# Reviewed]]/TableHome[[#This Row],['# Test Cases]]</f>
        <v/>
      </c>
      <c r="N28" s="214" t="n"/>
    </row>
    <row r="29" ht="52" customFormat="1" customHeight="1" s="3">
      <c r="A29" s="409" t="n">
        <v>27</v>
      </c>
      <c r="B29" s="411" t="inlineStr">
        <is>
          <t>Server</t>
        </is>
      </c>
      <c r="C29" s="411" t="inlineStr">
        <is>
          <t>IJT Sync Result Counters</t>
        </is>
      </c>
      <c r="D29" s="206">
        <f>HYPERLINK("#'Sync Result Counters'!A1","▶ Sync Result Counters")</f>
        <v/>
      </c>
      <c r="E29" s="207" t="inlineStr">
        <is>
          <t>If Result.ResultMetaData.Classification is SYNC_RESULT, then Result.ResultMetaData.ResultCounters[] shall contain at least one of the following counters and may contain other counters. CHANNEL_NUMBER SPINDLE_NUMBER</t>
        </is>
      </c>
      <c r="F29" s="208" t="inlineStr"/>
      <c r="G29" s="208" t="n">
        <v>2</v>
      </c>
      <c r="H29" s="208">
        <f>COUNT('Sync Result Counters'!B:B)</f>
        <v/>
      </c>
      <c r="I29" s="208">
        <f>COUNTIF('Sync Result Counters'!A:A,"y")</f>
        <v/>
      </c>
      <c r="J29" s="208">
        <f>COUNTIF('Sync Result Counters'!A:A,"n")</f>
        <v/>
      </c>
      <c r="K29" s="208">
        <f>COUNTIF('Sync Result Counters'!I:I,"y")</f>
        <v/>
      </c>
      <c r="L29" s="208">
        <f>TableHome[[#This Row],['# Test Cases]]-TableHome[[#This Row],['# Reviewed]]</f>
        <v/>
      </c>
      <c r="M29" s="209">
        <f>TableHome[[#This Row],['# Reviewed]]/TableHome[[#This Row],['# Test Cases]]</f>
        <v/>
      </c>
      <c r="N29" s="209" t="n"/>
    </row>
    <row r="30" ht="52" customFormat="1" customHeight="1" s="3">
      <c r="A30" s="410" t="n">
        <v>28</v>
      </c>
      <c r="B30" s="412" t="inlineStr">
        <is>
          <t>Server</t>
        </is>
      </c>
      <c r="C30" s="412" t="inlineStr">
        <is>
          <t>IJT Batch Result</t>
        </is>
      </c>
      <c r="D30" s="206">
        <f>HYPERLINK("#'Batch Result'!A1","▶ Batch Result")</f>
        <v/>
      </c>
      <c r="E30" s="212" t="inlineStr">
        <is>
          <t>The joining system shall support the Result with Result.ResultMetaData.Classification as BATCH_RESULT.</t>
        </is>
      </c>
      <c r="F30" s="213" t="inlineStr"/>
      <c r="G30" s="213" t="n">
        <v>2</v>
      </c>
      <c r="H30" s="213">
        <f>COUNT('Batch Result'!B:B)</f>
        <v/>
      </c>
      <c r="I30" s="213">
        <f>COUNTIF('Batch Result'!A:A,"y")</f>
        <v/>
      </c>
      <c r="J30" s="213">
        <f>COUNTIF('Batch Result'!A:A,"n")</f>
        <v/>
      </c>
      <c r="K30" s="213">
        <f>COUNTIF('Batch Result'!I:I,"y")</f>
        <v/>
      </c>
      <c r="L30" s="213">
        <f>TableHome[[#This Row],['# Test Cases]]-TableHome[[#This Row],['# Reviewed]]</f>
        <v/>
      </c>
      <c r="M30" s="214">
        <f>TableHome[[#This Row],['# Reviewed]]/TableHome[[#This Row],['# Test Cases]]</f>
        <v/>
      </c>
      <c r="N30" s="214" t="n"/>
    </row>
    <row r="31" ht="52" customFormat="1" customHeight="1" s="3">
      <c r="A31" s="409" t="n">
        <v>29</v>
      </c>
      <c r="B31" s="411" t="inlineStr">
        <is>
          <t>Server</t>
        </is>
      </c>
      <c r="C31" s="411" t="inlineStr">
        <is>
          <t>IJT Intervention Result</t>
        </is>
      </c>
      <c r="D31" s="206">
        <f>HYPERLINK("#'Intervention Result'!A1","▶ Intervention Result")</f>
        <v/>
      </c>
      <c r="E31" s="207" t="inlineStr">
        <is>
          <t>Result.ResultMetaData.Classification=INTERVENTION_RESULT; includes Result.ResultMetaData.InterventionType with appropriate value.</t>
        </is>
      </c>
      <c r="F31" s="208" t="inlineStr"/>
      <c r="G31" s="208" t="n">
        <v>2</v>
      </c>
      <c r="H31" s="208">
        <f>COUNT('Intervention Result'!B:B)</f>
        <v/>
      </c>
      <c r="I31" s="208">
        <f>COUNTIF('Intervention Result'!A:A,"y")</f>
        <v/>
      </c>
      <c r="J31" s="208">
        <f>COUNTIF('Intervention Result'!A:A,"n")</f>
        <v/>
      </c>
      <c r="K31" s="208">
        <f>COUNTIF('Intervention Result'!I:I,"y")</f>
        <v/>
      </c>
      <c r="L31" s="208">
        <f>TableHome[[#This Row],['# Test Cases]]-TableHome[[#This Row],['# Reviewed]]</f>
        <v/>
      </c>
      <c r="M31" s="209">
        <f>TableHome[[#This Row],['# Reviewed]]/TableHome[[#This Row],['# Test Cases]]</f>
        <v/>
      </c>
      <c r="N31" s="209" t="n"/>
    </row>
    <row r="32" ht="52" customFormat="1" customHeight="1" s="3">
      <c r="A32" s="410" t="n">
        <v>30</v>
      </c>
      <c r="B32" s="412" t="inlineStr">
        <is>
          <t>Server</t>
        </is>
      </c>
      <c r="C32" s="412" t="inlineStr">
        <is>
          <t>IJT Batch Result Counters</t>
        </is>
      </c>
      <c r="D32" s="206">
        <f>HYPERLINK("#'Batch Result Counters'!A1","▶ Batch Result Counters")</f>
        <v/>
      </c>
      <c r="E32" s="212" t="inlineStr">
        <is>
          <t>If Result.ResultMetaData.Classification is BATCH_RESULT, then Result.ResultMetaData.ResultCounters[] shall contain at least the following counters and may contain other counters. BATCH_SIZE BATCH_COUNT</t>
        </is>
      </c>
      <c r="F32" s="213" t="inlineStr"/>
      <c r="G32" s="213" t="n">
        <v>2</v>
      </c>
      <c r="H32" s="213">
        <f>COUNT('Batch Result Counters'!B:B)</f>
        <v/>
      </c>
      <c r="I32" s="213">
        <f>COUNTIF('Batch Result Counters'!A:A,"y")</f>
        <v/>
      </c>
      <c r="J32" s="213">
        <f>COUNTIF('Batch Result Counters'!A:A,"n")</f>
        <v/>
      </c>
      <c r="K32" s="213">
        <f>COUNTIF('Batch Result Counters'!I:I,"y")</f>
        <v/>
      </c>
      <c r="L32" s="213">
        <f>TableHome[[#This Row],['# Test Cases]]-TableHome[[#This Row],['# Reviewed]]</f>
        <v/>
      </c>
      <c r="M32" s="214">
        <f>TableHome[[#This Row],['# Reviewed]]/TableHome[[#This Row],['# Test Cases]]</f>
        <v/>
      </c>
      <c r="N32" s="214" t="n"/>
    </row>
    <row r="33" ht="52" customFormat="1" customHeight="1" s="3">
      <c r="A33" s="409" t="n">
        <v>31</v>
      </c>
      <c r="B33" s="411" t="inlineStr">
        <is>
          <t>Server</t>
        </is>
      </c>
      <c r="C33" s="411" t="inlineStr">
        <is>
          <t>IJT Job Result</t>
        </is>
      </c>
      <c r="D33" s="206">
        <f>HYPERLINK("#'Job Result'!A1","▶ Job Result")</f>
        <v/>
      </c>
      <c r="E33" s="207" t="inlineStr">
        <is>
          <t>The joining system shall support the Result with Result.ResultMetaData.Classification as JOB_RESULT.</t>
        </is>
      </c>
      <c r="F33" s="208" t="inlineStr"/>
      <c r="G33" s="208" t="n">
        <v>2</v>
      </c>
      <c r="H33" s="208">
        <f>COUNT('Job Result'!B:B)</f>
        <v/>
      </c>
      <c r="I33" s="208">
        <f>COUNTIF('Job Result'!A:A,"y")</f>
        <v/>
      </c>
      <c r="J33" s="208">
        <f>COUNTIF('Job Result'!A:A,"n")</f>
        <v/>
      </c>
      <c r="K33" s="208">
        <f>COUNTIF('Job Result'!I:I,"y")</f>
        <v/>
      </c>
      <c r="L33" s="208">
        <f>TableHome[[#This Row],['# Test Cases]]-TableHome[[#This Row],['# Reviewed]]</f>
        <v/>
      </c>
      <c r="M33" s="209">
        <f>TableHome[[#This Row],['# Reviewed]]/TableHome[[#This Row],['# Test Cases]]</f>
        <v/>
      </c>
      <c r="N33" s="209" t="n"/>
    </row>
    <row r="34" ht="52" customFormat="1" customHeight="1" s="3">
      <c r="A34" s="410" t="n">
        <v>32</v>
      </c>
      <c r="B34" s="412" t="inlineStr">
        <is>
          <t>Server</t>
        </is>
      </c>
      <c r="C34" s="412" t="inlineStr">
        <is>
          <t>IJT Result Value FINAL Tag</t>
        </is>
      </c>
      <c r="D34" s="206">
        <f>HYPERLINK("#'RV Final Tag'!A1","▶ RV Final Tag")</f>
        <v/>
      </c>
      <c r="E34" s="212"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213" t="inlineStr"/>
      <c r="G34" s="213" t="n">
        <v>2</v>
      </c>
      <c r="H34" s="213">
        <f>COUNT('RV Final Tag'!B:B)</f>
        <v/>
      </c>
      <c r="I34" s="213">
        <f>COUNTIF('RV Final Tag'!A:A,"y")</f>
        <v/>
      </c>
      <c r="J34" s="213">
        <f>COUNTIF('RV Final Tag'!A:A,"n")</f>
        <v/>
      </c>
      <c r="K34" s="213">
        <f>COUNTIF('RV Final Tag'!I:I,"y")</f>
        <v/>
      </c>
      <c r="L34" s="213">
        <f>TableHome[[#This Row],['# Test Cases]]-TableHome[[#This Row],['# Reviewed]]</f>
        <v/>
      </c>
      <c r="M34" s="214">
        <f>TableHome[[#This Row],['# Reviewed]]/TableHome[[#This Row],['# Test Cases]]</f>
        <v/>
      </c>
      <c r="N34" s="214" t="n"/>
    </row>
    <row r="35" ht="52" customFormat="1" customHeight="1" s="3">
      <c r="A35" s="409" t="n">
        <v>33</v>
      </c>
      <c r="B35" s="411" t="inlineStr">
        <is>
          <t>Server</t>
        </is>
      </c>
      <c r="C35" s="411" t="inlineStr">
        <is>
          <t>IJT Self Contained Consolidated Result</t>
        </is>
      </c>
      <c r="D35" s="206">
        <f>HYPERLINK("#'CR Self Contained'!A1","▶ CR Self Contained")</f>
        <v/>
      </c>
      <c r="E35" s="207" t="inlineStr">
        <is>
          <t>Consolidated Result (BATCH/JOB/SYNC/STITCHING_RESULT) where ResultContent contains sub-results with both ResultMetaData and ResultContent populated.</t>
        </is>
      </c>
      <c r="F35" s="208" t="inlineStr"/>
      <c r="G35" s="208" t="n">
        <v>2</v>
      </c>
      <c r="H35" s="208">
        <f>COUNT('CR Self Contained'!B:B)</f>
        <v/>
      </c>
      <c r="I35" s="208">
        <f>COUNTIF('CR Self Contained'!A:A,"y")</f>
        <v/>
      </c>
      <c r="J35" s="208">
        <f>COUNTIF('CR Self Contained'!A:A,"n")</f>
        <v/>
      </c>
      <c r="K35" s="208">
        <f>COUNTIF('CR Self Contained'!I:I,"y")</f>
        <v/>
      </c>
      <c r="L35" s="208">
        <f>TableHome[[#This Row],['# Test Cases]]-TableHome[[#This Row],['# Reviewed]]</f>
        <v/>
      </c>
      <c r="M35" s="209">
        <f>TableHome[[#This Row],['# Reviewed]]/TableHome[[#This Row],['# Test Cases]]</f>
        <v/>
      </c>
      <c r="N35" s="209" t="n"/>
    </row>
    <row r="36" ht="52" customFormat="1" customHeight="1" s="3">
      <c r="A36" s="410" t="n">
        <v>34</v>
      </c>
      <c r="B36" s="412" t="inlineStr">
        <is>
          <t>Server</t>
        </is>
      </c>
      <c r="C36" s="412" t="inlineStr">
        <is>
          <t>IJT Consolidated Result with References</t>
        </is>
      </c>
      <c r="D36" s="206">
        <f>HYPERLINK("#'CR with References'!A1","▶ CR with References")</f>
        <v/>
      </c>
      <c r="E36" s="212" t="inlineStr">
        <is>
          <t>Consolidated Result where ResultContent sub-results include only ResultId and Classification; ResultContent of sub-results is empty array.</t>
        </is>
      </c>
      <c r="F36" s="213" t="inlineStr"/>
      <c r="G36" s="213" t="n">
        <v>2</v>
      </c>
      <c r="H36" s="213">
        <f>COUNT('CR with References'!B:B)</f>
        <v/>
      </c>
      <c r="I36" s="213">
        <f>COUNTIF('CR with References'!A:A,"y")</f>
        <v/>
      </c>
      <c r="J36" s="213">
        <f>COUNTIF('CR with References'!A:A,"n")</f>
        <v/>
      </c>
      <c r="K36" s="213">
        <f>COUNTIF('CR with References'!I:I,"y")</f>
        <v/>
      </c>
      <c r="L36" s="213">
        <f>TableHome[[#This Row],['# Test Cases]]-TableHome[[#This Row],['# Reviewed]]</f>
        <v/>
      </c>
      <c r="M36" s="214">
        <f>TableHome[[#This Row],['# Reviewed]]/TableHome[[#This Row],['# Test Cases]]</f>
        <v/>
      </c>
      <c r="N36" s="214" t="n"/>
    </row>
    <row r="37" ht="52" customFormat="1" customHeight="1" s="3">
      <c r="A37" s="409" t="n">
        <v>35</v>
      </c>
      <c r="B37" s="411" t="inlineStr">
        <is>
          <t>Server</t>
        </is>
      </c>
      <c r="C37" s="411" t="inlineStr">
        <is>
          <t>IJT Partial Consolidated Result</t>
        </is>
      </c>
      <c r="D37" s="206">
        <f>HYPERLINK("#'CR Partial'!A1","▶ CR Partial")</f>
        <v/>
      </c>
      <c r="E37" s="207" t="inlineStr">
        <is>
          <t>Partial Consolidated Result: IsPartial=TRUE, ResultState=Processing, Classification=BATCH/JOB/SYNC/STITCHING_RESULT.</t>
        </is>
      </c>
      <c r="F37" s="208" t="inlineStr"/>
      <c r="G37" s="208" t="n">
        <v>2</v>
      </c>
      <c r="H37" s="208">
        <f>COUNT('CR Partial'!B:B)</f>
        <v/>
      </c>
      <c r="I37" s="208">
        <f>COUNTIF('CR Partial'!A:A,"y")</f>
        <v/>
      </c>
      <c r="J37" s="208">
        <f>COUNTIF('CR Partial'!A:A,"n")</f>
        <v/>
      </c>
      <c r="K37" s="208">
        <f>COUNTIF('CR Partial'!I:I,"y")</f>
        <v/>
      </c>
      <c r="L37" s="208">
        <f>TableHome[[#This Row],['# Test Cases]]-TableHome[[#This Row],['# Reviewed]]</f>
        <v/>
      </c>
      <c r="M37" s="209">
        <f>TableHome[[#This Row],['# Reviewed]]/TableHome[[#This Row],['# Test Cases]]</f>
        <v/>
      </c>
      <c r="N37" s="209" t="n"/>
    </row>
    <row r="38" ht="52" customFormat="1" customHeight="1" s="3">
      <c r="A38" s="410" t="n">
        <v>36</v>
      </c>
      <c r="B38" s="412" t="inlineStr">
        <is>
          <t>Server</t>
        </is>
      </c>
      <c r="C38" s="412" t="inlineStr">
        <is>
          <t>IJT Result Content</t>
        </is>
      </c>
      <c r="D38" s="206">
        <f>HYPERLINK("#'Result Content'!A1","▶ Result Content")</f>
        <v/>
      </c>
      <c r="E38" s="212" t="inlineStr">
        <is>
          <t>Result.ResultContent entries match Classification: SINGLE_RESULT -&gt; one ResultDataType payload; BATCH_RESULT, SYNC_RESULT, JOB_RESULT, and STITCHING_RESULT -&gt; parent ResultContent contains child ResultDataType entries. In reference mode, each child entry may be a reference stub with ResultMetaData.ResultId and Classification; the child stub's own ResultContent is empty. INTERVENTION_RESULT -&gt; empty/null or one ResultDataType payload entry; TEXT_RESULT -&gt; string payload entries.</t>
        </is>
      </c>
      <c r="F38" s="213" t="inlineStr"/>
      <c r="G38" s="213" t="n">
        <v>2</v>
      </c>
      <c r="H38" s="213">
        <f>COUNT('Result Content'!B:B)</f>
        <v/>
      </c>
      <c r="I38" s="213">
        <f>COUNTIF('Result Content'!A:A,"y")</f>
        <v/>
      </c>
      <c r="J38" s="213">
        <f>COUNTIF('Result Content'!A:A,"n")</f>
        <v/>
      </c>
      <c r="K38" s="213">
        <f>COUNTIF('Result Content'!I:I,"y")</f>
        <v/>
      </c>
      <c r="L38" s="213">
        <f>TableHome[[#This Row],['# Test Cases]]-TableHome[[#This Row],['# Reviewed]]</f>
        <v/>
      </c>
      <c r="M38" s="214">
        <f>TableHome[[#This Row],['# Reviewed]]/TableHome[[#This Row],['# Test Cases]]</f>
        <v/>
      </c>
      <c r="N38" s="214" t="n"/>
    </row>
    <row r="39" ht="52" customFormat="1" customHeight="1" s="3">
      <c r="A39" s="409" t="n">
        <v>37</v>
      </c>
      <c r="B39" s="411" t="inlineStr">
        <is>
          <t>Server</t>
        </is>
      </c>
      <c r="C39" s="411" t="inlineStr">
        <is>
          <t>IJT Request Results</t>
        </is>
      </c>
      <c r="D39" s="206">
        <f>HYPERLINK("#'Request Results'!A1","▶ Request Results")</f>
        <v/>
      </c>
      <c r="E39" s="207" t="inlineStr">
        <is>
          <t>The Server shall support RequestResults method which sends the stored results from the joining system using RequestedResultEventType or RequestedResultVariable.</t>
        </is>
      </c>
      <c r="F39" s="208" t="inlineStr"/>
      <c r="G39" s="208" t="n">
        <v>1</v>
      </c>
      <c r="H39" s="208">
        <f>COUNT('Request Results'!B:B)</f>
        <v/>
      </c>
      <c r="I39" s="208">
        <f>COUNTIF('Request Results'!A:A,"y")</f>
        <v/>
      </c>
      <c r="J39" s="208">
        <f>COUNTIF('Request Results'!A:A,"n")</f>
        <v/>
      </c>
      <c r="K39" s="208">
        <f>COUNTIF('Request Results'!I:I,"y")</f>
        <v/>
      </c>
      <c r="L39" s="208">
        <f>TableHome[[#This Row],['# Test Cases]]-TableHome[[#This Row],['# Reviewed]]</f>
        <v/>
      </c>
      <c r="M39" s="209">
        <f>TableHome[[#This Row],['# Reviewed]]/TableHome[[#This Row],['# Test Cases]]</f>
        <v/>
      </c>
      <c r="N39" s="209" t="n"/>
    </row>
    <row r="40" ht="52" customFormat="1" customHeight="1" s="3">
      <c r="A40" s="410" t="n">
        <v>38</v>
      </c>
      <c r="B40" s="412" t="inlineStr">
        <is>
          <t>Server</t>
        </is>
      </c>
      <c r="C40" s="412" t="inlineStr">
        <is>
          <t>IJT Requested Result Variable Access</t>
        </is>
      </c>
      <c r="D40" s="206">
        <f>HYPERLINK("#'RequestedResult Variable Access'!A1","▶ RequestedResult Variable Access")</f>
        <v/>
      </c>
      <c r="E40" s="212" t="inlineStr">
        <is>
          <t>Server reports results as RequestedResultVariable on RequestResults execution.</t>
        </is>
      </c>
      <c r="F40" s="213" t="inlineStr"/>
      <c r="G40" s="213" t="n">
        <v>1</v>
      </c>
      <c r="H40" s="213">
        <f>COUNT('RequestedResult Variable Access'!B:B)</f>
        <v/>
      </c>
      <c r="I40" s="213">
        <f>COUNTIF('RequestedResult Variable Access'!A:A,"y")</f>
        <v/>
      </c>
      <c r="J40" s="213">
        <f>COUNTIF('RequestedResult Variable Access'!A:A,"n")</f>
        <v/>
      </c>
      <c r="K40" s="213">
        <f>COUNTIF('RequestedResult Variable Access'!I:I,"y")</f>
        <v/>
      </c>
      <c r="L40" s="213">
        <f>TableHome[[#This Row],['# Test Cases]]-TableHome[[#This Row],['# Reviewed]]</f>
        <v/>
      </c>
      <c r="M40" s="214">
        <f>TableHome[[#This Row],['# Reviewed]]/TableHome[[#This Row],['# Test Cases]]</f>
        <v/>
      </c>
      <c r="N40" s="214" t="n"/>
    </row>
    <row r="41" ht="52" customFormat="1" customHeight="1" s="3">
      <c r="A41" s="409" t="n">
        <v>39</v>
      </c>
      <c r="B41" s="411" t="inlineStr">
        <is>
          <t>Server</t>
        </is>
      </c>
      <c r="C41" s="411" t="inlineStr">
        <is>
          <t>IJT Requested Result Event Access</t>
        </is>
      </c>
      <c r="D41" s="206">
        <f>HYPERLINK("#'RequestedResult Event Access'!A1","▶ RequestedResult Event Access")</f>
        <v/>
      </c>
      <c r="E41" s="207" t="inlineStr">
        <is>
          <t>The Server shall report Results using the instance of following event: RequestedResultEventType.</t>
        </is>
      </c>
      <c r="F41" s="208" t="inlineStr"/>
      <c r="G41" s="208" t="n">
        <v>1</v>
      </c>
      <c r="H41" s="208">
        <f>COUNT('RequestedResult Event Access'!B:B)</f>
        <v/>
      </c>
      <c r="I41" s="208">
        <f>COUNTIF('RequestedResult Event Access'!A:A,"y")</f>
        <v/>
      </c>
      <c r="J41" s="208">
        <f>COUNTIF('RequestedResult Event Access'!A:A,"n")</f>
        <v/>
      </c>
      <c r="K41" s="208">
        <f>COUNTIF('RequestedResult Event Access'!I:I,"y")</f>
        <v/>
      </c>
      <c r="L41" s="208">
        <f>TableHome[[#This Row],['# Test Cases]]-TableHome[[#This Row],['# Reviewed]]</f>
        <v/>
      </c>
      <c r="M41" s="209">
        <f>TableHome[[#This Row],['# Reviewed]]/TableHome[[#This Row],['# Test Cases]]</f>
        <v/>
      </c>
      <c r="N41" s="209" t="n"/>
    </row>
    <row r="42" ht="52" customFormat="1" customHeight="1" s="3">
      <c r="A42" s="410" t="n">
        <v>40</v>
      </c>
      <c r="B42" s="412" t="inlineStr">
        <is>
          <t>Server</t>
        </is>
      </c>
      <c r="C42" s="412" t="inlineStr">
        <is>
          <t>IJT Acknowledge Results</t>
        </is>
      </c>
      <c r="D42" s="206">
        <f>HYPERLINK("#'Acknowledge Results'!A1","▶ Acknowledge Results")</f>
        <v/>
      </c>
      <c r="E42" s="212" t="inlineStr">
        <is>
          <t>The Server shall support the AcknowledgeResults method to acknowledge the result set using the input list of result identifiers. It shall be used only by the Client that is responsible for exclusively storing the results.</t>
        </is>
      </c>
      <c r="F42" s="213" t="inlineStr"/>
      <c r="G42" s="213" t="n">
        <v>2</v>
      </c>
      <c r="H42" s="213">
        <f>COUNT('Acknowledge Results'!B:B)</f>
        <v/>
      </c>
      <c r="I42" s="213">
        <f>COUNTIF('Acknowledge Results'!A:A,"y")</f>
        <v/>
      </c>
      <c r="J42" s="213">
        <f>COUNTIF('Acknowledge Results'!A:A,"n")</f>
        <v/>
      </c>
      <c r="K42" s="213">
        <f>COUNTIF('Acknowledge Results'!I:I,"y")</f>
        <v/>
      </c>
      <c r="L42" s="213">
        <f>TableHome[[#This Row],['# Test Cases]]-TableHome[[#This Row],['# Reviewed]]</f>
        <v/>
      </c>
      <c r="M42" s="214">
        <f>TableHome[[#This Row],['# Reviewed]]/TableHome[[#This Row],['# Test Cases]]</f>
        <v/>
      </c>
      <c r="N42" s="214" t="n"/>
    </row>
    <row r="43" ht="52" customFormat="1" customHeight="1" s="3">
      <c r="A43" s="409" t="n">
        <v>41</v>
      </c>
      <c r="B43" s="411" t="inlineStr">
        <is>
          <t>Server</t>
        </is>
      </c>
      <c r="C43" s="411" t="inlineStr">
        <is>
          <t>IJT Request Unacknowledged Results</t>
        </is>
      </c>
      <c r="D43" s="206">
        <f>HYPERLINK("#'Request Unacknowledged Results'!A1","▶ Request Unacknowledged Results")</f>
        <v/>
      </c>
      <c r="E43" s="207"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208" t="inlineStr"/>
      <c r="G43" s="208" t="n">
        <v>2</v>
      </c>
      <c r="H43" s="208">
        <f>COUNT('Request Unacknowledged Results'!B:B)</f>
        <v/>
      </c>
      <c r="I43" s="208">
        <f>COUNTIF('Request Unacknowledged Results'!A:A,"y")</f>
        <v/>
      </c>
      <c r="J43" s="208">
        <f>COUNTIF('Request Unacknowledged Results'!A:A,"n")</f>
        <v/>
      </c>
      <c r="K43" s="208">
        <f>COUNTIF('Request Unacknowledged Results'!I:I,"y")</f>
        <v/>
      </c>
      <c r="L43" s="208">
        <f>TableHome[[#This Row],['# Test Cases]]-TableHome[[#This Row],['# Reviewed]]</f>
        <v/>
      </c>
      <c r="M43" s="209">
        <f>TableHome[[#This Row],['# Reviewed]]/TableHome[[#This Row],['# Test Cases]]</f>
        <v/>
      </c>
      <c r="N43" s="209" t="n"/>
    </row>
    <row r="44" ht="52" customFormat="1" customHeight="1" s="3">
      <c r="A44" s="410" t="n">
        <v>42</v>
      </c>
      <c r="B44" s="412" t="inlineStr">
        <is>
          <t>Server</t>
        </is>
      </c>
      <c r="C44" s="412" t="inlineStr">
        <is>
          <t>IJT Asset Management Controller</t>
        </is>
      </c>
      <c r="D44" s="206">
        <f>HYPERLINK("#'AM Controller'!A1","▶ AM Controller")</f>
        <v/>
      </c>
      <c r="E44" s="212"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213" t="inlineStr"/>
      <c r="G44" s="213" t="n">
        <v>1</v>
      </c>
      <c r="H44" s="213">
        <f>COUNT('AM Controller'!B:B)</f>
        <v/>
      </c>
      <c r="I44" s="213">
        <f>COUNTIF('AM Controller'!A:A,"y")</f>
        <v/>
      </c>
      <c r="J44" s="213">
        <f>COUNTIF('AM Controller'!A:A,"n")</f>
        <v/>
      </c>
      <c r="K44" s="213">
        <f>COUNTIF('AM Controller'!I:I,"y")</f>
        <v/>
      </c>
      <c r="L44" s="213">
        <f>TableHome[[#This Row],['# Test Cases]]-TableHome[[#This Row],['# Reviewed]]</f>
        <v/>
      </c>
      <c r="M44" s="214">
        <f>TableHome[[#This Row],['# Reviewed]]/TableHome[[#This Row],['# Test Cases]]</f>
        <v/>
      </c>
      <c r="N44" s="214" t="n"/>
    </row>
    <row r="45" ht="52" customFormat="1" customHeight="1" s="3">
      <c r="A45" s="409" t="n">
        <v>43</v>
      </c>
      <c r="B45" s="411" t="inlineStr">
        <is>
          <t>Server</t>
        </is>
      </c>
      <c r="C45" s="411" t="inlineStr">
        <is>
          <t>IJT Asset Management Tool</t>
        </is>
      </c>
      <c r="D45" s="206">
        <f>HYPERLINK("#'AM Tool'!A1","▶ AM Tool")</f>
        <v/>
      </c>
      <c r="E45" s="207" t="inlineStr">
        <is>
          <t>The instance of Tools folder shall include at least one instance of a Tool which implements IToolType and all its mandatory instance declarations. The DI:Identification AddIn of the asset shall be Machinery:MachineIdentificationType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208" t="inlineStr"/>
      <c r="G45" s="208" t="n">
        <v>1</v>
      </c>
      <c r="H45" s="208">
        <f>COUNT('AM Tool'!B:B)</f>
        <v/>
      </c>
      <c r="I45" s="208">
        <f>COUNTIF('AM Tool'!A:A,"y")</f>
        <v/>
      </c>
      <c r="J45" s="208">
        <f>COUNTIF('AM Tool'!A:A,"n")</f>
        <v/>
      </c>
      <c r="K45" s="208">
        <f>COUNTIF('AM Tool'!I:I,"y")</f>
        <v/>
      </c>
      <c r="L45" s="208">
        <f>TableHome[[#This Row],['# Test Cases]]-TableHome[[#This Row],['# Reviewed]]</f>
        <v/>
      </c>
      <c r="M45" s="209">
        <f>TableHome[[#This Row],['# Reviewed]]/TableHome[[#This Row],['# Test Cases]]</f>
        <v/>
      </c>
      <c r="N45" s="209" t="n"/>
    </row>
    <row r="46" ht="52" customFormat="1" customHeight="1" s="3">
      <c r="A46" s="410" t="n">
        <v>44</v>
      </c>
      <c r="B46" s="412" t="inlineStr">
        <is>
          <t>Server</t>
        </is>
      </c>
      <c r="C46" s="412" t="inlineStr">
        <is>
          <t>IJT Asset Management Servo</t>
        </is>
      </c>
      <c r="D46" s="206">
        <f>HYPERLINK("#'AM Servo'!A1","▶ AM Servo")</f>
        <v/>
      </c>
      <c r="E46" s="212" t="inlineStr">
        <is>
          <t>The instance of Servos folder shall include at least one instance of a Servo which implements IServoType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213" t="inlineStr"/>
      <c r="G46" s="213" t="n">
        <v>2</v>
      </c>
      <c r="H46" s="213">
        <f>COUNT('AM Servo'!B:B)</f>
        <v/>
      </c>
      <c r="I46" s="213">
        <f>COUNTIF('AM Servo'!A:A,"y")</f>
        <v/>
      </c>
      <c r="J46" s="213">
        <f>COUNTIF('AM Servo'!A:A,"n")</f>
        <v/>
      </c>
      <c r="K46" s="213">
        <f>COUNTIF('AM Servo'!I:I,"y")</f>
        <v/>
      </c>
      <c r="L46" s="213">
        <f>TableHome[[#This Row],['# Test Cases]]-TableHome[[#This Row],['# Reviewed]]</f>
        <v/>
      </c>
      <c r="M46" s="214">
        <f>TableHome[[#This Row],['# Reviewed]]/TableHome[[#This Row],['# Test Cases]]</f>
        <v/>
      </c>
      <c r="N46" s="214" t="n"/>
    </row>
    <row r="47" ht="52" customFormat="1" customHeight="1" s="3">
      <c r="A47" s="409" t="n">
        <v>45</v>
      </c>
      <c r="B47" s="411" t="inlineStr">
        <is>
          <t>Server</t>
        </is>
      </c>
      <c r="C47" s="411" t="inlineStr">
        <is>
          <t>IJT Asset Management Memory Device</t>
        </is>
      </c>
      <c r="D47" s="206">
        <f>HYPERLINK("#'AM Memory Device'!A1","▶ AM Memory Device")</f>
        <v/>
      </c>
      <c r="E47" s="207" t="inlineStr">
        <is>
          <t>The instance of MemoryDevices folder shall include at least one instance of a MemoryDevice which implements IMemoryDeviceType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208" t="inlineStr"/>
      <c r="G47" s="208" t="n">
        <v>2</v>
      </c>
      <c r="H47" s="208">
        <f>COUNT('AM Memory Device'!B:B)</f>
        <v/>
      </c>
      <c r="I47" s="208">
        <f>COUNTIF('AM Memory Device'!A:A,"y")</f>
        <v/>
      </c>
      <c r="J47" s="208">
        <f>COUNTIF('AM Memory Device'!A:A,"n")</f>
        <v/>
      </c>
      <c r="K47" s="208">
        <f>COUNTIF('AM Memory Device'!I:I,"y")</f>
        <v/>
      </c>
      <c r="L47" s="208">
        <f>TableHome[[#This Row],['# Test Cases]]-TableHome[[#This Row],['# Reviewed]]</f>
        <v/>
      </c>
      <c r="M47" s="209">
        <f>TableHome[[#This Row],['# Reviewed]]/TableHome[[#This Row],['# Test Cases]]</f>
        <v/>
      </c>
      <c r="N47" s="209" t="n"/>
    </row>
    <row r="48" ht="52" customFormat="1" customHeight="1" s="3">
      <c r="A48" s="410" t="n">
        <v>46</v>
      </c>
      <c r="B48" s="412" t="inlineStr">
        <is>
          <t>Server</t>
        </is>
      </c>
      <c r="C48" s="412" t="inlineStr">
        <is>
          <t>IJT Asset Management Cable</t>
        </is>
      </c>
      <c r="D48" s="206">
        <f>HYPERLINK("#'AM Cable'!A1","▶ AM Cable")</f>
        <v/>
      </c>
      <c r="E48" s="212"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213" t="inlineStr"/>
      <c r="G48" s="213" t="n">
        <v>2</v>
      </c>
      <c r="H48" s="213">
        <f>COUNT('AM Cable'!B:B)</f>
        <v/>
      </c>
      <c r="I48" s="213">
        <f>COUNTIF('AM Cable'!A:A,"y")</f>
        <v/>
      </c>
      <c r="J48" s="213">
        <f>COUNTIF('AM Cable'!A:A,"n")</f>
        <v/>
      </c>
      <c r="K48" s="213">
        <f>COUNTIF('AM Cable'!I:I,"y")</f>
        <v/>
      </c>
      <c r="L48" s="213">
        <f>TableHome[[#This Row],['# Test Cases]]-TableHome[[#This Row],['# Reviewed]]</f>
        <v/>
      </c>
      <c r="M48" s="214">
        <f>TableHome[[#This Row],['# Reviewed]]/TableHome[[#This Row],['# Test Cases]]</f>
        <v/>
      </c>
      <c r="N48" s="214" t="n"/>
    </row>
    <row r="49" ht="52" customFormat="1" customHeight="1" s="3">
      <c r="A49" s="409" t="n">
        <v>47</v>
      </c>
      <c r="B49" s="411" t="inlineStr">
        <is>
          <t>Server</t>
        </is>
      </c>
      <c r="C49" s="411" t="inlineStr">
        <is>
          <t>IJT Asset Management Power Supply</t>
        </is>
      </c>
      <c r="D49" s="206">
        <f>HYPERLINK("#'AM Power Supply'!A1","▶ AM Power Supply")</f>
        <v/>
      </c>
      <c r="E49" s="207" t="inlineStr">
        <is>
          <t>The instance of PowerSupplies folder shall include at least one instance of a PowerSupply which implements IPowerSupplyType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208" t="inlineStr"/>
      <c r="G49" s="208" t="n">
        <v>2</v>
      </c>
      <c r="H49" s="208">
        <f>COUNT('AM Power Supply'!B:B)</f>
        <v/>
      </c>
      <c r="I49" s="208">
        <f>COUNTIF('AM Power Supply'!A:A,"y")</f>
        <v/>
      </c>
      <c r="J49" s="208">
        <f>COUNTIF('AM Power Supply'!A:A,"n")</f>
        <v/>
      </c>
      <c r="K49" s="208">
        <f>COUNTIF('AM Power Supply'!I:I,"y")</f>
        <v/>
      </c>
      <c r="L49" s="208">
        <f>TableHome[[#This Row],['# Test Cases]]-TableHome[[#This Row],['# Reviewed]]</f>
        <v/>
      </c>
      <c r="M49" s="209">
        <f>TableHome[[#This Row],['# Reviewed]]/TableHome[[#This Row],['# Test Cases]]</f>
        <v/>
      </c>
      <c r="N49" s="209" t="n"/>
    </row>
    <row r="50" ht="52" customFormat="1" customHeight="1" s="3">
      <c r="A50" s="410" t="n">
        <v>48</v>
      </c>
      <c r="B50" s="412" t="inlineStr">
        <is>
          <t>Server</t>
        </is>
      </c>
      <c r="C50" s="412" t="inlineStr">
        <is>
          <t>IJT Asset Management Feeder</t>
        </is>
      </c>
      <c r="D50" s="206">
        <f>HYPERLINK("#'AM Feeder'!A1","▶ AM Feeder")</f>
        <v/>
      </c>
      <c r="E50" s="212" t="inlineStr">
        <is>
          <t>The instance of Feeders folder shall include at least one instance of a Feeder which implements IFeederType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213" t="inlineStr"/>
      <c r="G50" s="213" t="n">
        <v>2</v>
      </c>
      <c r="H50" s="213">
        <f>COUNT('AM Feeder'!B:B)</f>
        <v/>
      </c>
      <c r="I50" s="213">
        <f>COUNTIF('AM Feeder'!A:A,"y")</f>
        <v/>
      </c>
      <c r="J50" s="213">
        <f>COUNTIF('AM Feeder'!A:A,"n")</f>
        <v/>
      </c>
      <c r="K50" s="213">
        <f>COUNTIF('AM Feeder'!I:I,"y")</f>
        <v/>
      </c>
      <c r="L50" s="213">
        <f>TableHome[[#This Row],['# Test Cases]]-TableHome[[#This Row],['# Reviewed]]</f>
        <v/>
      </c>
      <c r="M50" s="214">
        <f>TableHome[[#This Row],['# Reviewed]]/TableHome[[#This Row],['# Test Cases]]</f>
        <v/>
      </c>
      <c r="N50" s="214" t="n"/>
    </row>
    <row r="51" ht="52" customFormat="1" customHeight="1" s="3">
      <c r="A51" s="409" t="n">
        <v>49</v>
      </c>
      <c r="B51" s="411" t="inlineStr">
        <is>
          <t>Server</t>
        </is>
      </c>
      <c r="C51" s="411" t="inlineStr">
        <is>
          <t>IJT Asset Management Battery</t>
        </is>
      </c>
      <c r="D51" s="206">
        <f>HYPERLINK("#'AM Battery'!A1","▶ AM Battery")</f>
        <v/>
      </c>
      <c r="E51" s="207" t="inlineStr">
        <is>
          <t>The instance of Batteries folder shall include at least one instance of a Battery which implements IBatteryType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208" t="inlineStr"/>
      <c r="G51" s="208" t="n">
        <v>2</v>
      </c>
      <c r="H51" s="208">
        <f>COUNT('AM Battery'!B:B)</f>
        <v/>
      </c>
      <c r="I51" s="208">
        <f>COUNTIF('AM Battery'!A:A,"y")</f>
        <v/>
      </c>
      <c r="J51" s="208">
        <f>COUNTIF('AM Battery'!A:A,"n")</f>
        <v/>
      </c>
      <c r="K51" s="208">
        <f>COUNTIF('AM Battery'!I:I,"y")</f>
        <v/>
      </c>
      <c r="L51" s="208">
        <f>TableHome[[#This Row],['# Test Cases]]-TableHome[[#This Row],['# Reviewed]]</f>
        <v/>
      </c>
      <c r="M51" s="209">
        <f>TableHome[[#This Row],['# Reviewed]]/TableHome[[#This Row],['# Test Cases]]</f>
        <v/>
      </c>
      <c r="N51" s="209" t="n"/>
    </row>
    <row r="52" ht="52" customFormat="1" customHeight="1" s="3">
      <c r="A52" s="410" t="n">
        <v>50</v>
      </c>
      <c r="B52" s="412" t="inlineStr">
        <is>
          <t>Server</t>
        </is>
      </c>
      <c r="C52" s="412" t="inlineStr">
        <is>
          <t>IJT Asset Management Sensor</t>
        </is>
      </c>
      <c r="D52" s="206">
        <f>HYPERLINK("#'AM Sensor'!A1","▶ AM Sensor")</f>
        <v/>
      </c>
      <c r="E52" s="212" t="inlineStr">
        <is>
          <t>The instance of Sensors folder shall include at least one instance of a Sensor which implements ISensorType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213" t="inlineStr"/>
      <c r="G52" s="213" t="n">
        <v>2</v>
      </c>
      <c r="H52" s="213">
        <f>COUNT('AM Sensor'!B:B)</f>
        <v/>
      </c>
      <c r="I52" s="213">
        <f>COUNTIF('AM Sensor'!A:A,"y")</f>
        <v/>
      </c>
      <c r="J52" s="213">
        <f>COUNTIF('AM Sensor'!A:A,"n")</f>
        <v/>
      </c>
      <c r="K52" s="213">
        <f>COUNTIF('AM Sensor'!I:I,"y")</f>
        <v/>
      </c>
      <c r="L52" s="213">
        <f>TableHome[[#This Row],['# Test Cases]]-TableHome[[#This Row],['# Reviewed]]</f>
        <v/>
      </c>
      <c r="M52" s="214">
        <f>TableHome[[#This Row],['# Reviewed]]/TableHome[[#This Row],['# Test Cases]]</f>
        <v/>
      </c>
      <c r="N52" s="214" t="n"/>
    </row>
    <row r="53" ht="52" customFormat="1" customHeight="1" s="3">
      <c r="A53" s="409" t="n">
        <v>51</v>
      </c>
      <c r="B53" s="411" t="inlineStr">
        <is>
          <t>Server</t>
        </is>
      </c>
      <c r="C53" s="411" t="inlineStr">
        <is>
          <t>IJT Asset Management Accessory</t>
        </is>
      </c>
      <c r="D53" s="206">
        <f>HYPERLINK("#'AM Accessory'!A1","▶ AM Accessory")</f>
        <v/>
      </c>
      <c r="E53" s="207" t="inlineStr">
        <is>
          <t>The instance of Accessories folder shall include at least one instance of an Accessory which implements IAccessoryType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208" t="inlineStr"/>
      <c r="G53" s="208" t="n">
        <v>2</v>
      </c>
      <c r="H53" s="208">
        <f>COUNT('AM Accessory'!B:B)</f>
        <v/>
      </c>
      <c r="I53" s="208">
        <f>COUNTIF('AM Accessory'!A:A,"y")</f>
        <v/>
      </c>
      <c r="J53" s="208">
        <f>COUNTIF('AM Accessory'!A:A,"n")</f>
        <v/>
      </c>
      <c r="K53" s="208">
        <f>COUNTIF('AM Accessory'!I:I,"y")</f>
        <v/>
      </c>
      <c r="L53" s="208">
        <f>TableHome[[#This Row],['# Test Cases]]-TableHome[[#This Row],['# Reviewed]]</f>
        <v/>
      </c>
      <c r="M53" s="209">
        <f>TableHome[[#This Row],['# Reviewed]]/TableHome[[#This Row],['# Test Cases]]</f>
        <v/>
      </c>
      <c r="N53" s="209" t="n"/>
    </row>
    <row r="54" ht="52" customFormat="1" customHeight="1" s="3">
      <c r="A54" s="410" t="n">
        <v>52</v>
      </c>
      <c r="B54" s="412" t="inlineStr">
        <is>
          <t>Server</t>
        </is>
      </c>
      <c r="C54" s="412" t="inlineStr">
        <is>
          <t>IJT Asset Management Software</t>
        </is>
      </c>
      <c r="D54" s="206">
        <f>HYPERLINK("#'AM Software'!A1","▶ AM Software")</f>
        <v/>
      </c>
      <c r="E54" s="212" t="inlineStr">
        <is>
          <t>The instance of SoftwareComponents folder shall include at least one instance of a Software which implements ISoftwareType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t>
        </is>
      </c>
      <c r="F54" s="213" t="inlineStr"/>
      <c r="G54" s="213" t="n">
        <v>2</v>
      </c>
      <c r="H54" s="213">
        <f>COUNT('AM Software'!B:B)</f>
        <v/>
      </c>
      <c r="I54" s="213">
        <f>COUNTIF('AM Software'!A:A,"y")</f>
        <v/>
      </c>
      <c r="J54" s="213">
        <f>COUNTIF('AM Software'!A:A,"n")</f>
        <v/>
      </c>
      <c r="K54" s="213">
        <f>COUNTIF('AM Software'!I:I,"y")</f>
        <v/>
      </c>
      <c r="L54" s="213">
        <f>TableHome[[#This Row],['# Test Cases]]-TableHome[[#This Row],['# Reviewed]]</f>
        <v/>
      </c>
      <c r="M54" s="214">
        <f>TableHome[[#This Row],['# Reviewed]]/TableHome[[#This Row],['# Test Cases]]</f>
        <v/>
      </c>
      <c r="N54" s="214" t="n"/>
    </row>
    <row r="55" ht="52" customFormat="1" customHeight="1" s="3">
      <c r="A55" s="409" t="n">
        <v>53</v>
      </c>
      <c r="B55" s="411" t="inlineStr">
        <is>
          <t>Server</t>
        </is>
      </c>
      <c r="C55" s="411" t="inlineStr">
        <is>
          <t>IJT Asset Management SubComponent</t>
        </is>
      </c>
      <c r="D55" s="206">
        <f>HYPERLINK("#'AM SubComponent'!A1","▶ AM SubComponent")</f>
        <v/>
      </c>
      <c r="E55" s="207" t="inlineStr">
        <is>
          <t>The instance of SubComponents folder shall include at least one instance of a SubComponent which implements ISubComponentType interface and all its mandatory instance declarations. The Identification AddIn of the asset shall be Machinery:MachineryComponentIdentificationType and shall at least have the following properties: DI:ProductInstanceUri, DI:Manufacturer, DI:ManufacturerUri, DI:Model, DI:SerialNumber, DI:ProductCode.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208" t="inlineStr"/>
      <c r="G55" s="208" t="n">
        <v>2</v>
      </c>
      <c r="H55" s="208">
        <f>COUNT('AM SubComponent'!B:B)</f>
        <v/>
      </c>
      <c r="I55" s="208">
        <f>COUNTIF('AM SubComponent'!A:A,"y")</f>
        <v/>
      </c>
      <c r="J55" s="208">
        <f>COUNTIF('AM SubComponent'!A:A,"n")</f>
        <v/>
      </c>
      <c r="K55" s="208">
        <f>COUNTIF('AM SubComponent'!I:I,"y")</f>
        <v/>
      </c>
      <c r="L55" s="208">
        <f>TableHome[[#This Row],['# Test Cases]]-TableHome[[#This Row],['# Reviewed]]</f>
        <v/>
      </c>
      <c r="M55" s="209">
        <f>TableHome[[#This Row],['# Reviewed]]/TableHome[[#This Row],['# Test Cases]]</f>
        <v/>
      </c>
      <c r="N55" s="209" t="n"/>
    </row>
    <row r="56" ht="52" customFormat="1" customHeight="1" s="3">
      <c r="A56" s="410" t="n">
        <v>54</v>
      </c>
      <c r="B56" s="412" t="inlineStr">
        <is>
          <t>Server</t>
        </is>
      </c>
      <c r="C56" s="412" t="inlineStr">
        <is>
          <t>IJT Asset Management Virtual Station</t>
        </is>
      </c>
      <c r="D56" s="206">
        <f>HYPERLINK("#'AM Virtual Station'!A1","▶ AM Virtual Station")</f>
        <v/>
      </c>
      <c r="E56" s="212" t="inlineStr">
        <is>
          <t>VirtualStations folder includes at least one VirtualStation with IVirtualStationType.</t>
        </is>
      </c>
      <c r="F56" s="213" t="inlineStr"/>
      <c r="G56" s="213" t="n">
        <v>2</v>
      </c>
      <c r="H56" s="213">
        <f>COUNT('AM Virtual Station'!B:B)</f>
        <v/>
      </c>
      <c r="I56" s="213">
        <f>COUNTIF('AM Virtual Station'!A:A,"y")</f>
        <v/>
      </c>
      <c r="J56" s="213">
        <f>COUNTIF('AM Virtual Station'!A:A,"n")</f>
        <v/>
      </c>
      <c r="K56" s="213">
        <f>COUNTIF('AM Virtual Station'!I:I,"y")</f>
        <v/>
      </c>
      <c r="L56" s="213">
        <f>TableHome[[#This Row],['# Test Cases]]-TableHome[[#This Row],['# Reviewed]]</f>
        <v/>
      </c>
      <c r="M56" s="214">
        <f>TableHome[[#This Row],['# Reviewed]]/TableHome[[#This Row],['# Test Cases]]</f>
        <v/>
      </c>
      <c r="N56" s="214" t="n"/>
    </row>
    <row r="57" ht="52" customFormat="1" customHeight="1" s="3">
      <c r="A57" s="409" t="n">
        <v>55</v>
      </c>
      <c r="B57" s="411" t="inlineStr">
        <is>
          <t>Server</t>
        </is>
      </c>
      <c r="C57" s="411" t="inlineStr">
        <is>
          <t>IJT Asset Management Operation Counters</t>
        </is>
      </c>
      <c r="D57" s="206">
        <f>HYPERLINK("#'AM Operation Counters'!A1","▶ AM Operation Counters")</f>
        <v/>
      </c>
      <c r="E57" s="207" t="inlineStr">
        <is>
          <t>At least one asset includes OperationCounters of type MachineryOperationCounterType.</t>
        </is>
      </c>
      <c r="F57" s="208" t="inlineStr"/>
      <c r="G57" s="208" t="n">
        <v>2</v>
      </c>
      <c r="H57" s="208">
        <f>COUNT('AM Operation Counters'!B:B)</f>
        <v/>
      </c>
      <c r="I57" s="208">
        <f>COUNTIF('AM Operation Counters'!A:A,"y")</f>
        <v/>
      </c>
      <c r="J57" s="208">
        <f>COUNTIF('AM Operation Counters'!A:A,"n")</f>
        <v/>
      </c>
      <c r="K57" s="208">
        <f>COUNTIF('AM Operation Counters'!I:I,"y")</f>
        <v/>
      </c>
      <c r="L57" s="208">
        <f>TableHome[[#This Row],['# Test Cases]]-TableHome[[#This Row],['# Reviewed]]</f>
        <v/>
      </c>
      <c r="M57" s="209">
        <f>TableHome[[#This Row],['# Reviewed]]/TableHome[[#This Row],['# Test Cases]]</f>
        <v/>
      </c>
      <c r="N57" s="209" t="n"/>
    </row>
    <row r="58" ht="52" customFormat="1" customHeight="1" s="3">
      <c r="A58" s="410" t="n">
        <v>56</v>
      </c>
      <c r="B58" s="412" t="inlineStr">
        <is>
          <t>Server</t>
        </is>
      </c>
      <c r="C58" s="412" t="inlineStr">
        <is>
          <t>IJT Asset Management Tool Operation Cycle Counter</t>
        </is>
      </c>
      <c r="D58" s="206">
        <f>HYPERLINK("#'AM Tool Op Cycle Counter'!A1","▶ AM Tool Op Cycle Counter")</f>
        <v/>
      </c>
      <c r="E58" s="212" t="inlineStr">
        <is>
          <t>Tool instances include OperationCounters with OperationCycleCounter.</t>
        </is>
      </c>
      <c r="F58" s="213" t="inlineStr"/>
      <c r="G58" s="213" t="n">
        <v>2</v>
      </c>
      <c r="H58" s="213">
        <f>COUNT('AM Tool Op Cycle Counter'!B:B)</f>
        <v/>
      </c>
      <c r="I58" s="213">
        <f>COUNTIF('AM Tool Op Cycle Counter'!A:A,"y")</f>
        <v/>
      </c>
      <c r="J58" s="213">
        <f>COUNTIF('AM Tool Op Cycle Counter'!A:A,"n")</f>
        <v/>
      </c>
      <c r="K58" s="213">
        <f>COUNTIF('AM Tool Op Cycle Counter'!I:I,"y")</f>
        <v/>
      </c>
      <c r="L58" s="213">
        <f>TableHome[[#This Row],['# Test Cases]]-TableHome[[#This Row],['# Reviewed]]</f>
        <v/>
      </c>
      <c r="M58" s="214">
        <f>TableHome[[#This Row],['# Reviewed]]/TableHome[[#This Row],['# Test Cases]]</f>
        <v/>
      </c>
      <c r="N58" s="214" t="n"/>
    </row>
    <row r="59" ht="52" customFormat="1" customHeight="1" s="3">
      <c r="A59" s="409" t="n">
        <v>57</v>
      </c>
      <c r="B59" s="411" t="inlineStr">
        <is>
          <t>Server</t>
        </is>
      </c>
      <c r="C59" s="411" t="inlineStr">
        <is>
          <t>IJT Asset Management Battery Operation Cycle Counter</t>
        </is>
      </c>
      <c r="D59" s="206">
        <f>HYPERLINK("#'AM Battery Op Cycle Counter'!A1","▶ AM Battery Op Cycle Counter")</f>
        <v/>
      </c>
      <c r="E59" s="207" t="inlineStr">
        <is>
          <t>Battery instances include OperationCounters with OperationCycleCounter.</t>
        </is>
      </c>
      <c r="F59" s="208" t="inlineStr"/>
      <c r="G59" s="208" t="n">
        <v>2</v>
      </c>
      <c r="H59" s="208">
        <f>COUNT('AM Battery Op Cycle Counter'!B:B)</f>
        <v/>
      </c>
      <c r="I59" s="208">
        <f>COUNTIF('AM Battery Op Cycle Counter'!A:A,"y")</f>
        <v/>
      </c>
      <c r="J59" s="208">
        <f>COUNTIF('AM Battery Op Cycle Counter'!A:A,"n")</f>
        <v/>
      </c>
      <c r="K59" s="208">
        <f>COUNTIF('AM Battery Op Cycle Counter'!I:I,"y")</f>
        <v/>
      </c>
      <c r="L59" s="208">
        <f>TableHome[[#This Row],['# Test Cases]]-TableHome[[#This Row],['# Reviewed]]</f>
        <v/>
      </c>
      <c r="M59" s="209">
        <f>TableHome[[#This Row],['# Reviewed]]/TableHome[[#This Row],['# Test Cases]]</f>
        <v/>
      </c>
      <c r="N59" s="209" t="n"/>
    </row>
    <row r="60" ht="52" customFormat="1" customHeight="1" s="3">
      <c r="A60" s="410" t="n">
        <v>58</v>
      </c>
      <c r="B60" s="412" t="inlineStr">
        <is>
          <t>Server</t>
        </is>
      </c>
      <c r="C60" s="412" t="inlineStr">
        <is>
          <t>IJT Asset Management Health</t>
        </is>
      </c>
      <c r="D60" s="206">
        <f>HYPERLINK("#'AM Health'!A1","▶ AM Health")</f>
        <v/>
      </c>
      <c r="E60" s="212" t="inlineStr">
        <is>
          <t>An asset instance supporting Health object shall include at least DeviceHealth property. It may include other properties.</t>
        </is>
      </c>
      <c r="F60" s="213" t="inlineStr"/>
      <c r="G60" s="213" t="n">
        <v>2</v>
      </c>
      <c r="H60" s="213">
        <f>COUNT('AM Health'!B:B)</f>
        <v/>
      </c>
      <c r="I60" s="213">
        <f>COUNTIF('AM Health'!A:A,"y")</f>
        <v/>
      </c>
      <c r="J60" s="213">
        <f>COUNTIF('AM Health'!A:A,"n")</f>
        <v/>
      </c>
      <c r="K60" s="213">
        <f>COUNTIF('AM Health'!I:I,"y")</f>
        <v/>
      </c>
      <c r="L60" s="213">
        <f>TableHome[[#This Row],['# Test Cases]]-TableHome[[#This Row],['# Reviewed]]</f>
        <v/>
      </c>
      <c r="M60" s="214">
        <f>TableHome[[#This Row],['# Reviewed]]/TableHome[[#This Row],['# Test Cases]]</f>
        <v/>
      </c>
      <c r="N60" s="214" t="n"/>
    </row>
    <row r="61" ht="52" customFormat="1" customHeight="1" s="3">
      <c r="A61" s="409" t="n">
        <v>59</v>
      </c>
      <c r="B61" s="411" t="inlineStr">
        <is>
          <t>Server</t>
        </is>
      </c>
      <c r="C61" s="411" t="inlineStr">
        <is>
          <t>IJT Asset Management Monitoring Health</t>
        </is>
      </c>
      <c r="D61" s="206">
        <f>HYPERLINK("#'AM Monitoring Health'!A1","▶ AM Monitoring Health")</f>
        <v/>
      </c>
      <c r="E61" s="207" t="inlineStr">
        <is>
          <t>At least one asset includes Monitoring.Health with DeviceHealth property.</t>
        </is>
      </c>
      <c r="F61" s="208" t="inlineStr"/>
      <c r="G61" s="208" t="n">
        <v>2</v>
      </c>
      <c r="H61" s="208">
        <f>COUNT('AM Monitoring Health'!B:B)</f>
        <v/>
      </c>
      <c r="I61" s="208">
        <f>COUNTIF('AM Monitoring Health'!A:A,"y")</f>
        <v/>
      </c>
      <c r="J61" s="208">
        <f>COUNTIF('AM Monitoring Health'!A:A,"n")</f>
        <v/>
      </c>
      <c r="K61" s="208">
        <f>COUNTIF('AM Monitoring Health'!I:I,"y")</f>
        <v/>
      </c>
      <c r="L61" s="208">
        <f>TableHome[[#This Row],['# Test Cases]]-TableHome[[#This Row],['# Reviewed]]</f>
        <v/>
      </c>
      <c r="M61" s="209">
        <f>TableHome[[#This Row],['# Reviewed]]/TableHome[[#This Row],['# Test Cases]]</f>
        <v/>
      </c>
      <c r="N61" s="209" t="n"/>
    </row>
    <row r="62" ht="52" customFormat="1" customHeight="1" s="3">
      <c r="A62" s="410" t="n">
        <v>60</v>
      </c>
      <c r="B62" s="412" t="inlineStr">
        <is>
          <t>Server</t>
        </is>
      </c>
      <c r="C62" s="412" t="inlineStr">
        <is>
          <t>IJT Asset Management Service</t>
        </is>
      </c>
      <c r="D62" s="206">
        <f>HYPERLINK("#'AM Service'!A1","▶ AM Service")</f>
        <v/>
      </c>
      <c r="E62" s="212" t="inlineStr">
        <is>
          <t>An asset instance supporting Maintenance.Service object shall include at least LastService and ServicePlace. It may include other properties.</t>
        </is>
      </c>
      <c r="F62" s="213" t="inlineStr"/>
      <c r="G62" s="213" t="n">
        <v>2</v>
      </c>
      <c r="H62" s="213">
        <f>COUNT('AM Service'!B:B)</f>
        <v/>
      </c>
      <c r="I62" s="213">
        <f>COUNTIF('AM Service'!A:A,"y")</f>
        <v/>
      </c>
      <c r="J62" s="213">
        <f>COUNTIF('AM Service'!A:A,"n")</f>
        <v/>
      </c>
      <c r="K62" s="213">
        <f>COUNTIF('AM Service'!I:I,"y")</f>
        <v/>
      </c>
      <c r="L62" s="213">
        <f>TableHome[[#This Row],['# Test Cases]]-TableHome[[#This Row],['# Reviewed]]</f>
        <v/>
      </c>
      <c r="M62" s="214">
        <f>TableHome[[#This Row],['# Reviewed]]/TableHome[[#This Row],['# Test Cases]]</f>
        <v/>
      </c>
      <c r="N62" s="214" t="n"/>
    </row>
    <row r="63" ht="52" customFormat="1" customHeight="1" s="3">
      <c r="A63" s="409" t="n">
        <v>61</v>
      </c>
      <c r="B63" s="411" t="inlineStr">
        <is>
          <t>Server</t>
        </is>
      </c>
      <c r="C63" s="411" t="inlineStr">
        <is>
          <t>IJT Asset Management Calibration</t>
        </is>
      </c>
      <c r="D63" s="206">
        <f>HYPERLINK("#'AM Calibration'!A1","▶ AM Calibration")</f>
        <v/>
      </c>
      <c r="E63" s="207"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208" t="inlineStr"/>
      <c r="G63" s="208" t="n">
        <v>2</v>
      </c>
      <c r="H63" s="208">
        <f>COUNT('AM Calibration'!B:B)</f>
        <v/>
      </c>
      <c r="I63" s="208">
        <f>COUNTIF('AM Calibration'!A:A,"y")</f>
        <v/>
      </c>
      <c r="J63" s="208">
        <f>COUNTIF('AM Calibration'!A:A,"n")</f>
        <v/>
      </c>
      <c r="K63" s="208">
        <f>COUNTIF('AM Calibration'!I:I,"y")</f>
        <v/>
      </c>
      <c r="L63" s="208">
        <f>TableHome[[#This Row],['# Test Cases]]-TableHome[[#This Row],['# Reviewed]]</f>
        <v/>
      </c>
      <c r="M63" s="209">
        <f>TableHome[[#This Row],['# Reviewed]]/TableHome[[#This Row],['# Test Cases]]</f>
        <v/>
      </c>
      <c r="N63" s="209" t="n"/>
    </row>
    <row r="64" ht="52" customFormat="1" customHeight="1" s="3">
      <c r="A64" s="410" t="n">
        <v>62</v>
      </c>
      <c r="B64" s="412" t="inlineStr">
        <is>
          <t>Server</t>
        </is>
      </c>
      <c r="C64" s="412" t="inlineStr">
        <is>
          <t>IJT Asset Management Additional Information</t>
        </is>
      </c>
      <c r="D64" s="206">
        <f>HYPERLINK("#'AM Additional Information'!A1","▶ AM Additional Information")</f>
        <v/>
      </c>
      <c r="E64" s="212" t="inlineStr">
        <is>
          <t>All asset instances implement IJoiningAdditionalInformationType as part of Identification AddIn with at least JoiningTechnology property.</t>
        </is>
      </c>
      <c r="F64" s="213" t="inlineStr"/>
      <c r="G64" s="213" t="n">
        <v>2</v>
      </c>
      <c r="H64" s="213">
        <f>COUNT('AM Additional Information'!B:B)</f>
        <v/>
      </c>
      <c r="I64" s="213">
        <f>COUNTIF('AM Additional Information'!A:A,"y")</f>
        <v/>
      </c>
      <c r="J64" s="213">
        <f>COUNTIF('AM Additional Information'!A:A,"n")</f>
        <v/>
      </c>
      <c r="K64" s="213">
        <f>COUNTIF('AM Additional Information'!I:I,"y")</f>
        <v/>
      </c>
      <c r="L64" s="213">
        <f>TableHome[[#This Row],['# Test Cases]]-TableHome[[#This Row],['# Reviewed]]</f>
        <v/>
      </c>
      <c r="M64" s="214">
        <f>TableHome[[#This Row],['# Reviewed]]/TableHome[[#This Row],['# Test Cases]]</f>
        <v/>
      </c>
      <c r="N64" s="214" t="n"/>
    </row>
    <row r="65" ht="52" customFormat="1" customHeight="1" s="3">
      <c r="A65" s="409" t="n">
        <v>63</v>
      </c>
      <c r="B65" s="411" t="inlineStr">
        <is>
          <t>Server</t>
        </is>
      </c>
      <c r="C65" s="411" t="inlineStr">
        <is>
          <t>IJT Asset Management Machinery Building Blocks</t>
        </is>
      </c>
      <c r="D65" s="206">
        <f>HYPERLINK("#'AM Machinery Building Blocks'!A1","▶ AM Machinery Building Blocks")</f>
        <v/>
      </c>
      <c r="E65" s="207" t="inlineStr">
        <is>
          <t>All asset instances include optional MachineryBuildingBlocks per OPC 40001-1.</t>
        </is>
      </c>
      <c r="F65" s="208" t="inlineStr"/>
      <c r="G65" s="208" t="n">
        <v>2</v>
      </c>
      <c r="H65" s="208">
        <f>COUNT('AM Machinery Building Blocks'!B:B)</f>
        <v/>
      </c>
      <c r="I65" s="208">
        <f>COUNTIF('AM Machinery Building Blocks'!A:A,"y")</f>
        <v/>
      </c>
      <c r="J65" s="208">
        <f>COUNTIF('AM Machinery Building Blocks'!A:A,"n")</f>
        <v/>
      </c>
      <c r="K65" s="208">
        <f>COUNTIF('AM Machinery Building Blocks'!I:I,"y")</f>
        <v/>
      </c>
      <c r="L65" s="208">
        <f>TableHome[[#This Row],['# Test Cases]]-TableHome[[#This Row],['# Reviewed]]</f>
        <v/>
      </c>
      <c r="M65" s="209">
        <f>TableHome[[#This Row],['# Reviewed]]/TableHome[[#This Row],['# Test Cases]]</f>
        <v/>
      </c>
      <c r="N65" s="209" t="n"/>
    </row>
    <row r="66" ht="52" customFormat="1" customHeight="1" s="3">
      <c r="A66" s="410" t="n">
        <v>64</v>
      </c>
      <c r="B66" s="412" t="inlineStr">
        <is>
          <t>Server</t>
        </is>
      </c>
      <c r="C66" s="412" t="inlineStr">
        <is>
          <t>IJT Method Input Argument</t>
        </is>
      </c>
      <c r="D66" s="206">
        <f>HYPERLINK("#'Method Input Argument'!A1","▶ Method Input Argument")</f>
        <v/>
      </c>
      <c r="E66" s="212" t="inlineStr">
        <is>
          <t>ProductInstanceUri identifies the target asset; an empty String may resolve to the asset where the Server runs, an unknown value returns Status 2, and a method not applicable to the identified asset returns Status 3.</t>
        </is>
      </c>
      <c r="F66" s="213" t="inlineStr"/>
      <c r="G66" s="213" t="n">
        <v>2</v>
      </c>
      <c r="H66" s="213">
        <f>COUNT('Method Input Argument'!B:B)</f>
        <v/>
      </c>
      <c r="I66" s="213">
        <f>COUNTIF('Method Input Argument'!A:A,"y")</f>
        <v/>
      </c>
      <c r="J66" s="213">
        <f>COUNTIF('Method Input Argument'!A:A,"n")</f>
        <v/>
      </c>
      <c r="K66" s="213">
        <f>COUNTIF('Method Input Argument'!I:I,"y")</f>
        <v/>
      </c>
      <c r="L66" s="213">
        <f>TableHome[[#This Row],['# Test Cases]]-TableHome[[#This Row],['# Reviewed]]</f>
        <v/>
      </c>
      <c r="M66" s="214">
        <f>TableHome[[#This Row],['# Reviewed]]/TableHome[[#This Row],['# Test Cases]]</f>
        <v/>
      </c>
      <c r="N66" s="214" t="n"/>
    </row>
    <row r="67" ht="52" customFormat="1" customHeight="1" s="3">
      <c r="A67" s="409" t="n">
        <v>65</v>
      </c>
      <c r="B67" s="411" t="inlineStr">
        <is>
          <t>Server</t>
        </is>
      </c>
      <c r="C67" s="411" t="inlineStr">
        <is>
          <t>IJT Disconnect Asset</t>
        </is>
      </c>
      <c r="D67" s="206">
        <f>HYPERLINK("#'Disconnect Asset'!A1","▶ Disconnect Asset")</f>
        <v/>
      </c>
      <c r="E67" s="207" t="inlineStr">
        <is>
          <t>Server supports DisconnectAsset method.</t>
        </is>
      </c>
      <c r="F67" s="208" t="inlineStr"/>
      <c r="G67" s="208" t="n">
        <v>2</v>
      </c>
      <c r="H67" s="208">
        <f>COUNT('Disconnect Asset'!B:B)</f>
        <v/>
      </c>
      <c r="I67" s="208">
        <f>COUNTIF('Disconnect Asset'!A:A,"y")</f>
        <v/>
      </c>
      <c r="J67" s="208">
        <f>COUNTIF('Disconnect Asset'!A:A,"n")</f>
        <v/>
      </c>
      <c r="K67" s="208">
        <f>COUNTIF('Disconnect Asset'!I:I,"y")</f>
        <v/>
      </c>
      <c r="L67" s="208">
        <f>TableHome[[#This Row],['# Test Cases]]-TableHome[[#This Row],['# Reviewed]]</f>
        <v/>
      </c>
      <c r="M67" s="209">
        <f>TableHome[[#This Row],['# Reviewed]]/TableHome[[#This Row],['# Test Cases]]</f>
        <v/>
      </c>
      <c r="N67" s="209" t="n"/>
    </row>
    <row r="68" ht="52" customFormat="1" customHeight="1" s="3">
      <c r="A68" s="410" t="n">
        <v>66</v>
      </c>
      <c r="B68" s="412" t="inlineStr">
        <is>
          <t>Server</t>
        </is>
      </c>
      <c r="C68" s="412" t="inlineStr">
        <is>
          <t>IJT Enable Tool</t>
        </is>
      </c>
      <c r="D68" s="206">
        <f>HYPERLINK("#'Enable Tool'!A1","▶ Enable Tool")</f>
        <v/>
      </c>
      <c r="E68" s="212" t="inlineStr">
        <is>
          <t>Server supports EnableAsset method for Tool instances.</t>
        </is>
      </c>
      <c r="F68" s="213" t="inlineStr"/>
      <c r="G68" s="213" t="n">
        <v>1</v>
      </c>
      <c r="H68" s="213">
        <f>COUNT('Enable Tool'!B:B)</f>
        <v/>
      </c>
      <c r="I68" s="213">
        <f>COUNTIF('Enable Tool'!A:A,"y")</f>
        <v/>
      </c>
      <c r="J68" s="213">
        <f>COUNTIF('Enable Tool'!A:A,"n")</f>
        <v/>
      </c>
      <c r="K68" s="213">
        <f>COUNTIF('Enable Tool'!I:I,"y")</f>
        <v/>
      </c>
      <c r="L68" s="213">
        <f>TableHome[[#This Row],['# Test Cases]]-TableHome[[#This Row],['# Reviewed]]</f>
        <v/>
      </c>
      <c r="M68" s="214">
        <f>TableHome[[#This Row],['# Reviewed]]/TableHome[[#This Row],['# Test Cases]]</f>
        <v/>
      </c>
      <c r="N68" s="214" t="n"/>
    </row>
    <row r="69" ht="52" customFormat="1" customHeight="1" s="3">
      <c r="A69" s="409" t="n">
        <v>67</v>
      </c>
      <c r="B69" s="411" t="inlineStr">
        <is>
          <t>Server</t>
        </is>
      </c>
      <c r="C69" s="411" t="inlineStr">
        <is>
          <t>IJT Send Identifiers</t>
        </is>
      </c>
      <c r="D69" s="206">
        <f>HYPERLINK("#'Send Identifiers Methods'!A1","▶ Send Identifiers Methods")</f>
        <v/>
      </c>
      <c r="E69" s="207" t="inlineStr">
        <is>
          <t>Server supports at least one of: SendIdentifiers, SendTextIdentifiers, or StartJoiningProcess with AssociatedEntities. Received identifiers are included in Result.ResultMetaData.AssociatedEntities[] with IsExternal=TRUE.</t>
        </is>
      </c>
      <c r="F69" s="208" t="inlineStr"/>
      <c r="G69" s="208" t="n">
        <v>2</v>
      </c>
      <c r="H69" s="208">
        <f>COUNT('Send Identifiers Methods'!B:B)</f>
        <v/>
      </c>
      <c r="I69" s="208">
        <f>COUNTIF('Send Identifiers Methods'!A:A,"y")</f>
        <v/>
      </c>
      <c r="J69" s="208">
        <f>COUNTIF('Send Identifiers Methods'!A:A,"n")</f>
        <v/>
      </c>
      <c r="K69" s="208">
        <f>COUNTIF('Send Identifiers Methods'!I:I,"y")</f>
        <v/>
      </c>
      <c r="L69" s="208">
        <f>TableHome[[#This Row],['# Test Cases]]-TableHome[[#This Row],['# Reviewed]]</f>
        <v/>
      </c>
      <c r="M69" s="209">
        <f>TableHome[[#This Row],['# Reviewed]]/TableHome[[#This Row],['# Test Cases]]</f>
        <v/>
      </c>
      <c r="N69" s="209" t="n"/>
    </row>
    <row r="70" ht="52" customFormat="1" customHeight="1" s="3">
      <c r="A70" s="410" t="n">
        <v>68</v>
      </c>
      <c r="B70" s="412" t="inlineStr">
        <is>
          <t>Server</t>
        </is>
      </c>
      <c r="C70" s="412" t="inlineStr">
        <is>
          <t>IJT Get Identifiers</t>
        </is>
      </c>
      <c r="D70" s="206">
        <f>HYPERLINK("#'Get Identifiers Method'!A1","▶ Get Identifiers Method")</f>
        <v/>
      </c>
      <c r="E70" s="212" t="inlineStr">
        <is>
          <t>Server supports GetIdentifiers method returning identifiers sent by Client or external interface (IsExternal=TRUE).</t>
        </is>
      </c>
      <c r="F70" s="213" t="inlineStr"/>
      <c r="G70" s="213" t="n">
        <v>2</v>
      </c>
      <c r="H70" s="213">
        <f>COUNT('Get Identifiers Method'!B:B)</f>
        <v/>
      </c>
      <c r="I70" s="213">
        <f>COUNTIF('Get Identifiers Method'!A:A,"y")</f>
        <v/>
      </c>
      <c r="J70" s="213">
        <f>COUNTIF('Get Identifiers Method'!A:A,"n")</f>
        <v/>
      </c>
      <c r="K70" s="213">
        <f>COUNTIF('Get Identifiers Method'!I:I,"y")</f>
        <v/>
      </c>
      <c r="L70" s="213">
        <f>TableHome[[#This Row],['# Test Cases]]-TableHome[[#This Row],['# Reviewed]]</f>
        <v/>
      </c>
      <c r="M70" s="214">
        <f>TableHome[[#This Row],['# Reviewed]]/TableHome[[#This Row],['# Test Cases]]</f>
        <v/>
      </c>
      <c r="N70" s="214" t="n"/>
    </row>
    <row r="71" ht="52" customFormat="1" customHeight="1" s="3">
      <c r="A71" s="409" t="n">
        <v>69</v>
      </c>
      <c r="B71" s="411" t="inlineStr">
        <is>
          <t>Server</t>
        </is>
      </c>
      <c r="C71" s="411" t="inlineStr">
        <is>
          <t>IJT Reset Identifiers</t>
        </is>
      </c>
      <c r="D71" s="206">
        <f>HYPERLINK("#'Reset Identifiers Method'!A1","▶ Reset Identifiers Method")</f>
        <v/>
      </c>
      <c r="E71" s="207" t="inlineStr">
        <is>
          <t>Server supports ResetIdentifiers method; resets identifiers where IsExternal=TRUE.</t>
        </is>
      </c>
      <c r="F71" s="208" t="inlineStr"/>
      <c r="G71" s="208" t="n">
        <v>2</v>
      </c>
      <c r="H71" s="208">
        <f>COUNT('Reset Identifiers Method'!B:B)</f>
        <v/>
      </c>
      <c r="I71" s="208">
        <f>COUNTIF('Reset Identifiers Method'!A:A,"y")</f>
        <v/>
      </c>
      <c r="J71" s="208">
        <f>COUNTIF('Reset Identifiers Method'!A:A,"n")</f>
        <v/>
      </c>
      <c r="K71" s="208">
        <f>COUNTIF('Reset Identifiers Method'!I:I,"y")</f>
        <v/>
      </c>
      <c r="L71" s="208">
        <f>TableHome[[#This Row],['# Test Cases]]-TableHome[[#This Row],['# Reviewed]]</f>
        <v/>
      </c>
      <c r="M71" s="209">
        <f>TableHome[[#This Row],['# Reviewed]]/TableHome[[#This Row],['# Test Cases]]</f>
        <v/>
      </c>
      <c r="N71" s="209" t="n"/>
    </row>
    <row r="72" ht="52" customFormat="1" customHeight="1" s="3">
      <c r="A72" s="410" t="n">
        <v>70</v>
      </c>
      <c r="B72" s="412" t="inlineStr">
        <is>
          <t>Server</t>
        </is>
      </c>
      <c r="C72" s="412" t="inlineStr">
        <is>
          <t>IJT Set Calibration</t>
        </is>
      </c>
      <c r="D72" s="206">
        <f>HYPERLINK("#'Set Calibration'!A1","▶ Set Calibration")</f>
        <v/>
      </c>
      <c r="E72" s="212" t="inlineStr">
        <is>
          <t>Server supports SetCalibration method.</t>
        </is>
      </c>
      <c r="F72" s="213" t="inlineStr"/>
      <c r="G72" s="213" t="n">
        <v>2</v>
      </c>
      <c r="H72" s="213">
        <f>COUNT('Set Calibration'!B:B)</f>
        <v/>
      </c>
      <c r="I72" s="213">
        <f>COUNTIF('Set Calibration'!A:A,"y")</f>
        <v/>
      </c>
      <c r="J72" s="213">
        <f>COUNTIF('Set Calibration'!A:A,"n")</f>
        <v/>
      </c>
      <c r="K72" s="213">
        <f>COUNTIF('Set Calibration'!I:I,"y")</f>
        <v/>
      </c>
      <c r="L72" s="213">
        <f>TableHome[[#This Row],['# Test Cases]]-TableHome[[#This Row],['# Reviewed]]</f>
        <v/>
      </c>
      <c r="M72" s="214">
        <f>TableHome[[#This Row],['# Reviewed]]/TableHome[[#This Row],['# Test Cases]]</f>
        <v/>
      </c>
      <c r="N72" s="214" t="n"/>
    </row>
    <row r="73" ht="52" customFormat="1" customHeight="1" s="3">
      <c r="A73" s="409" t="n">
        <v>71</v>
      </c>
      <c r="B73" s="411" t="inlineStr">
        <is>
          <t>Server</t>
        </is>
      </c>
      <c r="C73" s="411" t="inlineStr">
        <is>
          <t>IJT Reboot Asset</t>
        </is>
      </c>
      <c r="D73" s="206">
        <f>HYPERLINK("#'Reboot Asset'!A1","▶ Reboot Asset")</f>
        <v/>
      </c>
      <c r="E73" s="207" t="inlineStr">
        <is>
          <t>Server supports RebootAsset method.</t>
        </is>
      </c>
      <c r="F73" s="208" t="inlineStr"/>
      <c r="G73" s="208" t="n">
        <v>2</v>
      </c>
      <c r="H73" s="208">
        <f>COUNT('Reboot Asset'!B:B)</f>
        <v/>
      </c>
      <c r="I73" s="208">
        <f>COUNTIF('Reboot Asset'!A:A,"y")</f>
        <v/>
      </c>
      <c r="J73" s="208">
        <f>COUNTIF('Reboot Asset'!A:A,"n")</f>
        <v/>
      </c>
      <c r="K73" s="208">
        <f>COUNTIF('Reboot Asset'!I:I,"y")</f>
        <v/>
      </c>
      <c r="L73" s="208">
        <f>TableHome[[#This Row],['# Test Cases]]-TableHome[[#This Row],['# Reviewed]]</f>
        <v/>
      </c>
      <c r="M73" s="209">
        <f>TableHome[[#This Row],['# Reviewed]]/TableHome[[#This Row],['# Test Cases]]</f>
        <v/>
      </c>
      <c r="N73" s="209" t="n"/>
    </row>
    <row r="74" ht="52" customFormat="1" customHeight="1" s="3">
      <c r="A74" s="410" t="n">
        <v>72</v>
      </c>
      <c r="B74" s="412" t="inlineStr">
        <is>
          <t>Server</t>
        </is>
      </c>
      <c r="C74" s="412" t="inlineStr">
        <is>
          <t>IJT Feedback Methods</t>
        </is>
      </c>
      <c r="D74" s="206">
        <f>HYPERLINK("#'Feedback Methods'!A1","▶ Feedback Methods")</f>
        <v/>
      </c>
      <c r="E74" s="212" t="inlineStr">
        <is>
          <t>Server supports SendFeedback and GetFeedbackFileList methods.</t>
        </is>
      </c>
      <c r="F74" s="213" t="inlineStr"/>
      <c r="G74" s="213" t="n">
        <v>2</v>
      </c>
      <c r="H74" s="213">
        <f>COUNT('Feedback Methods'!B:B)</f>
        <v/>
      </c>
      <c r="I74" s="213">
        <f>COUNTIF('Feedback Methods'!A:A,"y")</f>
        <v/>
      </c>
      <c r="J74" s="213">
        <f>COUNTIF('Feedback Methods'!A:A,"n")</f>
        <v/>
      </c>
      <c r="K74" s="213">
        <f>COUNTIF('Feedback Methods'!I:I,"y")</f>
        <v/>
      </c>
      <c r="L74" s="213">
        <f>TableHome[[#This Row],['# Test Cases]]-TableHome[[#This Row],['# Reviewed]]</f>
        <v/>
      </c>
      <c r="M74" s="214">
        <f>TableHome[[#This Row],['# Reviewed]]/TableHome[[#This Row],['# Test Cases]]</f>
        <v/>
      </c>
      <c r="N74" s="214" t="n"/>
    </row>
    <row r="75" ht="52" customFormat="1" customHeight="1" s="3">
      <c r="A75" s="409" t="n">
        <v>73</v>
      </c>
      <c r="B75" s="411" t="inlineStr">
        <is>
          <t>Server</t>
        </is>
      </c>
      <c r="C75" s="411" t="inlineStr">
        <is>
          <t>IJT Set Time</t>
        </is>
      </c>
      <c r="D75" s="206">
        <f>HYPERLINK("#'Set Time'!A1","▶ Set Time")</f>
        <v/>
      </c>
      <c r="E75" s="207" t="inlineStr">
        <is>
          <t>Server supports SetTime method.</t>
        </is>
      </c>
      <c r="F75" s="208" t="inlineStr"/>
      <c r="G75" s="208" t="n">
        <v>1</v>
      </c>
      <c r="H75" s="208">
        <f>COUNT('Set Time'!B:B)</f>
        <v/>
      </c>
      <c r="I75" s="208">
        <f>COUNTIF('Set Time'!A:A,"y")</f>
        <v/>
      </c>
      <c r="J75" s="208">
        <f>COUNTIF('Set Time'!A:A,"n")</f>
        <v/>
      </c>
      <c r="K75" s="208">
        <f>COUNTIF('Set Time'!I:I,"y")</f>
        <v/>
      </c>
      <c r="L75" s="208">
        <f>TableHome[[#This Row],['# Test Cases]]-TableHome[[#This Row],['# Reviewed]]</f>
        <v/>
      </c>
      <c r="M75" s="209">
        <f>TableHome[[#This Row],['# Reviewed]]/TableHome[[#This Row],['# Test Cases]]</f>
        <v/>
      </c>
      <c r="N75" s="209" t="n"/>
    </row>
    <row r="76" ht="52" customFormat="1" customHeight="1" s="3">
      <c r="A76" s="410" t="n">
        <v>74</v>
      </c>
      <c r="B76" s="412" t="inlineStr">
        <is>
          <t>Server</t>
        </is>
      </c>
      <c r="C76" s="412" t="inlineStr">
        <is>
          <t>IJT Set Offline Timer</t>
        </is>
      </c>
      <c r="D76" s="206">
        <f>HYPERLINK("#'Set Offline Timer'!A1","▶ Set Offline Timer")</f>
        <v/>
      </c>
      <c r="E76" s="212" t="inlineStr">
        <is>
          <t>Server supports SetOfflineTimer method.</t>
        </is>
      </c>
      <c r="F76" s="213" t="inlineStr"/>
      <c r="G76" s="213" t="n">
        <v>2</v>
      </c>
      <c r="H76" s="213">
        <f>COUNT('Set Offline Timer'!B:B)</f>
        <v/>
      </c>
      <c r="I76" s="213">
        <f>COUNTIF('Set Offline Timer'!A:A,"y")</f>
        <v/>
      </c>
      <c r="J76" s="213">
        <f>COUNTIF('Set Offline Timer'!A:A,"n")</f>
        <v/>
      </c>
      <c r="K76" s="213">
        <f>COUNTIF('Set Offline Timer'!I:I,"y")</f>
        <v/>
      </c>
      <c r="L76" s="213">
        <f>TableHome[[#This Row],['# Test Cases]]-TableHome[[#This Row],['# Reviewed]]</f>
        <v/>
      </c>
      <c r="M76" s="214">
        <f>TableHome[[#This Row],['# Reviewed]]/TableHome[[#This Row],['# Test Cases]]</f>
        <v/>
      </c>
      <c r="N76" s="214" t="n"/>
    </row>
    <row r="77" ht="52" customFormat="1" customHeight="1" s="3">
      <c r="A77" s="409" t="n">
        <v>75</v>
      </c>
      <c r="B77" s="411" t="inlineStr">
        <is>
          <t>Server</t>
        </is>
      </c>
      <c r="C77" s="411" t="inlineStr">
        <is>
          <t>IJT IO Signals Methods</t>
        </is>
      </c>
      <c r="D77" s="206">
        <f>HYPERLINK("#'IO Signals Methods'!A1","▶ IO Signals Methods")</f>
        <v/>
      </c>
      <c r="E77" s="207" t="inlineStr">
        <is>
          <t>Server supports SetIOSignals and GetIOSignals methods.</t>
        </is>
      </c>
      <c r="F77" s="208" t="inlineStr"/>
      <c r="G77" s="208" t="n">
        <v>2</v>
      </c>
      <c r="H77" s="208">
        <f>COUNT('IO Signals Methods'!B:B)</f>
        <v/>
      </c>
      <c r="I77" s="208">
        <f>COUNTIF('IO Signals Methods'!A:A,"y")</f>
        <v/>
      </c>
      <c r="J77" s="208">
        <f>COUNTIF('IO Signals Methods'!A:A,"n")</f>
        <v/>
      </c>
      <c r="K77" s="208">
        <f>COUNTIF('IO Signals Methods'!I:I,"y")</f>
        <v/>
      </c>
      <c r="L77" s="208">
        <f>TableHome[[#This Row],['# Test Cases]]-TableHome[[#This Row],['# Reviewed]]</f>
        <v/>
      </c>
      <c r="M77" s="209">
        <f>TableHome[[#This Row],['# Reviewed]]/TableHome[[#This Row],['# Test Cases]]</f>
        <v/>
      </c>
      <c r="N77" s="209" t="n"/>
    </row>
    <row r="78" ht="52" customFormat="1" customHeight="1" s="3">
      <c r="A78" s="410" t="n">
        <v>76</v>
      </c>
      <c r="B78" s="412" t="inlineStr">
        <is>
          <t>Server</t>
        </is>
      </c>
      <c r="C78" s="412" t="inlineStr">
        <is>
          <t>IJT Get Error Information</t>
        </is>
      </c>
      <c r="D78" s="206">
        <f>HYPERLINK("#'Get Error Information'!A1","▶ Get Error Information")</f>
        <v/>
      </c>
      <c r="E78" s="212" t="inlineStr">
        <is>
          <t>Server supports GetErrorInformation method.</t>
        </is>
      </c>
      <c r="F78" s="213" t="inlineStr"/>
      <c r="G78" s="213" t="n">
        <v>2</v>
      </c>
      <c r="H78" s="213">
        <f>COUNT('Get Error Information'!B:B)</f>
        <v/>
      </c>
      <c r="I78" s="213">
        <f>COUNTIF('Get Error Information'!A:A,"y")</f>
        <v/>
      </c>
      <c r="J78" s="213">
        <f>COUNTIF('Get Error Information'!A:A,"n")</f>
        <v/>
      </c>
      <c r="K78" s="213">
        <f>COUNTIF('Get Error Information'!I:I,"y")</f>
        <v/>
      </c>
      <c r="L78" s="213">
        <f>TableHome[[#This Row],['# Test Cases]]-TableHome[[#This Row],['# Reviewed]]</f>
        <v/>
      </c>
      <c r="M78" s="214">
        <f>TableHome[[#This Row],['# Reviewed]]/TableHome[[#This Row],['# Test Cases]]</f>
        <v/>
      </c>
      <c r="N78" s="214" t="n"/>
    </row>
    <row r="79" ht="52" customFormat="1" customHeight="1" s="3">
      <c r="A79" s="409" t="n">
        <v>77</v>
      </c>
      <c r="B79" s="411" t="inlineStr">
        <is>
          <t>Server</t>
        </is>
      </c>
      <c r="C79" s="411" t="inlineStr">
        <is>
          <t>IJT Execute Operation</t>
        </is>
      </c>
      <c r="D79" s="206">
        <f>HYPERLINK("#'Execute Operation'!A1","▶ Execute Operation")</f>
        <v/>
      </c>
      <c r="E79" s="207" t="inlineStr">
        <is>
          <t>Server supports ExecuteOperation method.</t>
        </is>
      </c>
      <c r="F79" s="208" t="inlineStr"/>
      <c r="G79" s="208" t="n">
        <v>2</v>
      </c>
      <c r="H79" s="208">
        <f>COUNT('Execute Operation'!B:B)</f>
        <v/>
      </c>
      <c r="I79" s="208">
        <f>COUNTIF('Execute Operation'!A:A,"y")</f>
        <v/>
      </c>
      <c r="J79" s="208">
        <f>COUNTIF('Execute Operation'!A:A,"n")</f>
        <v/>
      </c>
      <c r="K79" s="208">
        <f>COUNTIF('Execute Operation'!I:I,"y")</f>
        <v/>
      </c>
      <c r="L79" s="208">
        <f>TableHome[[#This Row],['# Test Cases]]-TableHome[[#This Row],['# Reviewed]]</f>
        <v/>
      </c>
      <c r="M79" s="209">
        <f>TableHome[[#This Row],['# Reviewed]]/TableHome[[#This Row],['# Test Cases]]</f>
        <v/>
      </c>
      <c r="N79" s="209" t="n"/>
    </row>
    <row r="80" ht="52" customFormat="1" customHeight="1" s="3">
      <c r="A80" s="410" t="n">
        <v>78</v>
      </c>
      <c r="B80" s="412" t="inlineStr">
        <is>
          <t>Server</t>
        </is>
      </c>
      <c r="C80" s="412" t="inlineStr">
        <is>
          <t>IJT Event Payload</t>
        </is>
      </c>
      <c r="D80" s="206">
        <f>HYPERLINK("#'Event Payload'!A1","▶ Event Payload")</f>
        <v/>
      </c>
      <c r="E80" s="212" t="inlineStr">
        <is>
          <t>When the IJT Event Payload CU is claimed, JoiningSystem events include JoiningSystemEventContent with JoiningTechnology, EventText, and EventCode.</t>
        </is>
      </c>
      <c r="F80" s="213" t="inlineStr"/>
      <c r="G80" s="213" t="n">
        <v>1</v>
      </c>
      <c r="H80" s="213">
        <f>COUNT('Event Payload'!B:B)</f>
        <v/>
      </c>
      <c r="I80" s="213">
        <f>COUNTIF('Event Payload'!A:A,"y")</f>
        <v/>
      </c>
      <c r="J80" s="213">
        <f>COUNTIF('Event Payload'!A:A,"n")</f>
        <v/>
      </c>
      <c r="K80" s="213">
        <f>COUNTIF('Event Payload'!I:I,"y")</f>
        <v/>
      </c>
      <c r="L80" s="213">
        <f>TableHome[[#This Row],['# Test Cases]]-TableHome[[#This Row],['# Reviewed]]</f>
        <v/>
      </c>
      <c r="M80" s="214">
        <f>TableHome[[#This Row],['# Reviewed]]/TableHome[[#This Row],['# Test Cases]]</f>
        <v/>
      </c>
      <c r="N80" s="214" t="n"/>
    </row>
    <row r="81" ht="52" customFormat="1" customHeight="1" s="3">
      <c r="A81" s="409" t="n">
        <v>79</v>
      </c>
      <c r="B81" s="411" t="inlineStr">
        <is>
          <t>Server</t>
        </is>
      </c>
      <c r="C81" s="411" t="inlineStr">
        <is>
          <t>IJT Event Condition Classes</t>
        </is>
      </c>
      <c r="D81" s="206">
        <f>HYPERLINK("#'Event Condition Classes'!A1","▶ Event Condition Classes")</f>
        <v/>
      </c>
      <c r="E81" s="207" t="inlineStr">
        <is>
          <t>Condition-class checks apply to JoiningSystemConditionType/event CUs that expose condition class fields. Do not apply this check to ResultReadyEventType variants.</t>
        </is>
      </c>
      <c r="F81" s="208" t="inlineStr"/>
      <c r="G81" s="208" t="n">
        <v>1</v>
      </c>
      <c r="H81" s="208">
        <f>COUNT('Event Condition Classes'!B:B)</f>
        <v/>
      </c>
      <c r="I81" s="208">
        <f>COUNTIF('Event Condition Classes'!A:A,"y")</f>
        <v/>
      </c>
      <c r="J81" s="208">
        <f>COUNTIF('Event Condition Classes'!A:A,"n")</f>
        <v/>
      </c>
      <c r="K81" s="208">
        <f>COUNTIF('Event Condition Classes'!I:I,"y")</f>
        <v/>
      </c>
      <c r="L81" s="208">
        <f>TableHome[[#This Row],['# Test Cases]]-TableHome[[#This Row],['# Reviewed]]</f>
        <v/>
      </c>
      <c r="M81" s="209">
        <f>TableHome[[#This Row],['# Reviewed]]/TableHome[[#This Row],['# Test Cases]]</f>
        <v/>
      </c>
      <c r="N81" s="209" t="n"/>
    </row>
    <row r="82" ht="52" customFormat="1" customHeight="1" s="3">
      <c r="A82" s="410" t="n">
        <v>80</v>
      </c>
      <c r="B82" s="412" t="inlineStr">
        <is>
          <t>Server</t>
        </is>
      </c>
      <c r="C82" s="412" t="inlineStr">
        <is>
          <t>IJT Asset Connection Event</t>
        </is>
      </c>
      <c r="D82" s="206">
        <f>HYPERLINK("#'Asset Connection Event'!A1","▶ Asset Connection Event")</f>
        <v/>
      </c>
      <c r="E82" s="212" t="inlineStr">
        <is>
          <t>Server generates JoiningSystemEventType on asset connect/disconnect. ConditionClass=SystemConditionClassType; SubClass=AssetConnectedConditionClassType or AssetDisconnectedConditionClassType.</t>
        </is>
      </c>
      <c r="F82" s="213" t="inlineStr"/>
      <c r="G82" s="213" t="n">
        <v>2</v>
      </c>
      <c r="H82" s="213">
        <f>COUNT('Asset Connection Event'!B:B)</f>
        <v/>
      </c>
      <c r="I82" s="213">
        <f>COUNTIF('Asset Connection Event'!A:A,"y")</f>
        <v/>
      </c>
      <c r="J82" s="213">
        <f>COUNTIF('Asset Connection Event'!A:A,"n")</f>
        <v/>
      </c>
      <c r="K82" s="213">
        <f>COUNTIF('Asset Connection Event'!I:I,"y")</f>
        <v/>
      </c>
      <c r="L82" s="213">
        <f>TableHome[[#This Row],['# Test Cases]]-TableHome[[#This Row],['# Reviewed]]</f>
        <v/>
      </c>
      <c r="M82" s="214">
        <f>TableHome[[#This Row],['# Reviewed]]/TableHome[[#This Row],['# Test Cases]]</f>
        <v/>
      </c>
      <c r="N82" s="214" t="n"/>
    </row>
    <row r="83" ht="52" customFormat="1" customHeight="1" s="3">
      <c r="A83" s="409" t="n">
        <v>81</v>
      </c>
      <c r="B83" s="411" t="inlineStr">
        <is>
          <t>Server</t>
        </is>
      </c>
      <c r="C83" s="411" t="inlineStr">
        <is>
          <t>IJT Asset Connection State Event</t>
        </is>
      </c>
      <c r="D83" s="206">
        <f>HYPERLINK("#'Asset Connection State Event'!A1","▶ Asset Connection State Event")</f>
        <v/>
      </c>
      <c r="E83" s="207" t="inlineStr">
        <is>
          <t>Server generates JoiningSystemEventType based on Asset.Parameters.Connected value. ConditionClass=SystemConditionClassType; SubClass=AssetConnected/DisconnectedConditionClassType.</t>
        </is>
      </c>
      <c r="F83" s="208" t="inlineStr"/>
      <c r="G83" s="208" t="n">
        <v>1</v>
      </c>
      <c r="H83" s="208">
        <f>COUNT('Asset Connection State Event'!B:B)</f>
        <v/>
      </c>
      <c r="I83" s="208">
        <f>COUNTIF('Asset Connection State Event'!A:A,"y")</f>
        <v/>
      </c>
      <c r="J83" s="208">
        <f>COUNTIF('Asset Connection State Event'!A:A,"n")</f>
        <v/>
      </c>
      <c r="K83" s="208">
        <f>COUNTIF('Asset Connection State Event'!I:I,"y")</f>
        <v/>
      </c>
      <c r="L83" s="208">
        <f>TableHome[[#This Row],['# Test Cases]]-TableHome[[#This Row],['# Reviewed]]</f>
        <v/>
      </c>
      <c r="M83" s="209">
        <f>TableHome[[#This Row],['# Reviewed]]/TableHome[[#This Row],['# Test Cases]]</f>
        <v/>
      </c>
      <c r="N83" s="209" t="n"/>
    </row>
    <row r="84" ht="52" customFormat="1" customHeight="1" s="3">
      <c r="A84" s="410" t="n">
        <v>82</v>
      </c>
      <c r="B84" s="412" t="inlineStr">
        <is>
          <t>Server</t>
        </is>
      </c>
      <c r="C84" s="412" t="inlineStr">
        <is>
          <t>IJT Asset Enable State Event</t>
        </is>
      </c>
      <c r="D84" s="206">
        <f>HYPERLINK("#'Asset Enable State Event'!A1","▶ Asset Enable State Event")</f>
        <v/>
      </c>
      <c r="E84" s="212" t="inlineStr">
        <is>
          <t>Server generates JoiningSystemEventType on asset enable/disable. ConditionClass=SystemConditionClassType; SubClass=AssetEnabled/DisabledConditionClassType.</t>
        </is>
      </c>
      <c r="F84" s="213" t="inlineStr"/>
      <c r="G84" s="213" t="n">
        <v>1</v>
      </c>
      <c r="H84" s="213">
        <f>COUNT('Asset Enable State Event'!B:B)</f>
        <v/>
      </c>
      <c r="I84" s="213">
        <f>COUNTIF('Asset Enable State Event'!A:A,"y")</f>
        <v/>
      </c>
      <c r="J84" s="213">
        <f>COUNTIF('Asset Enable State Event'!A:A,"n")</f>
        <v/>
      </c>
      <c r="K84" s="213">
        <f>COUNTIF('Asset Enable State Event'!I:I,"y")</f>
        <v/>
      </c>
      <c r="L84" s="213">
        <f>TableHome[[#This Row],['# Test Cases]]-TableHome[[#This Row],['# Reviewed]]</f>
        <v/>
      </c>
      <c r="M84" s="214">
        <f>TableHome[[#This Row],['# Reviewed]]/TableHome[[#This Row],['# Test Cases]]</f>
        <v/>
      </c>
      <c r="N84" s="214" t="n"/>
    </row>
    <row r="85" ht="52" customFormat="1" customHeight="1" s="3">
      <c r="A85" s="409" t="n">
        <v>83</v>
      </c>
      <c r="B85" s="411" t="inlineStr">
        <is>
          <t>Server</t>
        </is>
      </c>
      <c r="C85" s="411" t="inlineStr">
        <is>
          <t>IJT Event Payload Associated Entities</t>
        </is>
      </c>
      <c r="D85" s="206">
        <f>HYPERLINK("#'Event Payload Assoc Entities'!A1","▶ Event Payload Assoc Entities")</f>
        <v/>
      </c>
      <c r="E85" s="207" t="inlineStr">
        <is>
          <t>Event payload includes AssociatedEntities[] with identifiers related to the event.</t>
        </is>
      </c>
      <c r="F85" s="208" t="inlineStr"/>
      <c r="G85" s="208" t="n">
        <v>2</v>
      </c>
      <c r="H85" s="208">
        <f>COUNT('Event Payload Assoc Entities'!B:B)</f>
        <v/>
      </c>
      <c r="I85" s="208">
        <f>COUNTIF('Event Payload Assoc Entities'!A:A,"y")</f>
        <v/>
      </c>
      <c r="J85" s="208">
        <f>COUNTIF('Event Payload Assoc Entities'!A:A,"n")</f>
        <v/>
      </c>
      <c r="K85" s="208">
        <f>COUNTIF('Event Payload Assoc Entities'!I:I,"y")</f>
        <v/>
      </c>
      <c r="L85" s="208">
        <f>TableHome[[#This Row],['# Test Cases]]-TableHome[[#This Row],['# Reviewed]]</f>
        <v/>
      </c>
      <c r="M85" s="209">
        <f>TableHome[[#This Row],['# Reviewed]]/TableHome[[#This Row],['# Test Cases]]</f>
        <v/>
      </c>
      <c r="N85" s="209" t="n"/>
    </row>
    <row r="86" ht="52" customFormat="1" customHeight="1" s="3">
      <c r="A86" s="410" t="n">
        <v>84</v>
      </c>
      <c r="B86" s="412" t="inlineStr">
        <is>
          <t>Server</t>
        </is>
      </c>
      <c r="C86" s="412" t="inlineStr">
        <is>
          <t>IJT Event Payload Reported Values</t>
        </is>
      </c>
      <c r="D86" s="206">
        <f>HYPERLINK("#'Event Payload Reported Values'!A1","▶ Event Payload Reported Values")</f>
        <v/>
      </c>
      <c r="E86" s="212"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213" t="inlineStr"/>
      <c r="G86" s="213" t="n">
        <v>2</v>
      </c>
      <c r="H86" s="213">
        <f>COUNT('Event Payload Reported Values'!B:B)</f>
        <v/>
      </c>
      <c r="I86" s="213">
        <f>COUNTIF('Event Payload Reported Values'!A:A,"y")</f>
        <v/>
      </c>
      <c r="J86" s="213">
        <f>COUNTIF('Event Payload Reported Values'!A:A,"n")</f>
        <v/>
      </c>
      <c r="K86" s="213">
        <f>COUNTIF('Event Payload Reported Values'!I:I,"y")</f>
        <v/>
      </c>
      <c r="L86" s="213">
        <f>TableHome[[#This Row],['# Test Cases]]-TableHome[[#This Row],['# Reviewed]]</f>
        <v/>
      </c>
      <c r="M86" s="214">
        <f>TableHome[[#This Row],['# Reviewed]]/TableHome[[#This Row],['# Test Cases]]</f>
        <v/>
      </c>
      <c r="N86" s="214" t="n"/>
    </row>
    <row r="87" ht="52" customFormat="1" customHeight="1" s="3">
      <c r="A87" s="409" t="n">
        <v>85</v>
      </c>
      <c r="B87" s="411" t="inlineStr">
        <is>
          <t>Server</t>
        </is>
      </c>
      <c r="C87" s="411" t="inlineStr">
        <is>
          <t>IJT Identifiers Event</t>
        </is>
      </c>
      <c r="D87" s="206">
        <f>HYPERLINK("#'Identifiers Event'!A1","▶ Identifiers Event")</f>
        <v/>
      </c>
      <c r="E87" s="207" t="inlineStr">
        <is>
          <t>Server generates JoiningSystemEventType when identifiers received via SendIdentifiers, SendTextIdentifiers, StartJoiningProcess, or external interface. AssociatedEntities[] includes received identifiers.</t>
        </is>
      </c>
      <c r="F87" s="208" t="inlineStr"/>
      <c r="G87" s="208" t="n">
        <v>2</v>
      </c>
      <c r="H87" s="208">
        <f>COUNT('Identifiers Event'!B:B)</f>
        <v/>
      </c>
      <c r="I87" s="208">
        <f>COUNTIF('Identifiers Event'!A:A,"y")</f>
        <v/>
      </c>
      <c r="J87" s="208">
        <f>COUNTIF('Identifiers Event'!A:A,"n")</f>
        <v/>
      </c>
      <c r="K87" s="208">
        <f>COUNTIF('Identifiers Event'!I:I,"y")</f>
        <v/>
      </c>
      <c r="L87" s="208">
        <f>TableHome[[#This Row],['# Test Cases]]-TableHome[[#This Row],['# Reviewed]]</f>
        <v/>
      </c>
      <c r="M87" s="209">
        <f>TableHome[[#This Row],['# Reviewed]]/TableHome[[#This Row],['# Test Cases]]</f>
        <v/>
      </c>
      <c r="N87" s="209" t="n"/>
    </row>
    <row r="88" ht="52" customFormat="1" customHeight="1" s="3">
      <c r="A88" s="410" t="n">
        <v>86</v>
      </c>
      <c r="B88" s="412" t="inlineStr">
        <is>
          <t>Server</t>
        </is>
      </c>
      <c r="C88" s="412" t="inlineStr">
        <is>
          <t>IJT Select Process Event</t>
        </is>
      </c>
      <c r="D88" s="206">
        <f>HYPERLINK("#'Select Process Event'!A1","▶ Select Process Event")</f>
        <v/>
      </c>
      <c r="E88" s="212" t="inlineStr">
        <is>
          <t>Server generates JoiningSystemEventType when process selected. ConditionClass=ProcessConditionClassType; SubClass=SelectedProcessConditionClassType. AssociatedEntities[] includes JoiningProcess identifier.</t>
        </is>
      </c>
      <c r="F88" s="213" t="inlineStr"/>
      <c r="G88" s="213" t="n">
        <v>2</v>
      </c>
      <c r="H88" s="213">
        <f>COUNT('Select Process Event'!B:B)</f>
        <v/>
      </c>
      <c r="I88" s="213">
        <f>COUNTIF('Select Process Event'!A:A,"y")</f>
        <v/>
      </c>
      <c r="J88" s="213">
        <f>COUNTIF('Select Process Event'!A:A,"n")</f>
        <v/>
      </c>
      <c r="K88" s="213">
        <f>COUNTIF('Select Process Event'!I:I,"y")</f>
        <v/>
      </c>
      <c r="L88" s="213">
        <f>TableHome[[#This Row],['# Test Cases]]-TableHome[[#This Row],['# Reviewed]]</f>
        <v/>
      </c>
      <c r="M88" s="214">
        <f>TableHome[[#This Row],['# Reviewed]]/TableHome[[#This Row],['# Test Cases]]</f>
        <v/>
      </c>
      <c r="N88" s="214" t="n"/>
    </row>
    <row r="89" ht="52" customFormat="1" customHeight="1" s="3">
      <c r="A89" s="409" t="n">
        <v>87</v>
      </c>
      <c r="B89" s="411" t="inlineStr">
        <is>
          <t>Server</t>
        </is>
      </c>
      <c r="C89" s="411" t="inlineStr">
        <is>
          <t>IJT Joining Process Management</t>
        </is>
      </c>
      <c r="D89" s="206">
        <f>HYPERLINK("#'Joining Process Management'!A1","▶ Joining Process Management")</f>
        <v/>
      </c>
      <c r="E89" s="207" t="inlineStr">
        <is>
          <t>The instance of JoiningSystemType shall include an instance of JoiningProcessManagementType with the DefaultInstanceBrowseName.</t>
        </is>
      </c>
      <c r="F89" s="208" t="inlineStr"/>
      <c r="G89" s="208" t="n">
        <v>1</v>
      </c>
      <c r="H89" s="208">
        <f>COUNT('Joining Process Management'!B:B)</f>
        <v/>
      </c>
      <c r="I89" s="208">
        <f>COUNTIF('Joining Process Management'!A:A,"y")</f>
        <v/>
      </c>
      <c r="J89" s="208">
        <f>COUNTIF('Joining Process Management'!A:A,"n")</f>
        <v/>
      </c>
      <c r="K89" s="208">
        <f>COUNTIF('Joining Process Management'!I:I,"y")</f>
        <v/>
      </c>
      <c r="L89" s="208">
        <f>TableHome[[#This Row],['# Test Cases]]-TableHome[[#This Row],['# Reviewed]]</f>
        <v/>
      </c>
      <c r="M89" s="209">
        <f>TableHome[[#This Row],['# Reviewed]]/TableHome[[#This Row],['# Test Cases]]</f>
        <v/>
      </c>
      <c r="N89" s="209" t="n"/>
    </row>
    <row r="90" ht="52" customFormat="1" customHeight="1" s="3">
      <c r="A90" s="410" t="n">
        <v>88</v>
      </c>
      <c r="B90" s="412" t="inlineStr">
        <is>
          <t>Server</t>
        </is>
      </c>
      <c r="C90" s="412" t="inlineStr">
        <is>
          <t>IJT Get Joining Process List</t>
        </is>
      </c>
      <c r="D90" s="206">
        <f>HYPERLINK("#'Get Joining Process List'!A1","▶ Get Joining Process List")</f>
        <v/>
      </c>
      <c r="E90" s="212" t="inlineStr">
        <is>
          <t>Server supports GetJoiningProcessList. Each JoiningProcessMetaDataType returned includes JoiningProcessId, CreationTime, LastUpdatedTime, Name, JoiningTechnology, Classification.</t>
        </is>
      </c>
      <c r="F90" s="213" t="inlineStr"/>
      <c r="G90" s="213" t="n">
        <v>1</v>
      </c>
      <c r="H90" s="213">
        <f>COUNT('Get Joining Process List'!B:B)</f>
        <v/>
      </c>
      <c r="I90" s="213">
        <f>COUNTIF('Get Joining Process List'!A:A,"y")</f>
        <v/>
      </c>
      <c r="J90" s="213">
        <f>COUNTIF('Get Joining Process List'!A:A,"n")</f>
        <v/>
      </c>
      <c r="K90" s="213">
        <f>COUNTIF('Get Joining Process List'!I:I,"y")</f>
        <v/>
      </c>
      <c r="L90" s="213">
        <f>TableHome[[#This Row],['# Test Cases]]-TableHome[[#This Row],['# Reviewed]]</f>
        <v/>
      </c>
      <c r="M90" s="214">
        <f>TableHome[[#This Row],['# Reviewed]]/TableHome[[#This Row],['# Test Cases]]</f>
        <v/>
      </c>
      <c r="N90" s="214" t="n"/>
    </row>
    <row r="91" ht="52" customFormat="1" customHeight="1" s="3">
      <c r="A91" s="409" t="n">
        <v>89</v>
      </c>
      <c r="B91" s="411" t="inlineStr">
        <is>
          <t>Server</t>
        </is>
      </c>
      <c r="C91" s="411" t="inlineStr">
        <is>
          <t>IJT Abort Joining Process</t>
        </is>
      </c>
      <c r="D91" s="206">
        <f>HYPERLINK("#'Abort Joining Process'!A1","▶ Abort Joining Process")</f>
        <v/>
      </c>
      <c r="E91" s="207" t="inlineStr">
        <is>
          <t>The Server shall support AbortJoiningProcess method to abort the joining process under execution if it is applicable. It is not intended for hard real-time.</t>
        </is>
      </c>
      <c r="F91" s="208" t="inlineStr"/>
      <c r="G91" s="208" t="n">
        <v>2</v>
      </c>
      <c r="H91" s="208">
        <f>COUNT('Abort Joining Process'!B:B)</f>
        <v/>
      </c>
      <c r="I91" s="208">
        <f>COUNTIF('Abort Joining Process'!A:A,"y")</f>
        <v/>
      </c>
      <c r="J91" s="208">
        <f>COUNTIF('Abort Joining Process'!A:A,"n")</f>
        <v/>
      </c>
      <c r="K91" s="208">
        <f>COUNTIF('Abort Joining Process'!I:I,"y")</f>
        <v/>
      </c>
      <c r="L91" s="208">
        <f>TableHome[[#This Row],['# Test Cases]]-TableHome[[#This Row],['# Reviewed]]</f>
        <v/>
      </c>
      <c r="M91" s="209">
        <f>TableHome[[#This Row],['# Reviewed]]/TableHome[[#This Row],['# Test Cases]]</f>
        <v/>
      </c>
      <c r="N91" s="209" t="n"/>
    </row>
    <row r="92" ht="52" customFormat="1" customHeight="1" s="3">
      <c r="A92" s="410" t="n">
        <v>90</v>
      </c>
      <c r="B92" s="412" t="inlineStr">
        <is>
          <t>Server</t>
        </is>
      </c>
      <c r="C92" s="412" t="inlineStr">
        <is>
          <t>IJT Start Selected Joining</t>
        </is>
      </c>
      <c r="D92" s="206">
        <f>HYPERLINK("#'Start Selected Joining'!A1","▶ Start Selected Joining")</f>
        <v/>
      </c>
      <c r="E92" s="212"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213" t="inlineStr"/>
      <c r="G92" s="213" t="n">
        <v>1</v>
      </c>
      <c r="H92" s="213">
        <f>COUNT('Start Selected Joining'!B:B)</f>
        <v/>
      </c>
      <c r="I92" s="213">
        <f>COUNTIF('Start Selected Joining'!A:A,"y")</f>
        <v/>
      </c>
      <c r="J92" s="213">
        <f>COUNTIF('Start Selected Joining'!A:A,"n")</f>
        <v/>
      </c>
      <c r="K92" s="213">
        <f>COUNTIF('Start Selected Joining'!I:I,"y")</f>
        <v/>
      </c>
      <c r="L92" s="213">
        <f>TableHome[[#This Row],['# Test Cases]]-TableHome[[#This Row],['# Reviewed]]</f>
        <v/>
      </c>
      <c r="M92" s="214">
        <f>TableHome[[#This Row],['# Reviewed]]/TableHome[[#This Row],['# Test Cases]]</f>
        <v/>
      </c>
      <c r="N92" s="214" t="n"/>
    </row>
    <row r="93" ht="52" customFormat="1" customHeight="1" s="3">
      <c r="A93" s="409" t="n">
        <v>91</v>
      </c>
      <c r="B93" s="411" t="inlineStr">
        <is>
          <t>Server</t>
        </is>
      </c>
      <c r="C93" s="411" t="inlineStr">
        <is>
          <t>IJT Select Joining Process</t>
        </is>
      </c>
      <c r="D93" s="206">
        <f>HYPERLINK("#'Select Joining Process'!A1","▶ Select Joining Process")</f>
        <v/>
      </c>
      <c r="E93" s="207" t="inlineStr">
        <is>
          <t>The Server shall support SelectJoiningProcess method to select the input joining process for the next joining operation.</t>
        </is>
      </c>
      <c r="F93" s="208" t="inlineStr"/>
      <c r="G93" s="208" t="n">
        <v>1</v>
      </c>
      <c r="H93" s="208">
        <f>COUNT('Select Joining Process'!B:B)</f>
        <v/>
      </c>
      <c r="I93" s="208">
        <f>COUNTIF('Select Joining Process'!A:A,"y")</f>
        <v/>
      </c>
      <c r="J93" s="208">
        <f>COUNTIF('Select Joining Process'!A:A,"n")</f>
        <v/>
      </c>
      <c r="K93" s="208">
        <f>COUNTIF('Select Joining Process'!I:I,"y")</f>
        <v/>
      </c>
      <c r="L93" s="208">
        <f>TableHome[[#This Row],['# Test Cases]]-TableHome[[#This Row],['# Reviewed]]</f>
        <v/>
      </c>
      <c r="M93" s="209">
        <f>TableHome[[#This Row],['# Reviewed]]/TableHome[[#This Row],['# Test Cases]]</f>
        <v/>
      </c>
      <c r="N93" s="209" t="n"/>
    </row>
    <row r="94" ht="52" customFormat="1" customHeight="1" s="3">
      <c r="A94" s="410" t="n">
        <v>92</v>
      </c>
      <c r="B94" s="412" t="inlineStr">
        <is>
          <t>Server</t>
        </is>
      </c>
      <c r="C94" s="412" t="inlineStr">
        <is>
          <t>IJT Deselect Joining Process</t>
        </is>
      </c>
      <c r="D94" s="206">
        <f>HYPERLINK("#'Deselect Joining Process'!A1","▶ Deselect Joining Process")</f>
        <v/>
      </c>
      <c r="E94" s="212" t="inlineStr">
        <is>
          <t>The Server shall support DeselectJoiningProcess method to reset the selection of the joining process.</t>
        </is>
      </c>
      <c r="F94" s="213" t="inlineStr"/>
      <c r="G94" s="213" t="n">
        <v>2</v>
      </c>
      <c r="H94" s="213">
        <f>COUNT('Deselect Joining Process'!B:B)</f>
        <v/>
      </c>
      <c r="I94" s="213">
        <f>COUNTIF('Deselect Joining Process'!A:A,"y")</f>
        <v/>
      </c>
      <c r="J94" s="213">
        <f>COUNTIF('Deselect Joining Process'!A:A,"n")</f>
        <v/>
      </c>
      <c r="K94" s="213">
        <f>COUNTIF('Deselect Joining Process'!I:I,"y")</f>
        <v/>
      </c>
      <c r="L94" s="213">
        <f>TableHome[[#This Row],['# Test Cases]]-TableHome[[#This Row],['# Reviewed]]</f>
        <v/>
      </c>
      <c r="M94" s="214">
        <f>TableHome[[#This Row],['# Reviewed]]/TableHome[[#This Row],['# Test Cases]]</f>
        <v/>
      </c>
      <c r="N94" s="214" t="n"/>
    </row>
    <row r="95" ht="52" customFormat="1" customHeight="1" s="3">
      <c r="A95" s="409" t="n">
        <v>93</v>
      </c>
      <c r="B95" s="411" t="inlineStr">
        <is>
          <t>Server</t>
        </is>
      </c>
      <c r="C95" s="411" t="inlineStr">
        <is>
          <t>IJT Reset Joining Process</t>
        </is>
      </c>
      <c r="D95" s="206">
        <f>HYPERLINK("#'Reset Joining Process'!A1","▶ Reset Joining Process")</f>
        <v/>
      </c>
      <c r="E95" s="207" t="inlineStr">
        <is>
          <t>The Server shall support ResetJoiningProcess method which resets the joining process if it is applicable.</t>
        </is>
      </c>
      <c r="F95" s="208" t="inlineStr"/>
      <c r="G95" s="208" t="n">
        <v>1</v>
      </c>
      <c r="H95" s="208">
        <f>COUNT('Reset Joining Process'!B:B)</f>
        <v/>
      </c>
      <c r="I95" s="208">
        <f>COUNTIF('Reset Joining Process'!A:A,"y")</f>
        <v/>
      </c>
      <c r="J95" s="208">
        <f>COUNTIF('Reset Joining Process'!A:A,"n")</f>
        <v/>
      </c>
      <c r="K95" s="208">
        <f>COUNTIF('Reset Joining Process'!I:I,"y")</f>
        <v/>
      </c>
      <c r="L95" s="208">
        <f>TableHome[[#This Row],['# Test Cases]]-TableHome[[#This Row],['# Reviewed]]</f>
        <v/>
      </c>
      <c r="M95" s="209">
        <f>TableHome[[#This Row],['# Reviewed]]/TableHome[[#This Row],['# Test Cases]]</f>
        <v/>
      </c>
      <c r="N95" s="209" t="n"/>
    </row>
    <row r="96" ht="52" customFormat="1" customHeight="1" s="3">
      <c r="A96" s="410" t="n">
        <v>94</v>
      </c>
      <c r="B96" s="412" t="inlineStr">
        <is>
          <t>Server</t>
        </is>
      </c>
      <c r="C96" s="412" t="inlineStr">
        <is>
          <t>IJT Increment Joining Process Counter</t>
        </is>
      </c>
      <c r="D96" s="206">
        <f>HYPERLINK("#'Increment JP Counter'!A1","▶ Increment JP Counter")</f>
        <v/>
      </c>
      <c r="E96" s="212" t="inlineStr">
        <is>
          <t>Server supports IncrementJoiningProcessCounter method.</t>
        </is>
      </c>
      <c r="F96" s="213" t="inlineStr"/>
      <c r="G96" s="213" t="n">
        <v>1</v>
      </c>
      <c r="H96" s="213">
        <f>COUNT('Increment JP Counter'!B:B)</f>
        <v/>
      </c>
      <c r="I96" s="213">
        <f>COUNTIF('Increment JP Counter'!A:A,"y")</f>
        <v/>
      </c>
      <c r="J96" s="213">
        <f>COUNTIF('Increment JP Counter'!A:A,"n")</f>
        <v/>
      </c>
      <c r="K96" s="213">
        <f>COUNTIF('Increment JP Counter'!I:I,"y")</f>
        <v/>
      </c>
      <c r="L96" s="213">
        <f>TableHome[[#This Row],['# Test Cases]]-TableHome[[#This Row],['# Reviewed]]</f>
        <v/>
      </c>
      <c r="M96" s="214">
        <f>TableHome[[#This Row],['# Reviewed]]/TableHome[[#This Row],['# Test Cases]]</f>
        <v/>
      </c>
      <c r="N96" s="214" t="n"/>
    </row>
    <row r="97" ht="52" customFormat="1" customHeight="1" s="3">
      <c r="A97" s="409" t="n">
        <v>95</v>
      </c>
      <c r="B97" s="411" t="inlineStr">
        <is>
          <t>Server</t>
        </is>
      </c>
      <c r="C97" s="411" t="inlineStr">
        <is>
          <t>IJT Decrement Joining Process Counter</t>
        </is>
      </c>
      <c r="D97" s="206">
        <f>HYPERLINK("#'Decrement JP Counter'!A1","▶ Decrement JP Counter")</f>
        <v/>
      </c>
      <c r="E97" s="207" t="inlineStr">
        <is>
          <t>Server supports DecrementJoiningProcessCounter method.</t>
        </is>
      </c>
      <c r="F97" s="208" t="inlineStr"/>
      <c r="G97" s="208" t="n">
        <v>1</v>
      </c>
      <c r="H97" s="208">
        <f>COUNT('Decrement JP Counter'!B:B)</f>
        <v/>
      </c>
      <c r="I97" s="208">
        <f>COUNTIF('Decrement JP Counter'!A:A,"y")</f>
        <v/>
      </c>
      <c r="J97" s="208">
        <f>COUNTIF('Decrement JP Counter'!A:A,"n")</f>
        <v/>
      </c>
      <c r="K97" s="208">
        <f>COUNTIF('Decrement JP Counter'!I:I,"y")</f>
        <v/>
      </c>
      <c r="L97" s="208">
        <f>TableHome[[#This Row],['# Test Cases]]-TableHome[[#This Row],['# Reviewed]]</f>
        <v/>
      </c>
      <c r="M97" s="209">
        <f>TableHome[[#This Row],['# Reviewed]]/TableHome[[#This Row],['# Test Cases]]</f>
        <v/>
      </c>
      <c r="N97" s="209" t="n"/>
    </row>
    <row r="98" ht="52" customFormat="1" customHeight="1" s="3">
      <c r="A98" s="410" t="n">
        <v>96</v>
      </c>
      <c r="B98" s="412" t="inlineStr">
        <is>
          <t>Server</t>
        </is>
      </c>
      <c r="C98" s="412" t="inlineStr">
        <is>
          <t>IJT Set Joining Process Size</t>
        </is>
      </c>
      <c r="D98" s="206">
        <f>HYPERLINK("#'Set Joining Process Size'!A1","▶ Set Joining Process Size")</f>
        <v/>
      </c>
      <c r="E98" s="212" t="inlineStr">
        <is>
          <t>The Server shall support SetJoiningProcessSize method to set the size of the joining process based on the input.</t>
        </is>
      </c>
      <c r="F98" s="213" t="inlineStr"/>
      <c r="G98" s="213" t="n">
        <v>1</v>
      </c>
      <c r="H98" s="213">
        <f>COUNT('Set Joining Process Size'!B:B)</f>
        <v/>
      </c>
      <c r="I98" s="213">
        <f>COUNTIF('Set Joining Process Size'!A:A,"y")</f>
        <v/>
      </c>
      <c r="J98" s="213">
        <f>COUNTIF('Set Joining Process Size'!A:A,"n")</f>
        <v/>
      </c>
      <c r="K98" s="213">
        <f>COUNTIF('Set Joining Process Size'!I:I,"y")</f>
        <v/>
      </c>
      <c r="L98" s="213">
        <f>TableHome[[#This Row],['# Test Cases]]-TableHome[[#This Row],['# Reviewed]]</f>
        <v/>
      </c>
      <c r="M98" s="214">
        <f>TableHome[[#This Row],['# Reviewed]]/TableHome[[#This Row],['# Test Cases]]</f>
        <v/>
      </c>
      <c r="N98" s="214" t="n"/>
    </row>
    <row r="99" ht="52" customFormat="1" customHeight="1" s="3">
      <c r="A99" s="409" t="n">
        <v>97</v>
      </c>
      <c r="B99" s="411" t="inlineStr">
        <is>
          <t>Server</t>
        </is>
      </c>
      <c r="C99" s="411" t="inlineStr">
        <is>
          <t>IJT Start Joining Process</t>
        </is>
      </c>
      <c r="D99" s="206">
        <f>HYPERLINK("#'Start Joining Process'!A1","▶ Start Joining Process")</f>
        <v/>
      </c>
      <c r="E99" s="207" t="inlineStr">
        <is>
          <t>Pre-requisite: The device shall be pre-configured with remote start option. The Server shall support StartJoiningProcess method to select and start the execution of the input joining process. It is not intended for hard real-time.</t>
        </is>
      </c>
      <c r="F99" s="208" t="inlineStr"/>
      <c r="G99" s="208" t="n">
        <v>2</v>
      </c>
      <c r="H99" s="208">
        <f>COUNT('Start Joining Process'!B:B)</f>
        <v/>
      </c>
      <c r="I99" s="208">
        <f>COUNTIF('Start Joining Process'!A:A,"y")</f>
        <v/>
      </c>
      <c r="J99" s="208">
        <f>COUNTIF('Start Joining Process'!A:A,"n")</f>
        <v/>
      </c>
      <c r="K99" s="208">
        <f>COUNTIF('Start Joining Process'!I:I,"y")</f>
        <v/>
      </c>
      <c r="L99" s="208">
        <f>TableHome[[#This Row],['# Test Cases]]-TableHome[[#This Row],['# Reviewed]]</f>
        <v/>
      </c>
      <c r="M99" s="209">
        <f>TableHome[[#This Row],['# Reviewed]]/TableHome[[#This Row],['# Test Cases]]</f>
        <v/>
      </c>
      <c r="N99" s="209" t="n"/>
    </row>
    <row r="100" ht="52" customFormat="1" customHeight="1" s="3">
      <c r="A100" s="410" t="n">
        <v>98</v>
      </c>
      <c r="B100" s="412" t="inlineStr">
        <is>
          <t>Server</t>
        </is>
      </c>
      <c r="C100" s="412" t="inlineStr">
        <is>
          <t>IJT Delete Joining Process</t>
        </is>
      </c>
      <c r="D100" s="206">
        <f>HYPERLINK("#'Delete Joining Process'!A1","▶ Delete Joining Process")</f>
        <v/>
      </c>
      <c r="E100" s="212" t="inlineStr">
        <is>
          <t>The Server shall support DeleteJoiningProcess method to delete the input joining process.</t>
        </is>
      </c>
      <c r="F100" s="213" t="inlineStr"/>
      <c r="G100" s="213" t="n">
        <v>2</v>
      </c>
      <c r="H100" s="213">
        <f>COUNT('Delete Joining Process'!B:B)</f>
        <v/>
      </c>
      <c r="I100" s="213">
        <f>COUNTIF('Delete Joining Process'!A:A,"y")</f>
        <v/>
      </c>
      <c r="J100" s="213">
        <f>COUNTIF('Delete Joining Process'!A:A,"n")</f>
        <v/>
      </c>
      <c r="K100" s="213">
        <f>COUNTIF('Delete Joining Process'!I:I,"y")</f>
        <v/>
      </c>
      <c r="L100" s="213">
        <f>TableHome[[#This Row],['# Test Cases]]-TableHome[[#This Row],['# Reviewed]]</f>
        <v/>
      </c>
      <c r="M100" s="214">
        <f>TableHome[[#This Row],['# Reviewed]]/TableHome[[#This Row],['# Test Cases]]</f>
        <v/>
      </c>
      <c r="N100" s="214" t="n"/>
    </row>
    <row r="101" ht="52" customFormat="1" customHeight="1" s="3">
      <c r="A101" s="409" t="n">
        <v>99</v>
      </c>
      <c r="B101" s="411" t="inlineStr">
        <is>
          <t>Server</t>
        </is>
      </c>
      <c r="C101" s="411" t="inlineStr">
        <is>
          <t>IJT Get Selected Joining Program</t>
        </is>
      </c>
      <c r="D101" s="206">
        <f>HYPERLINK("#'Get Selected Joining Program'!A1","▶ Get Selected Joining Program")</f>
        <v/>
      </c>
      <c r="E101" s="207" t="inlineStr">
        <is>
          <t>Server supports GetSelectedJoiningProgram. Returned SelectedJoiningProgram is JoiningProcessMetaDataType: JoiningProcessId is mandatory; CreationTime, LastUpdatedTime, Name, JoiningTechnology, and Classification are optional and validated when present.</t>
        </is>
      </c>
      <c r="F101" s="208" t="inlineStr"/>
      <c r="G101" s="208" t="n">
        <v>2</v>
      </c>
      <c r="H101" s="208">
        <f>COUNT('Get Selected Joining Program'!B:B)</f>
        <v/>
      </c>
      <c r="I101" s="208">
        <f>COUNTIF('Get Selected Joining Program'!A:A,"y")</f>
        <v/>
      </c>
      <c r="J101" s="208">
        <f>COUNTIF('Get Selected Joining Program'!A:A,"n")</f>
        <v/>
      </c>
      <c r="K101" s="208">
        <f>COUNTIF('Get Selected Joining Program'!I:I,"y")</f>
        <v/>
      </c>
      <c r="L101" s="208">
        <f>TableHome[[#This Row],['# Test Cases]]-TableHome[[#This Row],['# Reviewed]]</f>
        <v/>
      </c>
      <c r="M101" s="209">
        <f>TableHome[[#This Row],['# Reviewed]]/TableHome[[#This Row],['# Test Cases]]</f>
        <v/>
      </c>
      <c r="N101" s="209" t="n"/>
    </row>
    <row r="102" ht="52" customFormat="1" customHeight="1" s="3">
      <c r="A102" s="410" t="n">
        <v>100</v>
      </c>
      <c r="B102" s="412" t="inlineStr">
        <is>
          <t>Server</t>
        </is>
      </c>
      <c r="C102" s="412" t="inlineStr">
        <is>
          <t>IJT Send Joining Process</t>
        </is>
      </c>
      <c r="D102" s="206">
        <f>HYPERLINK("#'Send Joining Process'!A1","▶ Send Joining Process")</f>
        <v/>
      </c>
      <c r="E102" s="212" t="inlineStr">
        <is>
          <t>Server supports SendJoiningProcess method.</t>
        </is>
      </c>
      <c r="F102" s="213" t="inlineStr"/>
      <c r="G102" s="213" t="n">
        <v>2</v>
      </c>
      <c r="H102" s="213">
        <f>COUNT('Send Joining Process'!B:B)</f>
        <v/>
      </c>
      <c r="I102" s="213">
        <f>COUNTIF('Send Joining Process'!A:A,"y")</f>
        <v/>
      </c>
      <c r="J102" s="213">
        <f>COUNTIF('Send Joining Process'!A:A,"n")</f>
        <v/>
      </c>
      <c r="K102" s="213">
        <f>COUNTIF('Send Joining Process'!I:I,"y")</f>
        <v/>
      </c>
      <c r="L102" s="213">
        <f>TableHome[[#This Row],['# Test Cases]]-TableHome[[#This Row],['# Reviewed]]</f>
        <v/>
      </c>
      <c r="M102" s="214">
        <f>TableHome[[#This Row],['# Reviewed]]/TableHome[[#This Row],['# Test Cases]]</f>
        <v/>
      </c>
      <c r="N102" s="214" t="n"/>
    </row>
    <row r="103" ht="52" customFormat="1" customHeight="1" s="3">
      <c r="A103" s="409" t="n">
        <v>101</v>
      </c>
      <c r="B103" s="411" t="inlineStr">
        <is>
          <t>Server</t>
        </is>
      </c>
      <c r="C103" s="411" t="inlineStr">
        <is>
          <t>IJT Get Joining Process</t>
        </is>
      </c>
      <c r="D103" s="206">
        <f>HYPERLINK("#'Get Joining Process'!A1","▶ Get Joining Process")</f>
        <v/>
      </c>
      <c r="E103" s="207" t="inlineStr">
        <is>
          <t>Server supports GetJoiningProcess method.</t>
        </is>
      </c>
      <c r="F103" s="208" t="inlineStr"/>
      <c r="G103" s="208" t="n">
        <v>2</v>
      </c>
      <c r="H103" s="208">
        <f>COUNT('Get Joining Process'!B:B)</f>
        <v/>
      </c>
      <c r="I103" s="208">
        <f>COUNTIF('Get Joining Process'!A:A,"y")</f>
        <v/>
      </c>
      <c r="J103" s="208">
        <f>COUNTIF('Get Joining Process'!A:A,"n")</f>
        <v/>
      </c>
      <c r="K103" s="208">
        <f>COUNTIF('Get Joining Process'!I:I,"y")</f>
        <v/>
      </c>
      <c r="L103" s="208">
        <f>TableHome[[#This Row],['# Test Cases]]-TableHome[[#This Row],['# Reviewed]]</f>
        <v/>
      </c>
      <c r="M103" s="209">
        <f>TableHome[[#This Row],['# Reviewed]]/TableHome[[#This Row],['# Test Cases]]</f>
        <v/>
      </c>
      <c r="N103" s="209" t="n"/>
    </row>
    <row r="104" ht="52" customFormat="1" customHeight="1" s="3">
      <c r="A104" s="410" t="n">
        <v>102</v>
      </c>
      <c r="B104" s="412" t="inlineStr">
        <is>
          <t>Server</t>
        </is>
      </c>
      <c r="C104" s="412" t="inlineStr">
        <is>
          <t>IJT Set Joining Process Counter</t>
        </is>
      </c>
      <c r="D104" s="206">
        <f>HYPERLINK("#'Set Joining Process Counter'!A1","▶ Set Joining Process Counter")</f>
        <v/>
      </c>
      <c r="E104" s="212" t="inlineStr">
        <is>
          <t>Server supports SetJoiningProcessCounter method.</t>
        </is>
      </c>
      <c r="F104" s="213" t="inlineStr"/>
      <c r="G104" s="213" t="n">
        <v>1</v>
      </c>
      <c r="H104" s="213">
        <f>COUNT('Set Joining Process Counter'!B:B)</f>
        <v/>
      </c>
      <c r="I104" s="213">
        <f>COUNTIF('Set Joining Process Counter'!A:A,"y")</f>
        <v/>
      </c>
      <c r="J104" s="213">
        <f>COUNTIF('Set Joining Process Counter'!A:A,"n")</f>
        <v/>
      </c>
      <c r="K104" s="213">
        <f>COUNTIF('Set Joining Process Counter'!I:I,"y")</f>
        <v/>
      </c>
      <c r="L104" s="213">
        <f>TableHome[[#This Row],['# Test Cases]]-TableHome[[#This Row],['# Reviewed]]</f>
        <v/>
      </c>
      <c r="M104" s="214">
        <f>TableHome[[#This Row],['# Reviewed]]/TableHome[[#This Row],['# Test Cases]]</f>
        <v/>
      </c>
      <c r="N104" s="214" t="n"/>
    </row>
    <row r="105" ht="52" customFormat="1" customHeight="1" s="3">
      <c r="A105" s="409" t="n">
        <v>103</v>
      </c>
      <c r="B105" s="411" t="inlineStr">
        <is>
          <t>Server</t>
        </is>
      </c>
      <c r="C105" s="411" t="inlineStr">
        <is>
          <t>IJT Set Joining Process Mapping</t>
        </is>
      </c>
      <c r="D105" s="206">
        <f>HYPERLINK("#'Set Joining Process Mapping'!A1","▶ Set Joining Process Mapping")</f>
        <v/>
      </c>
      <c r="E105" s="207" t="inlineStr">
        <is>
          <t>Server supports SetJoiningProcessMapping method.</t>
        </is>
      </c>
      <c r="F105" s="208" t="inlineStr"/>
      <c r="G105" s="208" t="n">
        <v>2</v>
      </c>
      <c r="H105" s="208">
        <f>COUNT('Set Joining Process Mapping'!B:B)</f>
        <v/>
      </c>
      <c r="I105" s="208">
        <f>COUNTIF('Set Joining Process Mapping'!A:A,"y")</f>
        <v/>
      </c>
      <c r="J105" s="208">
        <f>COUNTIF('Set Joining Process Mapping'!A:A,"n")</f>
        <v/>
      </c>
      <c r="K105" s="208">
        <f>COUNTIF('Set Joining Process Mapping'!I:I,"y")</f>
        <v/>
      </c>
      <c r="L105" s="208">
        <f>TableHome[[#This Row],['# Test Cases]]-TableHome[[#This Row],['# Reviewed]]</f>
        <v/>
      </c>
      <c r="M105" s="209">
        <f>TableHome[[#This Row],['# Reviewed]]/TableHome[[#This Row],['# Test Cases]]</f>
        <v/>
      </c>
      <c r="N105" s="209" t="n"/>
    </row>
    <row r="106" ht="52" customFormat="1" customHeight="1" s="3">
      <c r="A106" s="410" t="n">
        <v>104</v>
      </c>
      <c r="B106" s="412" t="inlineStr">
        <is>
          <t>Server</t>
        </is>
      </c>
      <c r="C106" s="412" t="inlineStr">
        <is>
          <t>IJT Get Joining Process Revision List</t>
        </is>
      </c>
      <c r="D106" s="206">
        <f>HYPERLINK("#'Get JP Revision List'!A1","▶ Get JP Revision List")</f>
        <v/>
      </c>
      <c r="E106" s="212" t="inlineStr">
        <is>
          <t>Server supports GetJoiningProcessRevisionList method.</t>
        </is>
      </c>
      <c r="F106" s="213" t="inlineStr"/>
      <c r="G106" s="213" t="n">
        <v>2</v>
      </c>
      <c r="H106" s="213">
        <f>COUNT('Get JP Revision List'!B:B)</f>
        <v/>
      </c>
      <c r="I106" s="213">
        <f>COUNTIF('Get JP Revision List'!A:A,"y")</f>
        <v/>
      </c>
      <c r="J106" s="213">
        <f>COUNTIF('Get JP Revision List'!A:A,"n")</f>
        <v/>
      </c>
      <c r="K106" s="213">
        <f>COUNTIF('Get JP Revision List'!I:I,"y")</f>
        <v/>
      </c>
      <c r="L106" s="213">
        <f>TableHome[[#This Row],['# Test Cases]]-TableHome[[#This Row],['# Reviewed]]</f>
        <v/>
      </c>
      <c r="M106" s="214">
        <f>TableHome[[#This Row],['# Reviewed]]/TableHome[[#This Row],['# Test Cases]]</f>
        <v/>
      </c>
      <c r="N106" s="214" t="n"/>
    </row>
    <row r="107" ht="52" customFormat="1" customHeight="1" s="3">
      <c r="A107" s="409" t="n">
        <v>105</v>
      </c>
      <c r="B107" s="411" t="inlineStr">
        <is>
          <t>Server</t>
        </is>
      </c>
      <c r="C107" s="411" t="inlineStr">
        <is>
          <t>IJT Joint Management</t>
        </is>
      </c>
      <c r="D107" s="206">
        <f>HYPERLINK("#'Joint Management'!A1","▶ Joint Management")</f>
        <v/>
      </c>
      <c r="E107" s="207" t="inlineStr">
        <is>
          <t>The instance of JoiningSystemType shall contain an instance of JointManagementType with the DefaultInstanceBrowseName.</t>
        </is>
      </c>
      <c r="F107" s="208" t="inlineStr"/>
      <c r="G107" s="208" t="n">
        <v>1</v>
      </c>
      <c r="H107" s="208">
        <f>COUNT('Joint Management'!B:B)</f>
        <v/>
      </c>
      <c r="I107" s="208">
        <f>COUNTIF('Joint Management'!A:A,"y")</f>
        <v/>
      </c>
      <c r="J107" s="208">
        <f>COUNTIF('Joint Management'!A:A,"n")</f>
        <v/>
      </c>
      <c r="K107" s="208">
        <f>COUNTIF('Joint Management'!I:I,"y")</f>
        <v/>
      </c>
      <c r="L107" s="208">
        <f>TableHome[[#This Row],['# Test Cases]]-TableHome[[#This Row],['# Reviewed]]</f>
        <v/>
      </c>
      <c r="M107" s="209">
        <f>TableHome[[#This Row],['# Reviewed]]/TableHome[[#This Row],['# Test Cases]]</f>
        <v/>
      </c>
      <c r="N107" s="209" t="n"/>
    </row>
    <row r="108" ht="52" customHeight="1" s="173">
      <c r="A108" s="410" t="n">
        <v>106</v>
      </c>
      <c r="B108" s="412" t="inlineStr">
        <is>
          <t>Server</t>
        </is>
      </c>
      <c r="C108" s="412" t="inlineStr">
        <is>
          <t>IJT Send Joint</t>
        </is>
      </c>
      <c r="D108" s="206">
        <f>HYPERLINK("#'Send Joint'!A1","▶ Send Joint")</f>
        <v/>
      </c>
      <c r="E108" s="212"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213" t="inlineStr"/>
      <c r="G108" s="213" t="n">
        <v>1</v>
      </c>
      <c r="H108" s="213">
        <f>COUNT('Send Joint'!B:B)</f>
        <v/>
      </c>
      <c r="I108" s="213">
        <f>COUNTIF('Send Joint'!A:A,"y")</f>
        <v/>
      </c>
      <c r="J108" s="213">
        <f>COUNTIF('Send Joint'!A:A,"n")</f>
        <v/>
      </c>
      <c r="K108" s="213">
        <f>COUNTIF('Send Joint'!I:I,"y")</f>
        <v/>
      </c>
      <c r="L108" s="213">
        <f>TableHome[[#This Row],['# Test Cases]]-TableHome[[#This Row],['# Reviewed]]</f>
        <v/>
      </c>
      <c r="M108" s="214">
        <f>TableHome[[#This Row],['# Reviewed]]/TableHome[[#This Row],['# Test Cases]]</f>
        <v/>
      </c>
      <c r="N108" s="214" t="n"/>
    </row>
    <row r="109" ht="52" customHeight="1" s="173">
      <c r="A109" s="409" t="n">
        <v>107</v>
      </c>
      <c r="B109" s="411" t="inlineStr">
        <is>
          <t>Server</t>
        </is>
      </c>
      <c r="C109" s="411" t="inlineStr">
        <is>
          <t>IJT Get Joint List</t>
        </is>
      </c>
      <c r="D109" s="206">
        <f>HYPERLINK("#'Get Joint List'!A1","▶ Get Joint List")</f>
        <v/>
      </c>
      <c r="E109" s="207" t="inlineStr">
        <is>
          <t>The Server shall support GetJointList method which returns the list of joints available in the joining system.</t>
        </is>
      </c>
      <c r="F109" s="208" t="inlineStr"/>
      <c r="G109" s="208" t="n">
        <v>1</v>
      </c>
      <c r="H109" s="208">
        <f>COUNT('Get Joint List'!B:B)</f>
        <v/>
      </c>
      <c r="I109" s="208">
        <f>COUNTIF('Get Joint List'!A:A,"y")</f>
        <v/>
      </c>
      <c r="J109" s="208">
        <f>COUNTIF('Get Joint List'!A:A,"n")</f>
        <v/>
      </c>
      <c r="K109" s="208">
        <f>COUNTIF('Get Joint List'!I:I,"y")</f>
        <v/>
      </c>
      <c r="L109" s="208">
        <f>TableHome[[#This Row],['# Test Cases]]-TableHome[[#This Row],['# Reviewed]]</f>
        <v/>
      </c>
      <c r="M109" s="209">
        <f>TableHome[[#This Row],['# Reviewed]]/TableHome[[#This Row],['# Test Cases]]</f>
        <v/>
      </c>
      <c r="N109" s="209" t="n"/>
    </row>
    <row r="110" ht="52" customHeight="1" s="173">
      <c r="A110" s="410" t="n">
        <v>108</v>
      </c>
      <c r="B110" s="412" t="inlineStr">
        <is>
          <t>Server</t>
        </is>
      </c>
      <c r="C110" s="412" t="inlineStr">
        <is>
          <t>IJT Select Joint</t>
        </is>
      </c>
      <c r="D110" s="206">
        <f>HYPERLINK("#'Select Joint'!A1","▶ Select Joint")</f>
        <v/>
      </c>
      <c r="E110" s="212" t="inlineStr">
        <is>
          <t>The Server shall support SelectJoint method which selects the corresponding joining process associated to the input joint identifier.</t>
        </is>
      </c>
      <c r="F110" s="213" t="inlineStr"/>
      <c r="G110" s="213" t="n">
        <v>1</v>
      </c>
      <c r="H110" s="213">
        <f>COUNT('Select Joint'!B:B)</f>
        <v/>
      </c>
      <c r="I110" s="213">
        <f>COUNTIF('Select Joint'!A:A,"y")</f>
        <v/>
      </c>
      <c r="J110" s="213">
        <f>COUNTIF('Select Joint'!A:A,"n")</f>
        <v/>
      </c>
      <c r="K110" s="213">
        <f>COUNTIF('Select Joint'!I:I,"y")</f>
        <v/>
      </c>
      <c r="L110" s="213">
        <f>TableHome[[#This Row],['# Test Cases]]-TableHome[[#This Row],['# Reviewed]]</f>
        <v/>
      </c>
      <c r="M110" s="214">
        <f>TableHome[[#This Row],['# Reviewed]]/TableHome[[#This Row],['# Test Cases]]</f>
        <v/>
      </c>
      <c r="N110" s="214" t="n"/>
    </row>
    <row r="111" ht="52" customHeight="1" s="173">
      <c r="A111" s="409" t="n">
        <v>109</v>
      </c>
      <c r="B111" s="411" t="inlineStr">
        <is>
          <t>Server</t>
        </is>
      </c>
      <c r="C111" s="411" t="inlineStr">
        <is>
          <t>IJT Get Joint</t>
        </is>
      </c>
      <c r="D111" s="206">
        <f>HYPERLINK("#'Get Joint'!A1","▶ Get Joint")</f>
        <v/>
      </c>
      <c r="E111" s="207" t="inlineStr">
        <is>
          <t>The Server shall support GetJoint method which returns the joint based on the input identifier.</t>
        </is>
      </c>
      <c r="F111" s="208" t="inlineStr"/>
      <c r="G111" s="208" t="n">
        <v>1</v>
      </c>
      <c r="H111" s="208">
        <f>COUNT('Get Joint'!B:B)</f>
        <v/>
      </c>
      <c r="I111" s="208">
        <f>COUNTIF('Get Joint'!A:A,"y")</f>
        <v/>
      </c>
      <c r="J111" s="208">
        <f>COUNTIF('Get Joint'!A:A,"n")</f>
        <v/>
      </c>
      <c r="K111" s="208">
        <f>COUNTIF('Get Joint'!I:I,"y")</f>
        <v/>
      </c>
      <c r="L111" s="208">
        <f>TableHome[[#This Row],['# Test Cases]]-TableHome[[#This Row],['# Reviewed]]</f>
        <v/>
      </c>
      <c r="M111" s="209">
        <f>TableHome[[#This Row],['# Reviewed]]/TableHome[[#This Row],['# Test Cases]]</f>
        <v/>
      </c>
      <c r="N111" s="209" t="n"/>
    </row>
    <row r="112" ht="52" customHeight="1" s="173">
      <c r="A112" s="410" t="n">
        <v>110</v>
      </c>
      <c r="B112" s="412" t="inlineStr">
        <is>
          <t>Server</t>
        </is>
      </c>
      <c r="C112" s="412" t="inlineStr">
        <is>
          <t>IJT Joint Data</t>
        </is>
      </c>
      <c r="D112" s="206">
        <f>HYPERLINK("#'Joint Data'!A1","▶ Joint Data")</f>
        <v/>
      </c>
      <c r="E112" s="212" t="inlineStr">
        <is>
          <t>Joint instance includes mandatory JointId. Joining-process links, when modeled, are represented via AssociatedEntities[] (for example EntityType=JOINING_PROCESS), not a direct JoiningProcessId field. JointDesignId is optional when JointDesign is supported.</t>
        </is>
      </c>
      <c r="F112" s="213" t="inlineStr"/>
      <c r="G112" s="213" t="n">
        <v>1</v>
      </c>
      <c r="H112" s="213">
        <f>COUNT('Joint Data'!B:B)</f>
        <v/>
      </c>
      <c r="I112" s="213">
        <f>COUNTIF('Joint Data'!A:A,"y")</f>
        <v/>
      </c>
      <c r="J112" s="213">
        <f>COUNTIF('Joint Data'!A:A,"n")</f>
        <v/>
      </c>
      <c r="K112" s="213">
        <f>COUNTIF('Joint Data'!I:I,"y")</f>
        <v/>
      </c>
      <c r="L112" s="213">
        <f>TableHome[[#This Row],['# Test Cases]]-TableHome[[#This Row],['# Reviewed]]</f>
        <v/>
      </c>
      <c r="M112" s="214">
        <f>TableHome[[#This Row],['# Reviewed]]/TableHome[[#This Row],['# Test Cases]]</f>
        <v/>
      </c>
      <c r="N112" s="214" t="n"/>
    </row>
    <row r="113" ht="52" customHeight="1" s="173">
      <c r="A113" s="409" t="n">
        <v>111</v>
      </c>
      <c r="B113" s="411" t="inlineStr">
        <is>
          <t>Server</t>
        </is>
      </c>
      <c r="C113" s="411" t="inlineStr">
        <is>
          <t>IJT Delete Joint</t>
        </is>
      </c>
      <c r="D113" s="206">
        <f>HYPERLINK("#'Delete Joint'!A1","▶ Delete Joint")</f>
        <v/>
      </c>
      <c r="E113" s="207" t="inlineStr">
        <is>
          <t>Server supports DeleteJoint method.</t>
        </is>
      </c>
      <c r="F113" s="208" t="inlineStr"/>
      <c r="G113" s="208" t="n">
        <v>2</v>
      </c>
      <c r="H113" s="208">
        <f>COUNT('Delete Joint'!B:B)</f>
        <v/>
      </c>
      <c r="I113" s="208">
        <f>COUNTIF('Delete Joint'!A:A,"y")</f>
        <v/>
      </c>
      <c r="J113" s="208">
        <f>COUNTIF('Delete Joint'!A:A,"n")</f>
        <v/>
      </c>
      <c r="K113" s="208">
        <f>COUNTIF('Delete Joint'!I:I,"y")</f>
        <v/>
      </c>
      <c r="L113" s="208">
        <f>TableHome[[#This Row],['# Test Cases]]-TableHome[[#This Row],['# Reviewed]]</f>
        <v/>
      </c>
      <c r="M113" s="209">
        <f>TableHome[[#This Row],['# Reviewed]]/TableHome[[#This Row],['# Test Cases]]</f>
        <v/>
      </c>
      <c r="N113" s="209" t="n"/>
    </row>
    <row r="114" ht="52" customHeight="1" s="173">
      <c r="A114" s="410" t="n">
        <v>112</v>
      </c>
      <c r="B114" s="412" t="inlineStr">
        <is>
          <t>Server</t>
        </is>
      </c>
      <c r="C114" s="412" t="inlineStr">
        <is>
          <t>IJT Send Joint Design</t>
        </is>
      </c>
      <c r="D114" s="206">
        <f>HYPERLINK("#'Send Joint Design'!A1","▶ Send Joint Design")</f>
        <v/>
      </c>
      <c r="E114" s="212" t="inlineStr">
        <is>
          <t>Server supports SendJointDesign method.</t>
        </is>
      </c>
      <c r="F114" s="213" t="inlineStr"/>
      <c r="G114" s="213" t="n">
        <v>2</v>
      </c>
      <c r="H114" s="213">
        <f>COUNT('Send Joint Design'!B:B)</f>
        <v/>
      </c>
      <c r="I114" s="213">
        <f>COUNTIF('Send Joint Design'!A:A,"y")</f>
        <v/>
      </c>
      <c r="J114" s="213">
        <f>COUNTIF('Send Joint Design'!A:A,"n")</f>
        <v/>
      </c>
      <c r="K114" s="213">
        <f>COUNTIF('Send Joint Design'!I:I,"y")</f>
        <v/>
      </c>
      <c r="L114" s="213">
        <f>TableHome[[#This Row],['# Test Cases]]-TableHome[[#This Row],['# Reviewed]]</f>
        <v/>
      </c>
      <c r="M114" s="214">
        <f>TableHome[[#This Row],['# Reviewed]]/TableHome[[#This Row],['# Test Cases]]</f>
        <v/>
      </c>
      <c r="N114" s="214" t="n"/>
    </row>
    <row r="115" ht="52" customHeight="1" s="173">
      <c r="A115" s="409" t="n">
        <v>113</v>
      </c>
      <c r="B115" s="411" t="inlineStr">
        <is>
          <t>Server</t>
        </is>
      </c>
      <c r="C115" s="411" t="inlineStr">
        <is>
          <t>IJT Get Joint Design List</t>
        </is>
      </c>
      <c r="D115" s="206">
        <f>HYPERLINK("#'Get Joint Design List'!A1","▶ Get Joint Design List")</f>
        <v/>
      </c>
      <c r="E115" s="207" t="inlineStr">
        <is>
          <t>Server supports GetJointDesignList method.</t>
        </is>
      </c>
      <c r="F115" s="208" t="inlineStr"/>
      <c r="G115" s="208" t="n">
        <v>2</v>
      </c>
      <c r="H115" s="208">
        <f>COUNT('Get Joint Design List'!B:B)</f>
        <v/>
      </c>
      <c r="I115" s="208">
        <f>COUNTIF('Get Joint Design List'!A:A,"y")</f>
        <v/>
      </c>
      <c r="J115" s="208">
        <f>COUNTIF('Get Joint Design List'!A:A,"n")</f>
        <v/>
      </c>
      <c r="K115" s="208">
        <f>COUNTIF('Get Joint Design List'!I:I,"y")</f>
        <v/>
      </c>
      <c r="L115" s="208">
        <f>TableHome[[#This Row],['# Test Cases]]-TableHome[[#This Row],['# Reviewed]]</f>
        <v/>
      </c>
      <c r="M115" s="209">
        <f>TableHome[[#This Row],['# Reviewed]]/TableHome[[#This Row],['# Test Cases]]</f>
        <v/>
      </c>
      <c r="N115" s="209" t="n"/>
    </row>
    <row r="116" ht="52" customHeight="1" s="173">
      <c r="A116" s="410" t="n">
        <v>114</v>
      </c>
      <c r="B116" s="412" t="inlineStr">
        <is>
          <t>Server</t>
        </is>
      </c>
      <c r="C116" s="412" t="inlineStr">
        <is>
          <t>IJT Get Joint Design</t>
        </is>
      </c>
      <c r="D116" s="206">
        <f>HYPERLINK("#'Get Joint Design'!A1","▶ Get Joint Design")</f>
        <v/>
      </c>
      <c r="E116" s="212" t="inlineStr">
        <is>
          <t>Server supports GetJointDesign method.</t>
        </is>
      </c>
      <c r="F116" s="213" t="inlineStr"/>
      <c r="G116" s="213" t="n">
        <v>2</v>
      </c>
      <c r="H116" s="213">
        <f>COUNT('Get Joint Design'!B:B)</f>
        <v/>
      </c>
      <c r="I116" s="213">
        <f>COUNTIF('Get Joint Design'!A:A,"y")</f>
        <v/>
      </c>
      <c r="J116" s="213">
        <f>COUNTIF('Get Joint Design'!A:A,"n")</f>
        <v/>
      </c>
      <c r="K116" s="213">
        <f>COUNTIF('Get Joint Design'!I:I,"y")</f>
        <v/>
      </c>
      <c r="L116" s="213">
        <f>TableHome[[#This Row],['# Test Cases]]-TableHome[[#This Row],['# Reviewed]]</f>
        <v/>
      </c>
      <c r="M116" s="214">
        <f>TableHome[[#This Row],['# Reviewed]]/TableHome[[#This Row],['# Test Cases]]</f>
        <v/>
      </c>
      <c r="N116" s="214" t="n"/>
    </row>
    <row r="117" ht="52" customHeight="1" s="173">
      <c r="A117" s="409" t="n">
        <v>115</v>
      </c>
      <c r="B117" s="411" t="inlineStr">
        <is>
          <t>Server</t>
        </is>
      </c>
      <c r="C117" s="411" t="inlineStr">
        <is>
          <t>IJT Joint Design Data</t>
        </is>
      </c>
      <c r="D117" s="206">
        <f>HYPERLINK("#'Joint Design Data'!A1","▶ Joint Design Data")</f>
        <v/>
      </c>
      <c r="E117" s="207" t="inlineStr">
        <is>
          <t>JointDesign instance includes JointDesignId and JointDesignContent. Includes JointComponentIdList if JointComponent feature is supported.</t>
        </is>
      </c>
      <c r="F117" s="208" t="inlineStr"/>
      <c r="G117" s="208" t="n">
        <v>2</v>
      </c>
      <c r="H117" s="208">
        <f>COUNT('Joint Design Data'!B:B)</f>
        <v/>
      </c>
      <c r="I117" s="208">
        <f>COUNTIF('Joint Design Data'!A:A,"y")</f>
        <v/>
      </c>
      <c r="J117" s="208">
        <f>COUNTIF('Joint Design Data'!A:A,"n")</f>
        <v/>
      </c>
      <c r="K117" s="208">
        <f>COUNTIF('Joint Design Data'!I:I,"y")</f>
        <v/>
      </c>
      <c r="L117" s="208">
        <f>TableHome[[#This Row],['# Test Cases]]-TableHome[[#This Row],['# Reviewed]]</f>
        <v/>
      </c>
      <c r="M117" s="209">
        <f>TableHome[[#This Row],['# Reviewed]]/TableHome[[#This Row],['# Test Cases]]</f>
        <v/>
      </c>
      <c r="N117" s="209" t="n"/>
    </row>
    <row r="118" ht="52" customHeight="1" s="173">
      <c r="A118" s="410" t="n">
        <v>116</v>
      </c>
      <c r="B118" s="412" t="inlineStr">
        <is>
          <t>Server</t>
        </is>
      </c>
      <c r="C118" s="412" t="inlineStr">
        <is>
          <t>IJT Delete Joint Design</t>
        </is>
      </c>
      <c r="D118" s="206">
        <f>HYPERLINK("#'Delete Joint Design'!A1","▶ Delete Joint Design")</f>
        <v/>
      </c>
      <c r="E118" s="212" t="inlineStr">
        <is>
          <t>Server supports DeleteJointDesign method.</t>
        </is>
      </c>
      <c r="F118" s="213" t="inlineStr"/>
      <c r="G118" s="213" t="n">
        <v>2</v>
      </c>
      <c r="H118" s="213">
        <f>COUNT('Delete Joint Design'!B:B)</f>
        <v/>
      </c>
      <c r="I118" s="213">
        <f>COUNTIF('Delete Joint Design'!A:A,"y")</f>
        <v/>
      </c>
      <c r="J118" s="213">
        <f>COUNTIF('Delete Joint Design'!A:A,"n")</f>
        <v/>
      </c>
      <c r="K118" s="213">
        <f>COUNTIF('Delete Joint Design'!I:I,"y")</f>
        <v/>
      </c>
      <c r="L118" s="213">
        <f>TableHome[[#This Row],['# Test Cases]]-TableHome[[#This Row],['# Reviewed]]</f>
        <v/>
      </c>
      <c r="M118" s="214">
        <f>TableHome[[#This Row],['# Reviewed]]/TableHome[[#This Row],['# Test Cases]]</f>
        <v/>
      </c>
      <c r="N118" s="214" t="n"/>
    </row>
    <row r="119" ht="52" customHeight="1" s="173">
      <c r="A119" s="409" t="n">
        <v>117</v>
      </c>
      <c r="B119" s="411" t="inlineStr">
        <is>
          <t>Server</t>
        </is>
      </c>
      <c r="C119" s="411" t="inlineStr">
        <is>
          <t>IJT Send Joint Component</t>
        </is>
      </c>
      <c r="D119" s="206">
        <f>HYPERLINK("#'Send Joint Component'!A1","▶ Send Joint Component")</f>
        <v/>
      </c>
      <c r="E119" s="207" t="inlineStr">
        <is>
          <t>Server supports SendJointComponent method.</t>
        </is>
      </c>
      <c r="F119" s="208" t="inlineStr"/>
      <c r="G119" s="208" t="n">
        <v>2</v>
      </c>
      <c r="H119" s="208">
        <f>COUNT('Send Joint Component'!B:B)</f>
        <v/>
      </c>
      <c r="I119" s="208">
        <f>COUNTIF('Send Joint Component'!A:A,"y")</f>
        <v/>
      </c>
      <c r="J119" s="208">
        <f>COUNTIF('Send Joint Component'!A:A,"n")</f>
        <v/>
      </c>
      <c r="K119" s="208">
        <f>COUNTIF('Send Joint Component'!I:I,"y")</f>
        <v/>
      </c>
      <c r="L119" s="208">
        <f>TableHome[[#This Row],['# Test Cases]]-TableHome[[#This Row],['# Reviewed]]</f>
        <v/>
      </c>
      <c r="M119" s="209">
        <f>TableHome[[#This Row],['# Reviewed]]/TableHome[[#This Row],['# Test Cases]]</f>
        <v/>
      </c>
      <c r="N119" s="209" t="n"/>
    </row>
    <row r="120" ht="52" customHeight="1" s="173">
      <c r="A120" s="410" t="n">
        <v>118</v>
      </c>
      <c r="B120" s="412" t="inlineStr">
        <is>
          <t>Server</t>
        </is>
      </c>
      <c r="C120" s="412" t="inlineStr">
        <is>
          <t>IJT Get Joint Component List</t>
        </is>
      </c>
      <c r="D120" s="206">
        <f>HYPERLINK("#'Get Joint Component List'!A1","▶ Get Joint Component List")</f>
        <v/>
      </c>
      <c r="E120" s="212" t="inlineStr">
        <is>
          <t>Server supports GetJointComponentList method.</t>
        </is>
      </c>
      <c r="F120" s="213" t="inlineStr"/>
      <c r="G120" s="213" t="n">
        <v>2</v>
      </c>
      <c r="H120" s="213">
        <f>COUNT('Get Joint Component List'!B:B)</f>
        <v/>
      </c>
      <c r="I120" s="213">
        <f>COUNTIF('Get Joint Component List'!A:A,"y")</f>
        <v/>
      </c>
      <c r="J120" s="213">
        <f>COUNTIF('Get Joint Component List'!A:A,"n")</f>
        <v/>
      </c>
      <c r="K120" s="213">
        <f>COUNTIF('Get Joint Component List'!I:I,"y")</f>
        <v/>
      </c>
      <c r="L120" s="213">
        <f>TableHome[[#This Row],['# Test Cases]]-TableHome[[#This Row],['# Reviewed]]</f>
        <v/>
      </c>
      <c r="M120" s="214">
        <f>TableHome[[#This Row],['# Reviewed]]/TableHome[[#This Row],['# Test Cases]]</f>
        <v/>
      </c>
      <c r="N120" s="214" t="n"/>
    </row>
    <row r="121" ht="52" customHeight="1" s="173">
      <c r="A121" s="409" t="n">
        <v>119</v>
      </c>
      <c r="B121" s="411" t="inlineStr">
        <is>
          <t>Server</t>
        </is>
      </c>
      <c r="C121" s="411" t="inlineStr">
        <is>
          <t>IJT Get Joint Component</t>
        </is>
      </c>
      <c r="D121" s="206">
        <f>HYPERLINK("#'Get Joint Component'!A1","▶ Get Joint Component")</f>
        <v/>
      </c>
      <c r="E121" s="207" t="inlineStr">
        <is>
          <t>Server supports GetJointComponent method.</t>
        </is>
      </c>
      <c r="F121" s="208" t="inlineStr"/>
      <c r="G121" s="208" t="n">
        <v>2</v>
      </c>
      <c r="H121" s="208">
        <f>COUNT('Get Joint Component'!B:B)</f>
        <v/>
      </c>
      <c r="I121" s="208">
        <f>COUNTIF('Get Joint Component'!A:A,"y")</f>
        <v/>
      </c>
      <c r="J121" s="208">
        <f>COUNTIF('Get Joint Component'!A:A,"n")</f>
        <v/>
      </c>
      <c r="K121" s="208">
        <f>COUNTIF('Get Joint Component'!I:I,"y")</f>
        <v/>
      </c>
      <c r="L121" s="208">
        <f>TableHome[[#This Row],['# Test Cases]]-TableHome[[#This Row],['# Reviewed]]</f>
        <v/>
      </c>
      <c r="M121" s="209">
        <f>TableHome[[#This Row],['# Reviewed]]/TableHome[[#This Row],['# Test Cases]]</f>
        <v/>
      </c>
      <c r="N121" s="209" t="n"/>
    </row>
    <row r="122" ht="52" customHeight="1" s="173">
      <c r="A122" s="410" t="n">
        <v>120</v>
      </c>
      <c r="B122" s="412" t="inlineStr">
        <is>
          <t>Server</t>
        </is>
      </c>
      <c r="C122" s="412" t="inlineStr">
        <is>
          <t>IJT Joint Component Data</t>
        </is>
      </c>
      <c r="D122" s="206">
        <f>HYPERLINK("#'Joint Component Data'!A1","▶ Joint Component Data")</f>
        <v/>
      </c>
      <c r="E122" s="212" t="inlineStr">
        <is>
          <t>JointComponent instance includes JointComponentId, Manufacturer, ManufacturerUri. Includes JointComponentContent (application-specific, e.g. Bolt, Rivet) if supported.</t>
        </is>
      </c>
      <c r="F122" s="213" t="inlineStr"/>
      <c r="G122" s="213" t="n">
        <v>2</v>
      </c>
      <c r="H122" s="213">
        <f>COUNT('Joint Component Data'!B:B)</f>
        <v/>
      </c>
      <c r="I122" s="213">
        <f>COUNTIF('Joint Component Data'!A:A,"y")</f>
        <v/>
      </c>
      <c r="J122" s="213">
        <f>COUNTIF('Joint Component Data'!A:A,"n")</f>
        <v/>
      </c>
      <c r="K122" s="213">
        <f>COUNTIF('Joint Component Data'!I:I,"y")</f>
        <v/>
      </c>
      <c r="L122" s="213">
        <f>TableHome[[#This Row],['# Test Cases]]-TableHome[[#This Row],['# Reviewed]]</f>
        <v/>
      </c>
      <c r="M122" s="214">
        <f>TableHome[[#This Row],['# Reviewed]]/TableHome[[#This Row],['# Test Cases]]</f>
        <v/>
      </c>
      <c r="N122" s="214" t="n"/>
    </row>
    <row r="123" ht="52" customHeight="1" s="173">
      <c r="A123" s="409" t="n">
        <v>121</v>
      </c>
      <c r="B123" s="411" t="inlineStr">
        <is>
          <t>Server</t>
        </is>
      </c>
      <c r="C123" s="411" t="inlineStr">
        <is>
          <t>IJT Delete Joint Component</t>
        </is>
      </c>
      <c r="D123" s="206">
        <f>HYPERLINK("#'Delete Joint Component'!A1","▶ Delete Joint Component")</f>
        <v/>
      </c>
      <c r="E123" s="207" t="inlineStr">
        <is>
          <t>The Server shall support DeleteJointComponent method to delete the input joint component.</t>
        </is>
      </c>
      <c r="F123" s="208" t="inlineStr"/>
      <c r="G123" s="208" t="n">
        <v>2</v>
      </c>
      <c r="H123" s="208">
        <f>COUNT('Delete Joint Component'!B:B)</f>
        <v/>
      </c>
      <c r="I123" s="208">
        <f>COUNTIF('Delete Joint Component'!A:A,"y")</f>
        <v/>
      </c>
      <c r="J123" s="208">
        <f>COUNTIF('Delete Joint Component'!A:A,"n")</f>
        <v/>
      </c>
      <c r="K123" s="208">
        <f>COUNTIF('Delete Joint Component'!I:I,"y")</f>
        <v/>
      </c>
      <c r="L123" s="208">
        <f>TableHome[[#This Row],['# Test Cases]]-TableHome[[#This Row],['# Reviewed]]</f>
        <v/>
      </c>
      <c r="M123" s="209">
        <f>TableHome[[#This Row],['# Reviewed]]/TableHome[[#This Row],['# Test Cases]]</f>
        <v/>
      </c>
      <c r="N123" s="209" t="n"/>
    </row>
    <row r="124" ht="52" customHeight="1" s="173">
      <c r="A124" s="410" t="n">
        <v>122</v>
      </c>
      <c r="B124" s="412" t="inlineStr">
        <is>
          <t>Server</t>
        </is>
      </c>
      <c r="C124" s="412" t="inlineStr">
        <is>
          <t>IJT Get Joint Revision List</t>
        </is>
      </c>
      <c r="D124" s="206">
        <f>HYPERLINK("#'Get Joint Revision List'!A1","▶ Get Joint Revision List")</f>
        <v/>
      </c>
      <c r="E124" s="212" t="inlineStr">
        <is>
          <t>Server supports GetJointRevisionList method.</t>
        </is>
      </c>
      <c r="F124" s="213" t="inlineStr"/>
      <c r="G124" s="213" t="n">
        <v>2</v>
      </c>
      <c r="H124" s="213">
        <f>COUNT('Get Joint Revision List'!B:B)</f>
        <v/>
      </c>
      <c r="I124" s="213">
        <f>COUNTIF('Get Joint Revision List'!A:A,"y")</f>
        <v/>
      </c>
      <c r="J124" s="213">
        <f>COUNTIF('Get Joint Revision List'!A:A,"n")</f>
        <v/>
      </c>
      <c r="K124" s="213">
        <f>COUNTIF('Get Joint Revision List'!I:I,"y")</f>
        <v/>
      </c>
      <c r="L124" s="213">
        <f>TableHome[[#This Row],['# Test Cases]]-TableHome[[#This Row],['# Reviewed]]</f>
        <v/>
      </c>
      <c r="M124" s="214">
        <f>TableHome[[#This Row],['# Reviewed]]/TableHome[[#This Row],['# Test Cases]]</f>
        <v/>
      </c>
      <c r="N124" s="214" t="n"/>
    </row>
    <row r="125" ht="52" customHeight="1" s="173">
      <c r="A125" s="409" t="n">
        <v>123</v>
      </c>
      <c r="B125" s="411" t="inlineStr">
        <is>
          <t>Server</t>
        </is>
      </c>
      <c r="C125" s="411" t="inlineStr">
        <is>
          <t>IJT Engineering Units</t>
        </is>
      </c>
      <c r="D125" s="206">
        <f>HYPERLINK("#'Engineering Units'!A1","▶ Engineering Units")</f>
        <v/>
      </c>
      <c r="E125" s="207" t="inlineStr">
        <is>
          <t>The instances of ResultValueDataType, TraceContentDataType, ReportedValueDataType, DesignValueDataType, and any variable with TypeDefinition JoiningDataVariableType shall include the EngineeringUnits property.</t>
        </is>
      </c>
      <c r="F125" s="208" t="inlineStr"/>
      <c r="G125" s="208" t="n">
        <v>2</v>
      </c>
      <c r="H125" s="208">
        <f>COUNT('Engineering Units'!B:B)</f>
        <v/>
      </c>
      <c r="I125" s="208">
        <f>COUNTIF('Engineering Units'!A:A,"y")</f>
        <v/>
      </c>
      <c r="J125" s="208">
        <f>COUNTIF('Engineering Units'!A:A,"n")</f>
        <v/>
      </c>
      <c r="K125" s="208">
        <f>COUNTIF('Engineering Units'!I:I,"y")</f>
        <v/>
      </c>
      <c r="L125" s="208">
        <f>TableHome[[#This Row],['# Test Cases]]-TableHome[[#This Row],['# Reviewed]]</f>
        <v/>
      </c>
      <c r="M125" s="209">
        <f>TableHome[[#This Row],['# Reviewed]]/TableHome[[#This Row],['# Test Cases]]</f>
        <v/>
      </c>
      <c r="N125" s="209" t="n"/>
    </row>
    <row r="126" s="173"/>
    <row r="127" s="173"/>
    <row r="128" ht="24" customHeight="1" s="173">
      <c r="A128" s="358" t="inlineStr"/>
      <c r="B128" s="215" t="inlineStr">
        <is>
          <t>TOTALS:</t>
        </is>
      </c>
      <c r="C128" s="215" t="n"/>
      <c r="D128" s="216">
        <f>SUM(TableHome['# Test Cases])</f>
        <v/>
      </c>
      <c r="E128" s="215" t="n"/>
      <c r="F128" s="216">
        <f>SUMIF(TableHome[PRI],1,TableHome['# Test Cases])</f>
        <v/>
      </c>
      <c r="G128" s="215" t="inlineStr">
        <is>
          <t>M=mandatory (PRI=1)</t>
        </is>
      </c>
      <c r="H128" s="216" t="n"/>
      <c r="I128" s="360" t="n"/>
      <c r="J128" s="360" t="n"/>
      <c r="K128" s="360" t="n"/>
      <c r="L128" s="360" t="n"/>
      <c r="M128" s="360" t="n"/>
    </row>
    <row r="129" ht="24" customHeight="1" s="173">
      <c r="A129" s="358" t="inlineStr"/>
      <c r="B129" s="217" t="inlineStr">
        <is>
          <t>Mandatory (M):</t>
        </is>
      </c>
      <c r="C129" s="218" t="n"/>
      <c r="D129" s="219">
        <f>SUMIF(TableHome[PRI],1,TableHome['# Test Cases])</f>
        <v/>
      </c>
      <c r="E129" s="218" t="n"/>
      <c r="F129" s="219">
        <f>SUMIF(TableHome[PRI],1,TableHome['# Reviewed])</f>
        <v/>
      </c>
      <c r="G129" s="218" t="inlineStr"/>
      <c r="H129" s="219" t="n"/>
      <c r="I129" s="360" t="n"/>
      <c r="J129" s="360" t="n"/>
      <c r="K129" s="360" t="n"/>
      <c r="L129" s="360" t="n"/>
      <c r="M129" s="360" t="n"/>
    </row>
    <row r="130" ht="24" customHeight="1" s="173">
      <c r="A130" s="358" t="inlineStr"/>
      <c r="B130" s="217" t="inlineStr">
        <is>
          <t>Optional (O):</t>
        </is>
      </c>
      <c r="C130" s="218" t="n"/>
      <c r="D130" s="219">
        <f>SUMIF(TableHome[PRI],2,TableHome['# Test Cases])</f>
        <v/>
      </c>
      <c r="E130" s="218" t="n"/>
      <c r="F130" s="219">
        <f>SUMIF(TableHome[PRI],2,TableHome['# Reviewed])</f>
        <v/>
      </c>
      <c r="G130" s="218" t="inlineStr"/>
      <c r="H130" s="219" t="n"/>
      <c r="I130" s="360" t="n"/>
      <c r="J130" s="360" t="n"/>
      <c r="K130" s="360" t="n"/>
      <c r="L130" s="360" t="n"/>
      <c r="M130" s="360" t="n"/>
    </row>
    <row r="131" ht="24" customHeight="1" s="173">
      <c r="A131" s="358" t="inlineStr"/>
      <c r="B131" s="217" t="inlineStr">
        <is>
          <t>Completion %:</t>
        </is>
      </c>
      <c r="C131" s="218" t="n"/>
      <c r="D131" s="219">
        <f>IF(D128=0,0,(F129+F130)/D128)</f>
        <v/>
      </c>
      <c r="E131" s="218" t="n"/>
      <c r="F131" s="219" t="inlineStr"/>
      <c r="G131" s="218" t="inlineStr"/>
      <c r="H131" s="219" t="n"/>
      <c r="I131" s="360" t="n"/>
      <c r="J131" s="360" t="n"/>
      <c r="K131" s="360" t="n"/>
      <c r="L131" s="360" t="n"/>
      <c r="M131" s="360" t="n"/>
    </row>
    <row r="132" ht="14.4" customHeight="1" s="173"/>
    <row r="133" ht="14.4" customHeight="1" s="173"/>
    <row r="134" ht="14.4" customHeight="1" s="173"/>
    <row r="135" ht="14.4" customHeight="1" s="173"/>
    <row r="136" ht="14.4" customHeight="1" s="173"/>
  </sheetData>
  <autoFilter ref="A2:A3"/>
  <mergeCells count="1">
    <mergeCell ref="A1:M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outlinePr summaryBelow="1" summaryRight="1"/>
    <pageSetUpPr/>
  </sheetPr>
  <dimension ref="A1:K11"/>
  <sheetViews>
    <sheetView workbookViewId="0">
      <pane ySplit="3" topLeftCell="A4" activePane="bottomLeft" state="frozen"/>
      <selection pane="bottomLeft" activeCell="A1" sqref="A1"/>
    </sheetView>
  </sheetViews>
  <sheetFormatPr baseColWidth="8" defaultRowHeight="15"/>
  <cols>
    <col width="6" customWidth="1" style="173" min="1" max="1"/>
    <col width="6" customWidth="1" style="173" min="2" max="2"/>
    <col width="12" customWidth="1" style="173" min="3" max="3"/>
    <col width="50" customWidth="1" style="173" min="4" max="4"/>
    <col width="55" customWidth="1" style="173" min="5" max="5"/>
    <col width="13" customWidth="1" style="173" min="6" max="6"/>
    <col width="18" customWidth="1" style="173" min="7" max="7"/>
    <col width="13" customWidth="1" style="173" min="8" max="8"/>
    <col width="10" customWidth="1" style="173" min="9" max="9"/>
    <col width="20" customWidth="1" style="173" min="10" max="10"/>
    <col width="30" customWidth="1" style="173" min="11" max="11"/>
  </cols>
  <sheetData>
    <row r="1" ht="28" customHeight="1" s="173">
      <c r="A1" s="220" t="inlineStr">
        <is>
          <t>OPC UA for Industrial Joining Technologies - Common References</t>
        </is>
      </c>
    </row>
    <row r="2" ht="20.05" customHeight="1" s="173">
      <c r="A2" s="221" t="inlineStr">
        <is>
          <t>Shared workbook conventions and source-grounded guidance; not a standalone conformance unit.</t>
        </is>
      </c>
    </row>
    <row r="3" ht="22" customHeight="1" s="173">
      <c r="A3" s="222" t="inlineStr">
        <is>
          <t>Category</t>
        </is>
      </c>
      <c r="B3" s="222" t="inlineStr">
        <is>
          <t>No.</t>
        </is>
      </c>
      <c r="C3" s="222" t="inlineStr">
        <is>
          <t>Scope</t>
        </is>
      </c>
      <c r="D3" s="222" t="inlineStr">
        <is>
          <t>Subject</t>
        </is>
      </c>
      <c r="E3" s="222" t="inlineStr">
        <is>
          <t>Requirement / Guidance</t>
        </is>
      </c>
      <c r="F3" s="222" t="inlineStr">
        <is>
          <t>Source</t>
        </is>
      </c>
      <c r="G3" s="222" t="inlineStr">
        <is>
          <t>Evidence</t>
        </is>
      </c>
      <c r="H3" s="222" t="inlineStr">
        <is>
          <t>CTT</t>
        </is>
      </c>
      <c r="I3" s="222" t="inlineStr">
        <is>
          <t>Reviewed</t>
        </is>
      </c>
      <c r="J3" s="222" t="inlineStr">
        <is>
          <t>Owner</t>
        </is>
      </c>
      <c r="K3" s="222" t="inlineStr">
        <is>
          <t>Comments</t>
        </is>
      </c>
    </row>
    <row r="4" ht="52" customHeight="1" s="173">
      <c r="A4" s="223" t="inlineStr">
        <is>
          <t>Namespace</t>
        </is>
      </c>
      <c r="B4" s="223" t="inlineStr">
        <is>
          <t>CR-1</t>
        </is>
      </c>
      <c r="C4" s="223" t="inlineStr">
        <is>
          <t>All sheets</t>
        </is>
      </c>
      <c r="D4" s="223" t="inlineStr">
        <is>
          <t>Namespace aliases</t>
        </is>
      </c>
      <c r="E4" s="223" t="inlineStr">
        <is>
          <t>Use URI-backed aliases in workbook text; resolve runtime NamespaceIndex from NamespaceArray before browsing, reading, subscribing, or calling.</t>
        </is>
      </c>
      <c r="F4" s="223" t="inlineStr">
        <is>
          <t>OPC UA namespace model</t>
        </is>
      </c>
      <c r="G4" s="223" t="inlineStr">
        <is>
          <t>OPCUA=http://opcfoundation.org/UA/; IJT=http://opcfoundation.org/UA/IJT/Base/; Machinery=http://opcfoundation.org/UA/Machinery/; IA=http://opcfoundation.org/UA/IA/; DI=http://opcfoundation.org/UA/DI/; AMB=http://opcfoundation.org/UA/AMB/; MachineryResult=http://opcfoundation.org/UA/Machinery/Result/.</t>
        </is>
      </c>
      <c r="H4" s="223" t="inlineStr">
        <is>
          <t>n</t>
        </is>
      </c>
      <c r="I4" s="223" t="inlineStr">
        <is>
          <t>n</t>
        </is>
      </c>
      <c r="J4" s="223" t="inlineStr"/>
      <c r="K4" s="223" t="inlineStr">
        <is>
          <t>Reference guidance only; not a standalone conformance row.</t>
        </is>
      </c>
    </row>
    <row r="5" ht="52" customHeight="1" s="173">
      <c r="A5" s="224" t="inlineStr">
        <is>
          <t>Workbook</t>
        </is>
      </c>
      <c r="B5" s="224" t="inlineStr">
        <is>
          <t>CR-2</t>
        </is>
      </c>
      <c r="C5" s="224" t="inlineStr">
        <is>
          <t>All CU sheets</t>
        </is>
      </c>
      <c r="D5" s="224" t="inlineStr">
        <is>
          <t>CTT column meaning</t>
        </is>
      </c>
      <c r="E5" s="224" t="inlineStr">
        <is>
          <t>CTT=y identifies cases automatable and judgeable through OPC UA; CTT=n identifies cases requiring external or manual intervention.</t>
        </is>
      </c>
      <c r="F5" s="224" t="inlineStr">
        <is>
          <t>Workbook convention</t>
        </is>
      </c>
      <c r="G5" s="224" t="inlineStr">
        <is>
          <t>Test polarity does not determine CTT; deterministic negative calls can be automatable.</t>
        </is>
      </c>
      <c r="H5" s="224" t="inlineStr">
        <is>
          <t>n</t>
        </is>
      </c>
      <c r="I5" s="224" t="inlineStr">
        <is>
          <t>n</t>
        </is>
      </c>
      <c r="J5" s="224" t="inlineStr"/>
      <c r="K5" s="224" t="inlineStr">
        <is>
          <t>Keeps common semantics out of each CU sheet.</t>
        </is>
      </c>
    </row>
    <row r="6" ht="49" customHeight="1" s="173">
      <c r="A6" s="223" t="inlineStr">
        <is>
          <t>Workbook</t>
        </is>
      </c>
      <c r="B6" s="223" t="inlineStr">
        <is>
          <t>CR-3</t>
        </is>
      </c>
      <c r="C6" s="223" t="inlineStr">
        <is>
          <t>All CU sheets</t>
        </is>
      </c>
      <c r="D6" s="223" t="inlineStr">
        <is>
          <t>Reviewed column ownership</t>
        </is>
      </c>
      <c r="E6" s="223" t="inlineStr">
        <is>
          <t>Reviewed is a human review flag. Leave n until the row has been manually accepted by the workbook owner/reviewer.</t>
        </is>
      </c>
      <c r="F6" s="223" t="inlineStr">
        <is>
          <t>Workbook convention</t>
        </is>
      </c>
      <c r="G6" s="223" t="inlineStr">
        <is>
          <t>Scripts must not mark newly edited rows as reviewed.</t>
        </is>
      </c>
      <c r="H6" s="223" t="inlineStr">
        <is>
          <t>n</t>
        </is>
      </c>
      <c r="I6" s="223" t="inlineStr">
        <is>
          <t>n</t>
        </is>
      </c>
      <c r="J6" s="223" t="inlineStr"/>
      <c r="K6" s="223" t="inlineStr"/>
    </row>
    <row r="7" ht="52" customHeight="1" s="173">
      <c r="A7" s="224" t="inlineStr">
        <is>
          <t>Optionality</t>
        </is>
      </c>
      <c r="B7" s="224" t="inlineStr">
        <is>
          <t>CR-4</t>
        </is>
      </c>
      <c r="C7" s="224" t="inlineStr">
        <is>
          <t>Optional CUs and optional base children</t>
        </is>
      </c>
      <c r="D7" s="224" t="inlineStr">
        <is>
          <t>Optional-feature preconditions</t>
        </is>
      </c>
      <c r="E7" s="224" t="inlineStr">
        <is>
          <t>For optional components such as AssetManagement, Machinery:MachineryBuildingBlocks, and MachineryResult:ResultManagement, validate rows only when the server claims/supports the related CU or exposes the related component.</t>
        </is>
      </c>
      <c r="F7" s="224" t="inlineStr">
        <is>
          <t>IJT Base NodeSet and CU profile mapping</t>
        </is>
      </c>
      <c r="G7" s="224" t="inlineStr">
        <is>
          <t>DI:Identification is mandatory for the base CU; AssetManagement, Machinery:MachineryBuildingBlocks, and MachineryResult:ResultManagement are optional base children.</t>
        </is>
      </c>
      <c r="H7" s="224" t="inlineStr">
        <is>
          <t>n</t>
        </is>
      </c>
      <c r="I7" s="224" t="inlineStr">
        <is>
          <t>n</t>
        </is>
      </c>
      <c r="J7" s="224" t="inlineStr"/>
      <c r="K7" s="224" t="inlineStr">
        <is>
          <t>Owning CU sheets remain responsible for concrete checks.</t>
        </is>
      </c>
    </row>
    <row r="8" ht="52" customHeight="1" s="173">
      <c r="A8" s="223" t="inlineStr">
        <is>
          <t>Results</t>
        </is>
      </c>
      <c r="B8" s="223" t="inlineStr">
        <is>
          <t>CR-5</t>
        </is>
      </c>
      <c r="C8" s="223" t="inlineStr">
        <is>
          <t>Result CUs</t>
        </is>
      </c>
      <c r="D8" s="223" t="inlineStr">
        <is>
          <t>Result reporting mechanisms</t>
        </is>
      </c>
      <c r="E8" s="223" t="inlineStr">
        <is>
          <t>Use supported result reporting mechanisms in Expected Results only. Keep path-specific CUs specific: event access verifies event payload, variable access verifies variable path, and method sheets verify method-specific access.</t>
        </is>
      </c>
      <c r="F8" s="223" t="inlineStr">
        <is>
          <t>OPC Foundation meeting decision</t>
        </is>
      </c>
      <c r="G8" s="223" t="inlineStr">
        <is>
          <t>Best available option is event payload when events are supported; next best is result variable. Methods are additional access paths, not the baseline live-result path.</t>
        </is>
      </c>
      <c r="H8" s="223" t="inlineStr">
        <is>
          <t>n</t>
        </is>
      </c>
      <c r="I8" s="223" t="inlineStr">
        <is>
          <t>n</t>
        </is>
      </c>
      <c r="J8" s="223" t="inlineStr"/>
      <c r="K8" s="223" t="inlineStr"/>
    </row>
    <row r="9" ht="52" customHeight="1" s="173">
      <c r="A9" s="224" t="inlineStr">
        <is>
          <t>Events</t>
        </is>
      </c>
      <c r="B9" s="224" t="inlineStr">
        <is>
          <t>CR-6</t>
        </is>
      </c>
      <c r="C9" s="224" t="inlineStr">
        <is>
          <t>JoiningSystemEventType rows</t>
        </is>
      </c>
      <c r="D9" s="224" t="inlineStr">
        <is>
          <t>Condition class placement</t>
        </is>
      </c>
      <c r="E9" s="224" t="inlineStr">
        <is>
          <t>Use JoiningSystemEventType unless a real source-defined subtype exists. Specific condition-class values belong in ConditionClassName, ConditionSubClassName, ConditionClassId, and/or ConditionSubClassId only when the CU/spec explicitly names them.</t>
        </is>
      </c>
      <c r="F9" s="224" t="inlineStr">
        <is>
          <t>IJT Base NodeSet</t>
        </is>
      </c>
      <c r="G9" s="224" t="inlineStr">
        <is>
          <t>Do not use source-undefined enable-state event/type names; verify all event/type names against the NodeSet before adding them.</t>
        </is>
      </c>
      <c r="H9" s="224" t="inlineStr">
        <is>
          <t>n</t>
        </is>
      </c>
      <c r="I9" s="224" t="inlineStr">
        <is>
          <t>n</t>
        </is>
      </c>
      <c r="J9" s="224" t="inlineStr"/>
      <c r="K9" s="224" t="inlineStr">
        <is>
          <t>Generic event rows let the server choose valid condition classes/subclasses.</t>
        </is>
      </c>
    </row>
    <row r="10" ht="52" customHeight="1" s="173">
      <c r="A10" s="223" t="inlineStr">
        <is>
          <t>Methods</t>
        </is>
      </c>
      <c r="B10" s="223" t="inlineStr">
        <is>
          <t>CR-7</t>
        </is>
      </c>
      <c r="C10" s="223" t="inlineStr">
        <is>
          <t>Method negative rows</t>
        </is>
      </c>
      <c r="D10" s="223" t="inlineStr">
        <is>
          <t>Service status vs domain status</t>
        </is>
      </c>
      <c r="E10" s="223" t="inlineStr">
        <is>
          <t>Column G records ResponseHeader.ServiceResult and is Good for a well-formed Call that reaches operation processing. Column H records CallMethodResult.StatusCode plus IJT Status/Error outputs. For a syntactically valid IJT domain refusal, use G=Good and H=CallMethodResult.StatusCode Uncertain plus the defined Status and StatusMessage outputs.</t>
        </is>
      </c>
      <c r="F10" s="223" t="inlineStr">
        <is>
          <t>OPC 10000-4 Sections 5.3 and 5.12; OPC 40450-1 Section 7.4 Table 54</t>
        </is>
      </c>
      <c r="G10" s="223" t="inlineStr">
        <is>
          <t>Do not place Uncertain in Service Result. Reserve service-level Bad_* for Service failure; reserve operation-level Bad_* for malformed Call arguments, access denial, or unexpected failure.</t>
        </is>
      </c>
      <c r="H10" s="223" t="inlineStr">
        <is>
          <t>n</t>
        </is>
      </c>
      <c r="I10" s="223" t="inlineStr">
        <is>
          <t>n</t>
        </is>
      </c>
      <c r="J10" s="223" t="inlineStr"/>
      <c r="K10" s="223" t="inlineStr"/>
    </row>
    <row r="11" ht="52" customHeight="1" s="173">
      <c r="A11" s="224" t="inlineStr">
        <is>
          <t>Methods</t>
        </is>
      </c>
      <c r="B11" s="224" t="inlineStr">
        <is>
          <t>CR-8</t>
        </is>
      </c>
      <c r="C11" s="224" t="inlineStr">
        <is>
          <t>Malformed Call requests</t>
        </is>
      </c>
      <c r="D11" s="224" t="inlineStr">
        <is>
          <t>Missing arguments vs invalid domain values</t>
        </is>
      </c>
      <c r="E11" s="224" t="inlineStr">
        <is>
          <t>Keep operation validation separate from domain validation. A missing mandatory input argument yields ResponseHeader.ServiceResult=Good and CallMethodResult.StatusCode=Bad_ArgumentsMissing with empty OutputArguments. A present, decodable but domain-invalid value may yield CallMethodResult.StatusCode=Uncertain with IJT Status=5 and StatusMessage.</t>
        </is>
      </c>
      <c r="F11" s="224" t="inlineStr">
        <is>
          <t>OPC 10000-4 Section 5.12.2.2 and Table 61; OPC 40450-1 Section 7.4 Table 54</t>
        </is>
      </c>
      <c r="G11" s="224" t="inlineStr">
        <is>
          <t>Never assert both a Bad_* CallMethodResult.StatusCode and an IJT Status output for the same result because output arguments are empty when operation severity is Bad.</t>
        </is>
      </c>
      <c r="H11" s="224" t="inlineStr">
        <is>
          <t>n</t>
        </is>
      </c>
      <c r="I11" s="224" t="inlineStr">
        <is>
          <t>n</t>
        </is>
      </c>
      <c r="J11" s="224" t="inlineStr"/>
      <c r="K11" s="224" t="inlineStr"/>
    </row>
  </sheetData>
  <mergeCells count="2">
    <mergeCell ref="A1:K1"/>
    <mergeCell ref="A2:K2"/>
  </mergeCells>
  <pageMargins left="0.75" right="0.75" top="1" bottom="1" header="0.5" footer="0.5"/>
</worksheet>
</file>

<file path=xl/worksheets/sheet3.xml><?xml version="1.0" encoding="utf-8"?>
<worksheet xmlns="http://schemas.openxmlformats.org/spreadsheetml/2006/main">
  <sheetPr>
    <outlinePr summaryBelow="1" summaryRight="1"/>
    <pageSetUpPr/>
  </sheetPr>
  <dimension ref="A1:K89"/>
  <sheetViews>
    <sheetView workbookViewId="0">
      <pane ySplit="3" topLeftCell="A4" activePane="bottomLeft" state="frozen"/>
      <selection pane="bottomLeft" activeCell="A1" sqref="A1"/>
    </sheetView>
  </sheetViews>
  <sheetFormatPr baseColWidth="8" defaultRowHeight="15"/>
  <cols>
    <col width="6" customWidth="1" style="173" min="1" max="1"/>
    <col width="6" customWidth="1" style="173" min="2" max="2"/>
    <col width="12" customWidth="1" style="173" min="3" max="3"/>
    <col width="50" customWidth="1" style="173" min="4" max="4"/>
    <col width="55" customWidth="1" style="173" min="5" max="5"/>
    <col width="13" customWidth="1" style="173" min="6" max="6"/>
    <col width="18" customWidth="1" style="173" min="7" max="7"/>
    <col width="13" customWidth="1" style="173" min="8" max="8"/>
    <col width="10" customWidth="1" style="173" min="9" max="9"/>
    <col width="20" customWidth="1" style="173" min="10" max="10"/>
    <col width="30" customWidth="1" style="173" min="11" max="11"/>
  </cols>
  <sheetData>
    <row r="1" ht="28" customHeight="1" s="173">
      <c r="A1" s="220" t="inlineStr">
        <is>
          <t>OPC UA for Industrial Joining Technologies - Type Inventory</t>
        </is>
      </c>
    </row>
    <row r="2" ht="20.05" customHeight="1" s="173">
      <c r="A2" s="221" t="inlineStr">
        <is>
          <t>Compact structural IJT Base NodeSet inventory; behavior remains in owning CU sheets.</t>
        </is>
      </c>
    </row>
    <row r="3" ht="22" customHeight="1" s="173">
      <c r="A3" s="222" t="inlineStr">
        <is>
          <t>Category</t>
        </is>
      </c>
      <c r="B3" s="222" t="inlineStr">
        <is>
          <t>No.</t>
        </is>
      </c>
      <c r="C3" s="222" t="inlineStr">
        <is>
          <t>Scope</t>
        </is>
      </c>
      <c r="D3" s="222" t="inlineStr">
        <is>
          <t>Subject</t>
        </is>
      </c>
      <c r="E3" s="222" t="inlineStr">
        <is>
          <t>Requirement / Guidance</t>
        </is>
      </c>
      <c r="F3" s="222" t="inlineStr">
        <is>
          <t>Source</t>
        </is>
      </c>
      <c r="G3" s="222" t="inlineStr">
        <is>
          <t>Evidence</t>
        </is>
      </c>
      <c r="H3" s="222" t="inlineStr">
        <is>
          <t>CTT</t>
        </is>
      </c>
      <c r="I3" s="222" t="inlineStr">
        <is>
          <t>Reviewed</t>
        </is>
      </c>
      <c r="J3" s="222" t="inlineStr">
        <is>
          <t>Owner</t>
        </is>
      </c>
      <c r="K3" s="222" t="inlineStr">
        <is>
          <t>Comments</t>
        </is>
      </c>
    </row>
    <row r="4" ht="52" customHeight="1" s="173">
      <c r="A4" s="223" t="inlineStr">
        <is>
          <t>DataType</t>
        </is>
      </c>
      <c r="B4" s="223" t="inlineStr">
        <is>
          <t>TI-1</t>
        </is>
      </c>
      <c r="C4" s="223" t="inlineStr">
        <is>
          <t>UADataType</t>
        </is>
      </c>
      <c r="D4" s="223" t="inlineStr">
        <is>
          <t>CalibrationDataType</t>
        </is>
      </c>
      <c r="E4" s="223" t="inlineStr">
        <is>
          <t>Verify node exists in IJT namespace with expected NodeClass, BrowseName, and supertype/type references.</t>
        </is>
      </c>
      <c r="F4" s="223" t="inlineStr">
        <is>
          <t>IJT Base NodeSet2.xml</t>
        </is>
      </c>
      <c r="G4" s="223" t="inlineStr">
        <is>
          <t>NodeId=ns=1;i=3003; Supertype/parent=i=22; ModellingRule=not specified</t>
        </is>
      </c>
      <c r="H4" s="223" t="inlineStr">
        <is>
          <t>n</t>
        </is>
      </c>
      <c r="I4" s="223" t="inlineStr">
        <is>
          <t>n</t>
        </is>
      </c>
      <c r="J4" s="223" t="inlineStr"/>
      <c r="K4" s="223" t="inlineStr">
        <is>
          <t>Structural inventory only; behavior, payload values, and optional-feature checks stay in owning CU sheets.</t>
        </is>
      </c>
    </row>
    <row r="5" ht="52" customHeight="1" s="173">
      <c r="A5" s="224" t="inlineStr">
        <is>
          <t>DataType</t>
        </is>
      </c>
      <c r="B5" s="224" t="inlineStr">
        <is>
          <t>TI-2</t>
        </is>
      </c>
      <c r="C5" s="224" t="inlineStr">
        <is>
          <t>UADataType</t>
        </is>
      </c>
      <c r="D5" s="224" t="inlineStr">
        <is>
          <t>DesignValueDataType</t>
        </is>
      </c>
      <c r="E5" s="224" t="inlineStr">
        <is>
          <t>Verify node exists in IJT namespace with expected NodeClass, BrowseName, and supertype/type references.</t>
        </is>
      </c>
      <c r="F5" s="224" t="inlineStr">
        <is>
          <t>IJT Base NodeSet2.xml</t>
        </is>
      </c>
      <c r="G5" s="224" t="inlineStr">
        <is>
          <t>NodeId=ns=1;i=3015; Supertype/parent=i=22; ModellingRule=not specified</t>
        </is>
      </c>
      <c r="H5" s="224" t="inlineStr">
        <is>
          <t>n</t>
        </is>
      </c>
      <c r="I5" s="224" t="inlineStr">
        <is>
          <t>n</t>
        </is>
      </c>
      <c r="J5" s="224" t="inlineStr"/>
      <c r="K5" s="224" t="inlineStr">
        <is>
          <t>Structural inventory only; behavior, payload values, and optional-feature checks stay in owning CU sheets.</t>
        </is>
      </c>
    </row>
    <row r="6" ht="52" customHeight="1" s="173">
      <c r="A6" s="223" t="inlineStr">
        <is>
          <t>DataType</t>
        </is>
      </c>
      <c r="B6" s="223" t="inlineStr">
        <is>
          <t>TI-3</t>
        </is>
      </c>
      <c r="C6" s="223" t="inlineStr">
        <is>
          <t>UADataType</t>
        </is>
      </c>
      <c r="D6" s="223" t="inlineStr">
        <is>
          <t>EntityDataType</t>
        </is>
      </c>
      <c r="E6" s="223" t="inlineStr">
        <is>
          <t>Verify node exists in IJT namespace with expected NodeClass, BrowseName, and supertype/type references.</t>
        </is>
      </c>
      <c r="F6" s="223" t="inlineStr">
        <is>
          <t>IJT Base NodeSet2.xml</t>
        </is>
      </c>
      <c r="G6" s="223" t="inlineStr">
        <is>
          <t>NodeId=ns=1;i=3010; Supertype/parent=i=22; ModellingRule=not specified</t>
        </is>
      </c>
      <c r="H6" s="223" t="inlineStr">
        <is>
          <t>n</t>
        </is>
      </c>
      <c r="I6" s="223" t="inlineStr">
        <is>
          <t>n</t>
        </is>
      </c>
      <c r="J6" s="223" t="inlineStr"/>
      <c r="K6" s="223" t="inlineStr">
        <is>
          <t>Structural inventory only; behavior, payload values, and optional-feature checks stay in owning CU sheets.</t>
        </is>
      </c>
    </row>
    <row r="7" ht="52" customHeight="1" s="173">
      <c r="A7" s="224" t="inlineStr">
        <is>
          <t>DataType</t>
        </is>
      </c>
      <c r="B7" s="224" t="inlineStr">
        <is>
          <t>TI-4</t>
        </is>
      </c>
      <c r="C7" s="224" t="inlineStr">
        <is>
          <t>UADataType</t>
        </is>
      </c>
      <c r="D7" s="224" t="inlineStr">
        <is>
          <t>ErrorInformationDataType</t>
        </is>
      </c>
      <c r="E7" s="224" t="inlineStr">
        <is>
          <t>Verify node exists in IJT namespace with expected NodeClass, BrowseName, and supertype/type references.</t>
        </is>
      </c>
      <c r="F7" s="224" t="inlineStr">
        <is>
          <t>IJT Base NodeSet2.xml</t>
        </is>
      </c>
      <c r="G7" s="224" t="inlineStr">
        <is>
          <t>NodeId=ns=1;i=3006; Supertype/parent=i=22; ModellingRule=not specified</t>
        </is>
      </c>
      <c r="H7" s="224" t="inlineStr">
        <is>
          <t>n</t>
        </is>
      </c>
      <c r="I7" s="224" t="inlineStr">
        <is>
          <t>n</t>
        </is>
      </c>
      <c r="J7" s="224" t="inlineStr"/>
      <c r="K7" s="224" t="inlineStr">
        <is>
          <t>Structural inventory only; behavior, payload values, and optional-feature checks stay in owning CU sheets.</t>
        </is>
      </c>
    </row>
    <row r="8" ht="52" customHeight="1" s="173">
      <c r="A8" s="223" t="inlineStr">
        <is>
          <t>DataType</t>
        </is>
      </c>
      <c r="B8" s="223" t="inlineStr">
        <is>
          <t>TI-5</t>
        </is>
      </c>
      <c r="C8" s="223" t="inlineStr">
        <is>
          <t>UADataType</t>
        </is>
      </c>
      <c r="D8" s="223" t="inlineStr">
        <is>
          <t>JoiningProcessDataType</t>
        </is>
      </c>
      <c r="E8" s="223" t="inlineStr">
        <is>
          <t>Verify node exists in IJT namespace with expected NodeClass, BrowseName, and supertype/type references.</t>
        </is>
      </c>
      <c r="F8" s="223" t="inlineStr">
        <is>
          <t>IJT Base NodeSet2.xml</t>
        </is>
      </c>
      <c r="G8" s="223" t="inlineStr">
        <is>
          <t>NodeId=ns=1;i=3016; Supertype/parent=i=22; ModellingRule=not specified</t>
        </is>
      </c>
      <c r="H8" s="223" t="inlineStr">
        <is>
          <t>n</t>
        </is>
      </c>
      <c r="I8" s="223" t="inlineStr">
        <is>
          <t>n</t>
        </is>
      </c>
      <c r="J8" s="223" t="inlineStr"/>
      <c r="K8" s="223" t="inlineStr">
        <is>
          <t>Structural inventory only; behavior, payload values, and optional-feature checks stay in owning CU sheets.</t>
        </is>
      </c>
    </row>
    <row r="9" ht="52" customHeight="1" s="173">
      <c r="A9" s="224" t="inlineStr">
        <is>
          <t>DataType</t>
        </is>
      </c>
      <c r="B9" s="224" t="inlineStr">
        <is>
          <t>TI-6</t>
        </is>
      </c>
      <c r="C9" s="224" t="inlineStr">
        <is>
          <t>UADataType</t>
        </is>
      </c>
      <c r="D9" s="224" t="inlineStr">
        <is>
          <t>JoiningProcessIdentificationDataType</t>
        </is>
      </c>
      <c r="E9" s="224" t="inlineStr">
        <is>
          <t>Verify node exists in IJT namespace with expected NodeClass, BrowseName, and supertype/type references.</t>
        </is>
      </c>
      <c r="F9" s="224" t="inlineStr">
        <is>
          <t>IJT Base NodeSet2.xml</t>
        </is>
      </c>
      <c r="G9" s="224" t="inlineStr">
        <is>
          <t>NodeId=ns=1;i=3029; Supertype/parent=i=22; ModellingRule=not specified</t>
        </is>
      </c>
      <c r="H9" s="224" t="inlineStr">
        <is>
          <t>n</t>
        </is>
      </c>
      <c r="I9" s="224" t="inlineStr">
        <is>
          <t>n</t>
        </is>
      </c>
      <c r="J9" s="224" t="inlineStr"/>
      <c r="K9" s="224" t="inlineStr">
        <is>
          <t>Structural inventory only; behavior, payload values, and optional-feature checks stay in owning CU sheets.</t>
        </is>
      </c>
    </row>
    <row r="10" ht="52" customHeight="1" s="173">
      <c r="A10" s="223" t="inlineStr">
        <is>
          <t>DataType</t>
        </is>
      </c>
      <c r="B10" s="223" t="inlineStr">
        <is>
          <t>TI-7</t>
        </is>
      </c>
      <c r="C10" s="223" t="inlineStr">
        <is>
          <t>UADataType</t>
        </is>
      </c>
      <c r="D10" s="223" t="inlineStr">
        <is>
          <t>JoiningProcessMetaDataType</t>
        </is>
      </c>
      <c r="E10" s="223" t="inlineStr">
        <is>
          <t>Verify node exists in IJT namespace with expected NodeClass, BrowseName, and supertype/type references.</t>
        </is>
      </c>
      <c r="F10" s="223" t="inlineStr">
        <is>
          <t>IJT Base NodeSet2.xml</t>
        </is>
      </c>
      <c r="G10" s="223" t="inlineStr">
        <is>
          <t>NodeId=ns=1;i=3024; Supertype/parent=i=22; ModellingRule=not specified</t>
        </is>
      </c>
      <c r="H10" s="223" t="inlineStr">
        <is>
          <t>n</t>
        </is>
      </c>
      <c r="I10" s="223" t="inlineStr">
        <is>
          <t>n</t>
        </is>
      </c>
      <c r="J10" s="223" t="inlineStr"/>
      <c r="K10" s="223" t="inlineStr">
        <is>
          <t>Structural inventory only; behavior, payload values, and optional-feature checks stay in owning CU sheets.</t>
        </is>
      </c>
    </row>
    <row r="11" ht="52" customHeight="1" s="173">
      <c r="A11" s="224" t="inlineStr">
        <is>
          <t>DataType</t>
        </is>
      </c>
      <c r="B11" s="224" t="inlineStr">
        <is>
          <t>TI-8</t>
        </is>
      </c>
      <c r="C11" s="224" t="inlineStr">
        <is>
          <t>UADataType</t>
        </is>
      </c>
      <c r="D11" s="224" t="inlineStr">
        <is>
          <t>JoiningResultDataType</t>
        </is>
      </c>
      <c r="E11" s="224" t="inlineStr">
        <is>
          <t>Verify node exists in IJT namespace with expected NodeClass, BrowseName, and supertype/type references.</t>
        </is>
      </c>
      <c r="F11" s="224" t="inlineStr">
        <is>
          <t>IJT Base NodeSet2.xml</t>
        </is>
      </c>
      <c r="G11" s="224" t="inlineStr">
        <is>
          <t>NodeId=ns=1;i=3005; Supertype/parent=i=22; ModellingRule=not specified</t>
        </is>
      </c>
      <c r="H11" s="224" t="inlineStr">
        <is>
          <t>n</t>
        </is>
      </c>
      <c r="I11" s="224" t="inlineStr">
        <is>
          <t>n</t>
        </is>
      </c>
      <c r="J11" s="224" t="inlineStr"/>
      <c r="K11" s="224" t="inlineStr">
        <is>
          <t>Structural inventory only; behavior, payload values, and optional-feature checks stay in owning CU sheets.</t>
        </is>
      </c>
    </row>
    <row r="12" ht="52" customHeight="1" s="173">
      <c r="A12" s="223" t="inlineStr">
        <is>
          <t>DataType</t>
        </is>
      </c>
      <c r="B12" s="223" t="inlineStr">
        <is>
          <t>TI-9</t>
        </is>
      </c>
      <c r="C12" s="223" t="inlineStr">
        <is>
          <t>UADataType</t>
        </is>
      </c>
      <c r="D12" s="223" t="inlineStr">
        <is>
          <t>JointComponentDataType</t>
        </is>
      </c>
      <c r="E12" s="223" t="inlineStr">
        <is>
          <t>Verify node exists in IJT namespace with expected NodeClass, BrowseName, and supertype/type references.</t>
        </is>
      </c>
      <c r="F12" s="223" t="inlineStr">
        <is>
          <t>IJT Base NodeSet2.xml</t>
        </is>
      </c>
      <c r="G12" s="223" t="inlineStr">
        <is>
          <t>NodeId=ns=1;i=3021; Supertype/parent=i=22; ModellingRule=not specified</t>
        </is>
      </c>
      <c r="H12" s="223" t="inlineStr">
        <is>
          <t>n</t>
        </is>
      </c>
      <c r="I12" s="223" t="inlineStr">
        <is>
          <t>n</t>
        </is>
      </c>
      <c r="J12" s="223" t="inlineStr"/>
      <c r="K12" s="223" t="inlineStr">
        <is>
          <t>Structural inventory only; behavior, payload values, and optional-feature checks stay in owning CU sheets.</t>
        </is>
      </c>
    </row>
    <row r="13" ht="52" customHeight="1" s="173">
      <c r="A13" s="224" t="inlineStr">
        <is>
          <t>DataType</t>
        </is>
      </c>
      <c r="B13" s="224" t="inlineStr">
        <is>
          <t>TI-10</t>
        </is>
      </c>
      <c r="C13" s="224" t="inlineStr">
        <is>
          <t>UADataType</t>
        </is>
      </c>
      <c r="D13" s="224" t="inlineStr">
        <is>
          <t>JointDataType</t>
        </is>
      </c>
      <c r="E13" s="224" t="inlineStr">
        <is>
          <t>Verify node exists in IJT namespace with expected NodeClass, BrowseName, and supertype/type references.</t>
        </is>
      </c>
      <c r="F13" s="224" t="inlineStr">
        <is>
          <t>IJT Base NodeSet2.xml</t>
        </is>
      </c>
      <c r="G13" s="224" t="inlineStr">
        <is>
          <t>NodeId=ns=1;i=3028; Supertype/parent=i=22; ModellingRule=not specified</t>
        </is>
      </c>
      <c r="H13" s="224" t="inlineStr">
        <is>
          <t>n</t>
        </is>
      </c>
      <c r="I13" s="224" t="inlineStr">
        <is>
          <t>n</t>
        </is>
      </c>
      <c r="J13" s="224" t="inlineStr"/>
      <c r="K13" s="224" t="inlineStr">
        <is>
          <t>Structural inventory only; behavior, payload values, and optional-feature checks stay in owning CU sheets.</t>
        </is>
      </c>
    </row>
    <row r="14" ht="52" customHeight="1" s="173">
      <c r="A14" s="223" t="inlineStr">
        <is>
          <t>DataType</t>
        </is>
      </c>
      <c r="B14" s="223" t="inlineStr">
        <is>
          <t>TI-11</t>
        </is>
      </c>
      <c r="C14" s="223" t="inlineStr">
        <is>
          <t>UADataType</t>
        </is>
      </c>
      <c r="D14" s="223" t="inlineStr">
        <is>
          <t>JointDesignDataType</t>
        </is>
      </c>
      <c r="E14" s="223" t="inlineStr">
        <is>
          <t>Verify node exists in IJT namespace with expected NodeClass, BrowseName, and supertype/type references.</t>
        </is>
      </c>
      <c r="F14" s="223" t="inlineStr">
        <is>
          <t>IJT Base NodeSet2.xml</t>
        </is>
      </c>
      <c r="G14" s="223" t="inlineStr">
        <is>
          <t>NodeId=ns=1;i=3025; Supertype/parent=i=22; ModellingRule=not specified</t>
        </is>
      </c>
      <c r="H14" s="223" t="inlineStr">
        <is>
          <t>n</t>
        </is>
      </c>
      <c r="I14" s="223" t="inlineStr">
        <is>
          <t>n</t>
        </is>
      </c>
      <c r="J14" s="223" t="inlineStr"/>
      <c r="K14" s="223" t="inlineStr">
        <is>
          <t>Structural inventory only; behavior, payload values, and optional-feature checks stay in owning CU sheets.</t>
        </is>
      </c>
    </row>
    <row r="15" ht="52" customHeight="1" s="173">
      <c r="A15" s="224" t="inlineStr">
        <is>
          <t>DataType</t>
        </is>
      </c>
      <c r="B15" s="224" t="inlineStr">
        <is>
          <t>TI-12</t>
        </is>
      </c>
      <c r="C15" s="224" t="inlineStr">
        <is>
          <t>UADataType</t>
        </is>
      </c>
      <c r="D15" s="224" t="inlineStr">
        <is>
          <t>KeyValueDataType</t>
        </is>
      </c>
      <c r="E15" s="224" t="inlineStr">
        <is>
          <t>Verify node exists in IJT namespace with expected NodeClass, BrowseName, and supertype/type references.</t>
        </is>
      </c>
      <c r="F15" s="224" t="inlineStr">
        <is>
          <t>IJT Base NodeSet2.xml</t>
        </is>
      </c>
      <c r="G15" s="224" t="inlineStr">
        <is>
          <t>NodeId=ns=1;i=3008; Supertype/parent=i=22; ModellingRule=not specified</t>
        </is>
      </c>
      <c r="H15" s="224" t="inlineStr">
        <is>
          <t>n</t>
        </is>
      </c>
      <c r="I15" s="224" t="inlineStr">
        <is>
          <t>n</t>
        </is>
      </c>
      <c r="J15" s="224" t="inlineStr"/>
      <c r="K15" s="224" t="inlineStr">
        <is>
          <t>Structural inventory only; behavior, payload values, and optional-feature checks stay in owning CU sheets.</t>
        </is>
      </c>
    </row>
    <row r="16" ht="52" customHeight="1" s="173">
      <c r="A16" s="223" t="inlineStr">
        <is>
          <t>DataType</t>
        </is>
      </c>
      <c r="B16" s="223" t="inlineStr">
        <is>
          <t>TI-13</t>
        </is>
      </c>
      <c r="C16" s="223" t="inlineStr">
        <is>
          <t>UADataType</t>
        </is>
      </c>
      <c r="D16" s="223" t="inlineStr">
        <is>
          <t>ReportedValueDataType</t>
        </is>
      </c>
      <c r="E16" s="223" t="inlineStr">
        <is>
          <t>Verify node exists in IJT namespace with expected NodeClass, BrowseName, and supertype/type references.</t>
        </is>
      </c>
      <c r="F16" s="223" t="inlineStr">
        <is>
          <t>IJT Base NodeSet2.xml</t>
        </is>
      </c>
      <c r="G16" s="223" t="inlineStr">
        <is>
          <t>NodeId=ns=1;i=3022; Supertype/parent=i=22; ModellingRule=not specified</t>
        </is>
      </c>
      <c r="H16" s="223" t="inlineStr">
        <is>
          <t>n</t>
        </is>
      </c>
      <c r="I16" s="223" t="inlineStr">
        <is>
          <t>n</t>
        </is>
      </c>
      <c r="J16" s="223" t="inlineStr"/>
      <c r="K16" s="223" t="inlineStr">
        <is>
          <t>Structural inventory only; behavior, payload values, and optional-feature checks stay in owning CU sheets.</t>
        </is>
      </c>
    </row>
    <row r="17" ht="52" customHeight="1" s="173">
      <c r="A17" s="224" t="inlineStr">
        <is>
          <t>DataType</t>
        </is>
      </c>
      <c r="B17" s="224" t="inlineStr">
        <is>
          <t>TI-14</t>
        </is>
      </c>
      <c r="C17" s="224" t="inlineStr">
        <is>
          <t>UADataType</t>
        </is>
      </c>
      <c r="D17" s="224" t="inlineStr">
        <is>
          <t>ResultCounterDataType</t>
        </is>
      </c>
      <c r="E17" s="224" t="inlineStr">
        <is>
          <t>Verify node exists in IJT namespace with expected NodeClass, BrowseName, and supertype/type references.</t>
        </is>
      </c>
      <c r="F17" s="224" t="inlineStr">
        <is>
          <t>IJT Base NodeSet2.xml</t>
        </is>
      </c>
      <c r="G17" s="224" t="inlineStr">
        <is>
          <t>NodeId=ns=1;i=3004; Supertype/parent=i=22; ModellingRule=not specified</t>
        </is>
      </c>
      <c r="H17" s="224" t="inlineStr">
        <is>
          <t>n</t>
        </is>
      </c>
      <c r="I17" s="224" t="inlineStr">
        <is>
          <t>n</t>
        </is>
      </c>
      <c r="J17" s="224" t="inlineStr"/>
      <c r="K17" s="224" t="inlineStr">
        <is>
          <t>Structural inventory only; behavior, payload values, and optional-feature checks stay in owning CU sheets.</t>
        </is>
      </c>
    </row>
    <row r="18" ht="52" customHeight="1" s="173">
      <c r="A18" s="223" t="inlineStr">
        <is>
          <t>DataType</t>
        </is>
      </c>
      <c r="B18" s="223" t="inlineStr">
        <is>
          <t>TI-15</t>
        </is>
      </c>
      <c r="C18" s="223" t="inlineStr">
        <is>
          <t>UADataType</t>
        </is>
      </c>
      <c r="D18" s="223" t="inlineStr">
        <is>
          <t>JoiningResultMetaDataType</t>
        </is>
      </c>
      <c r="E18" s="223" t="inlineStr">
        <is>
          <t>Verify node exists in IJT namespace with expected NodeClass, BrowseName, and supertype/type references.</t>
        </is>
      </c>
      <c r="F18" s="223" t="inlineStr">
        <is>
          <t>IJT Base NodeSet2.xml</t>
        </is>
      </c>
      <c r="G18" s="223" t="inlineStr">
        <is>
          <t>NodeId=ns=1;i=3020; Supertype/parent=MachineryResult:ResultMetaDataType (i=3007); ModellingRule=not specified</t>
        </is>
      </c>
      <c r="H18" s="223" t="inlineStr">
        <is>
          <t>n</t>
        </is>
      </c>
      <c r="I18" s="223" t="inlineStr">
        <is>
          <t>n</t>
        </is>
      </c>
      <c r="J18" s="223" t="inlineStr"/>
      <c r="K18" s="223" t="inlineStr">
        <is>
          <t>Structural inventory only; behavior, payload values, and optional-feature checks stay in owning CU sheets.</t>
        </is>
      </c>
    </row>
    <row r="19" ht="52" customHeight="1" s="173">
      <c r="A19" s="224" t="inlineStr">
        <is>
          <t>DataType</t>
        </is>
      </c>
      <c r="B19" s="224" t="inlineStr">
        <is>
          <t>TI-16</t>
        </is>
      </c>
      <c r="C19" s="224" t="inlineStr">
        <is>
          <t>UADataType</t>
        </is>
      </c>
      <c r="D19" s="224" t="inlineStr">
        <is>
          <t>ResultValueDataType</t>
        </is>
      </c>
      <c r="E19" s="224" t="inlineStr">
        <is>
          <t>Verify node exists in IJT namespace with expected NodeClass, BrowseName, and supertype/type references.</t>
        </is>
      </c>
      <c r="F19" s="224" t="inlineStr">
        <is>
          <t>IJT Base NodeSet2.xml</t>
        </is>
      </c>
      <c r="G19" s="224" t="inlineStr">
        <is>
          <t>NodeId=ns=1;i=3007; Supertype/parent=i=22; ModellingRule=not specified</t>
        </is>
      </c>
      <c r="H19" s="224" t="inlineStr">
        <is>
          <t>n</t>
        </is>
      </c>
      <c r="I19" s="224" t="inlineStr">
        <is>
          <t>n</t>
        </is>
      </c>
      <c r="J19" s="224" t="inlineStr"/>
      <c r="K19" s="224" t="inlineStr">
        <is>
          <t>Structural inventory only; behavior, payload values, and optional-feature checks stay in owning CU sheets.</t>
        </is>
      </c>
    </row>
    <row r="20" ht="52" customHeight="1" s="173">
      <c r="A20" s="223" t="inlineStr">
        <is>
          <t>DataType</t>
        </is>
      </c>
      <c r="B20" s="223" t="inlineStr">
        <is>
          <t>TI-17</t>
        </is>
      </c>
      <c r="C20" s="223" t="inlineStr">
        <is>
          <t>UADataType</t>
        </is>
      </c>
      <c r="D20" s="223" t="inlineStr">
        <is>
          <t>SignalDataType</t>
        </is>
      </c>
      <c r="E20" s="223" t="inlineStr">
        <is>
          <t>Verify node exists in IJT namespace with expected NodeClass, BrowseName, and supertype/type references.</t>
        </is>
      </c>
      <c r="F20" s="223" t="inlineStr">
        <is>
          <t>IJT Base NodeSet2.xml</t>
        </is>
      </c>
      <c r="G20" s="223" t="inlineStr">
        <is>
          <t>NodeId=ns=1;i=3019; Supertype/parent=i=22; ModellingRule=not specified</t>
        </is>
      </c>
      <c r="H20" s="223" t="inlineStr">
        <is>
          <t>n</t>
        </is>
      </c>
      <c r="I20" s="223" t="inlineStr">
        <is>
          <t>n</t>
        </is>
      </c>
      <c r="J20" s="223" t="inlineStr"/>
      <c r="K20" s="223" t="inlineStr">
        <is>
          <t>Structural inventory only; behavior, payload values, and optional-feature checks stay in owning CU sheets.</t>
        </is>
      </c>
    </row>
    <row r="21" ht="52" customHeight="1" s="173">
      <c r="A21" s="224" t="inlineStr">
        <is>
          <t>DataType</t>
        </is>
      </c>
      <c r="B21" s="224" t="inlineStr">
        <is>
          <t>TI-18</t>
        </is>
      </c>
      <c r="C21" s="224" t="inlineStr">
        <is>
          <t>UADataType</t>
        </is>
      </c>
      <c r="D21" s="224" t="inlineStr">
        <is>
          <t>StepResultDataType</t>
        </is>
      </c>
      <c r="E21" s="224" t="inlineStr">
        <is>
          <t>Verify node exists in IJT namespace with expected NodeClass, BrowseName, and supertype/type references.</t>
        </is>
      </c>
      <c r="F21" s="224" t="inlineStr">
        <is>
          <t>IJT Base NodeSet2.xml</t>
        </is>
      </c>
      <c r="G21" s="224" t="inlineStr">
        <is>
          <t>NodeId=ns=1;i=3009; Supertype/parent=i=22; ModellingRule=not specified</t>
        </is>
      </c>
      <c r="H21" s="224" t="inlineStr">
        <is>
          <t>n</t>
        </is>
      </c>
      <c r="I21" s="224" t="inlineStr">
        <is>
          <t>n</t>
        </is>
      </c>
      <c r="J21" s="224" t="inlineStr"/>
      <c r="K21" s="224" t="inlineStr">
        <is>
          <t>Structural inventory only; behavior, payload values, and optional-feature checks stay in owning CU sheets.</t>
        </is>
      </c>
    </row>
    <row r="22" ht="52" customHeight="1" s="173">
      <c r="A22" s="223" t="inlineStr">
        <is>
          <t>DataType</t>
        </is>
      </c>
      <c r="B22" s="223" t="inlineStr">
        <is>
          <t>TI-19</t>
        </is>
      </c>
      <c r="C22" s="223" t="inlineStr">
        <is>
          <t>UADataType</t>
        </is>
      </c>
      <c r="D22" s="223" t="inlineStr">
        <is>
          <t>StepTraceDataType</t>
        </is>
      </c>
      <c r="E22" s="223" t="inlineStr">
        <is>
          <t>Verify node exists in IJT namespace with expected NodeClass, BrowseName, and supertype/type references.</t>
        </is>
      </c>
      <c r="F22" s="223" t="inlineStr">
        <is>
          <t>IJT Base NodeSet2.xml</t>
        </is>
      </c>
      <c r="G22" s="223" t="inlineStr">
        <is>
          <t>NodeId=ns=1;i=3013; Supertype/parent=i=22; ModellingRule=not specified</t>
        </is>
      </c>
      <c r="H22" s="223" t="inlineStr">
        <is>
          <t>n</t>
        </is>
      </c>
      <c r="I22" s="223" t="inlineStr">
        <is>
          <t>n</t>
        </is>
      </c>
      <c r="J22" s="223" t="inlineStr"/>
      <c r="K22" s="223" t="inlineStr">
        <is>
          <t>Structural inventory only; behavior, payload values, and optional-feature checks stay in owning CU sheets.</t>
        </is>
      </c>
    </row>
    <row r="23" ht="52" customHeight="1" s="173">
      <c r="A23" s="224" t="inlineStr">
        <is>
          <t>DataType</t>
        </is>
      </c>
      <c r="B23" s="224" t="inlineStr">
        <is>
          <t>TI-20</t>
        </is>
      </c>
      <c r="C23" s="224" t="inlineStr">
        <is>
          <t>UADataType</t>
        </is>
      </c>
      <c r="D23" s="224" t="inlineStr">
        <is>
          <t>TraceContentDataType</t>
        </is>
      </c>
      <c r="E23" s="224" t="inlineStr">
        <is>
          <t>Verify node exists in IJT namespace with expected NodeClass, BrowseName, and supertype/type references.</t>
        </is>
      </c>
      <c r="F23" s="224" t="inlineStr">
        <is>
          <t>IJT Base NodeSet2.xml</t>
        </is>
      </c>
      <c r="G23" s="224" t="inlineStr">
        <is>
          <t>NodeId=ns=1;i=3014; Supertype/parent=i=22; ModellingRule=not specified</t>
        </is>
      </c>
      <c r="H23" s="224" t="inlineStr">
        <is>
          <t>n</t>
        </is>
      </c>
      <c r="I23" s="224" t="inlineStr">
        <is>
          <t>n</t>
        </is>
      </c>
      <c r="J23" s="224" t="inlineStr"/>
      <c r="K23" s="224" t="inlineStr">
        <is>
          <t>Structural inventory only; behavior, payload values, and optional-feature checks stay in owning CU sheets.</t>
        </is>
      </c>
    </row>
    <row r="24" ht="52" customHeight="1" s="173">
      <c r="A24" s="223" t="inlineStr">
        <is>
          <t>DataType</t>
        </is>
      </c>
      <c r="B24" s="223" t="inlineStr">
        <is>
          <t>TI-21</t>
        </is>
      </c>
      <c r="C24" s="223" t="inlineStr">
        <is>
          <t>UADataType</t>
        </is>
      </c>
      <c r="D24" s="223" t="inlineStr">
        <is>
          <t>TraceDataType</t>
        </is>
      </c>
      <c r="E24" s="223" t="inlineStr">
        <is>
          <t>Verify node exists in IJT namespace with expected NodeClass, BrowseName, and supertype/type references.</t>
        </is>
      </c>
      <c r="F24" s="223" t="inlineStr">
        <is>
          <t>IJT Base NodeSet2.xml</t>
        </is>
      </c>
      <c r="G24" s="223" t="inlineStr">
        <is>
          <t>NodeId=ns=1;i=3011; Supertype/parent=i=22; ModellingRule=not specified</t>
        </is>
      </c>
      <c r="H24" s="223" t="inlineStr">
        <is>
          <t>n</t>
        </is>
      </c>
      <c r="I24" s="223" t="inlineStr">
        <is>
          <t>n</t>
        </is>
      </c>
      <c r="J24" s="223" t="inlineStr"/>
      <c r="K24" s="223" t="inlineStr">
        <is>
          <t>Structural inventory only; behavior, payload values, and optional-feature checks stay in owning CU sheets.</t>
        </is>
      </c>
    </row>
    <row r="25" ht="52" customHeight="1" s="173">
      <c r="A25" s="224" t="inlineStr">
        <is>
          <t>DataType</t>
        </is>
      </c>
      <c r="B25" s="224" t="inlineStr">
        <is>
          <t>TI-22</t>
        </is>
      </c>
      <c r="C25" s="224" t="inlineStr">
        <is>
          <t>UADataType</t>
        </is>
      </c>
      <c r="D25" s="224" t="inlineStr">
        <is>
          <t>JoiningTraceDataType</t>
        </is>
      </c>
      <c r="E25" s="224" t="inlineStr">
        <is>
          <t>Verify node exists in IJT namespace with expected NodeClass, BrowseName, and supertype/type references.</t>
        </is>
      </c>
      <c r="F25" s="224" t="inlineStr">
        <is>
          <t>IJT Base NodeSet2.xml</t>
        </is>
      </c>
      <c r="G25" s="224" t="inlineStr">
        <is>
          <t>NodeId=ns=1;i=3012; Supertype/parent=ns=1;i=3011; ModellingRule=not specified</t>
        </is>
      </c>
      <c r="H25" s="224" t="inlineStr">
        <is>
          <t>n</t>
        </is>
      </c>
      <c r="I25" s="224" t="inlineStr">
        <is>
          <t>n</t>
        </is>
      </c>
      <c r="J25" s="224" t="inlineStr"/>
      <c r="K25" s="224" t="inlineStr">
        <is>
          <t>Structural inventory only; behavior, payload values, and optional-feature checks stay in owning CU sheets.</t>
        </is>
      </c>
    </row>
    <row r="26" ht="52" customHeight="1" s="173">
      <c r="A26" s="223" t="inlineStr">
        <is>
          <t>VariableType</t>
        </is>
      </c>
      <c r="B26" s="223" t="inlineStr">
        <is>
          <t>TI-23</t>
        </is>
      </c>
      <c r="C26" s="223" t="inlineStr">
        <is>
          <t>UAVariableType</t>
        </is>
      </c>
      <c r="D26" s="223" t="inlineStr">
        <is>
          <t>JoiningDataVariableType</t>
        </is>
      </c>
      <c r="E26" s="223" t="inlineStr">
        <is>
          <t>Verify node exists in IJT namespace with expected NodeClass, BrowseName, and supertype/type references.</t>
        </is>
      </c>
      <c r="F26" s="223" t="inlineStr">
        <is>
          <t>IJT Base NodeSet2.xml</t>
        </is>
      </c>
      <c r="G26" s="223" t="inlineStr">
        <is>
          <t>NodeId=ns=1;i=2011; Supertype/parent=i=63; ModellingRule=not specified</t>
        </is>
      </c>
      <c r="H26" s="223" t="inlineStr">
        <is>
          <t>n</t>
        </is>
      </c>
      <c r="I26" s="223" t="inlineStr">
        <is>
          <t>n</t>
        </is>
      </c>
      <c r="J26" s="223" t="inlineStr"/>
      <c r="K26" s="223" t="inlineStr">
        <is>
          <t>Structural inventory only; behavior, payload values, and optional-feature checks stay in owning CU sheets.</t>
        </is>
      </c>
    </row>
    <row r="27" ht="52" customHeight="1" s="173">
      <c r="A27" s="224" t="inlineStr">
        <is>
          <t>VariableType</t>
        </is>
      </c>
      <c r="B27" s="224" t="inlineStr">
        <is>
          <t>TI-24</t>
        </is>
      </c>
      <c r="C27" s="224" t="inlineStr">
        <is>
          <t>UAVariableType</t>
        </is>
      </c>
      <c r="D27" s="224" t="inlineStr">
        <is>
          <t>JoiningSystemEventContentType</t>
        </is>
      </c>
      <c r="E27" s="224" t="inlineStr">
        <is>
          <t>Verify node exists in IJT namespace with expected NodeClass, BrowseName, and supertype/type references.</t>
        </is>
      </c>
      <c r="F27" s="224" t="inlineStr">
        <is>
          <t>IJT Base NodeSet2.xml</t>
        </is>
      </c>
      <c r="G27" s="224" t="inlineStr">
        <is>
          <t>NodeId=ns=1;i=2008; Supertype/parent=i=63; ModellingRule=not specified</t>
        </is>
      </c>
      <c r="H27" s="224" t="inlineStr">
        <is>
          <t>n</t>
        </is>
      </c>
      <c r="I27" s="224" t="inlineStr">
        <is>
          <t>n</t>
        </is>
      </c>
      <c r="J27" s="224" t="inlineStr"/>
      <c r="K27" s="224" t="inlineStr">
        <is>
          <t>Structural inventory only; behavior, payload values, and optional-feature checks stay in owning CU sheets.</t>
        </is>
      </c>
    </row>
    <row r="28" ht="52" customHeight="1" s="173">
      <c r="A28" s="223" t="inlineStr">
        <is>
          <t>VariableType</t>
        </is>
      </c>
      <c r="B28" s="223" t="inlineStr">
        <is>
          <t>TI-25</t>
        </is>
      </c>
      <c r="C28" s="223" t="inlineStr">
        <is>
          <t>UAVariableType</t>
        </is>
      </c>
      <c r="D28" s="223" t="inlineStr">
        <is>
          <t>JoiningSystemResultType</t>
        </is>
      </c>
      <c r="E28" s="223" t="inlineStr">
        <is>
          <t>Verify node exists in IJT namespace with expected NodeClass, BrowseName, and supertype/type references.</t>
        </is>
      </c>
      <c r="F28" s="223" t="inlineStr">
        <is>
          <t>IJT Base NodeSet2.xml</t>
        </is>
      </c>
      <c r="G28" s="223" t="inlineStr">
        <is>
          <t>NodeId=ns=1;i=2014; Supertype/parent=MachineryResult:ResultType (i=2001); ModellingRule=not specified</t>
        </is>
      </c>
      <c r="H28" s="223" t="inlineStr">
        <is>
          <t>n</t>
        </is>
      </c>
      <c r="I28" s="223" t="inlineStr">
        <is>
          <t>n</t>
        </is>
      </c>
      <c r="J28" s="223" t="inlineStr"/>
      <c r="K28" s="223" t="inlineStr">
        <is>
          <t>Structural inventory only; behavior, payload values, and optional-feature checks stay in owning CU sheets.</t>
        </is>
      </c>
    </row>
    <row r="29" ht="52" customHeight="1" s="173">
      <c r="A29" s="224" t="inlineStr">
        <is>
          <t>ObjectType structural</t>
        </is>
      </c>
      <c r="B29" s="224" t="inlineStr">
        <is>
          <t>TI-26</t>
        </is>
      </c>
      <c r="C29" s="224" t="inlineStr">
        <is>
          <t>UAObjectType</t>
        </is>
      </c>
      <c r="D29" s="224" t="inlineStr">
        <is>
          <t>AcceptedEntityConditionClassType</t>
        </is>
      </c>
      <c r="E29" s="224" t="inlineStr">
        <is>
          <t>Verify structural type exists with NodeClass=ObjectType and expected supertype; behavior remains in owning CU sheet.</t>
        </is>
      </c>
      <c r="F29" s="224" t="inlineStr">
        <is>
          <t>IJT Base NodeSet2.xml</t>
        </is>
      </c>
      <c r="G29" s="224" t="inlineStr">
        <is>
          <t>NodeId=ns=1;i=1090; Supertype/parent=i=11163; ModellingRule=not specified</t>
        </is>
      </c>
      <c r="H29" s="224" t="inlineStr">
        <is>
          <t>n</t>
        </is>
      </c>
      <c r="I29" s="224" t="inlineStr">
        <is>
          <t>n</t>
        </is>
      </c>
      <c r="J29" s="224" t="inlineStr"/>
      <c r="K29" s="224" t="inlineStr">
        <is>
          <t>Structural inventory only; behavior, payload values, and optional-feature checks stay in owning CU sheets.</t>
        </is>
      </c>
    </row>
    <row r="30" ht="52" customHeight="1" s="173">
      <c r="A30" s="223" t="inlineStr">
        <is>
          <t>ObjectType structural</t>
        </is>
      </c>
      <c r="B30" s="223" t="inlineStr">
        <is>
          <t>TI-27</t>
        </is>
      </c>
      <c r="C30" s="223" t="inlineStr">
        <is>
          <t>UAObjectType</t>
        </is>
      </c>
      <c r="D30" s="223" t="inlineStr">
        <is>
          <t>AddedEntityConditionClassType</t>
        </is>
      </c>
      <c r="E30" s="223" t="inlineStr">
        <is>
          <t>Verify structural type exists with NodeClass=ObjectType and expected supertype; behavior remains in owning CU sheet.</t>
        </is>
      </c>
      <c r="F30" s="223" t="inlineStr">
        <is>
          <t>IJT Base NodeSet2.xml</t>
        </is>
      </c>
      <c r="G30" s="223" t="inlineStr">
        <is>
          <t>NodeId=ns=1;i=1096; Supertype/parent=i=11163; ModellingRule=not specified</t>
        </is>
      </c>
      <c r="H30" s="223" t="inlineStr">
        <is>
          <t>n</t>
        </is>
      </c>
      <c r="I30" s="223" t="inlineStr">
        <is>
          <t>n</t>
        </is>
      </c>
      <c r="J30" s="223" t="inlineStr"/>
      <c r="K30" s="223" t="inlineStr">
        <is>
          <t>Structural inventory only; behavior, payload values, and optional-feature checks stay in owning CU sheets.</t>
        </is>
      </c>
    </row>
    <row r="31" ht="52" customHeight="1" s="173">
      <c r="A31" s="224" t="inlineStr">
        <is>
          <t>ObjectType structural</t>
        </is>
      </c>
      <c r="B31" s="224" t="inlineStr">
        <is>
          <t>TI-28</t>
        </is>
      </c>
      <c r="C31" s="224" t="inlineStr">
        <is>
          <t>UAObjectType</t>
        </is>
      </c>
      <c r="D31" s="224" t="inlineStr">
        <is>
          <t>AssetConnectedConditionClassType</t>
        </is>
      </c>
      <c r="E31" s="224" t="inlineStr">
        <is>
          <t>Verify structural type exists with NodeClass=ObjectType and expected supertype; behavior remains in owning CU sheet.</t>
        </is>
      </c>
      <c r="F31" s="224" t="inlineStr">
        <is>
          <t>IJT Base NodeSet2.xml</t>
        </is>
      </c>
      <c r="G31" s="224" t="inlineStr">
        <is>
          <t>NodeId=ns=1;i=1018; Supertype/parent=i=11163; ModellingRule=not specified</t>
        </is>
      </c>
      <c r="H31" s="224" t="inlineStr">
        <is>
          <t>n</t>
        </is>
      </c>
      <c r="I31" s="224" t="inlineStr">
        <is>
          <t>n</t>
        </is>
      </c>
      <c r="J31" s="224" t="inlineStr"/>
      <c r="K31" s="224" t="inlineStr">
        <is>
          <t>Structural inventory only; behavior, payload values, and optional-feature checks stay in owning CU sheets.</t>
        </is>
      </c>
    </row>
    <row r="32" ht="52" customHeight="1" s="173">
      <c r="A32" s="223" t="inlineStr">
        <is>
          <t>ObjectType structural</t>
        </is>
      </c>
      <c r="B32" s="223" t="inlineStr">
        <is>
          <t>TI-29</t>
        </is>
      </c>
      <c r="C32" s="223" t="inlineStr">
        <is>
          <t>UAObjectType</t>
        </is>
      </c>
      <c r="D32" s="223" t="inlineStr">
        <is>
          <t>AssetDisabledConditionClassType</t>
        </is>
      </c>
      <c r="E32" s="223" t="inlineStr">
        <is>
          <t>Verify structural type exists with NodeClass=ObjectType and expected supertype; behavior remains in owning CU sheet.</t>
        </is>
      </c>
      <c r="F32" s="223" t="inlineStr">
        <is>
          <t>IJT Base NodeSet2.xml</t>
        </is>
      </c>
      <c r="G32" s="223" t="inlineStr">
        <is>
          <t>NodeId=ns=1;i=1027; Supertype/parent=i=11163; ModellingRule=not specified</t>
        </is>
      </c>
      <c r="H32" s="223" t="inlineStr">
        <is>
          <t>n</t>
        </is>
      </c>
      <c r="I32" s="223" t="inlineStr">
        <is>
          <t>n</t>
        </is>
      </c>
      <c r="J32" s="223" t="inlineStr"/>
      <c r="K32" s="223" t="inlineStr">
        <is>
          <t>Structural inventory only; behavior, payload values, and optional-feature checks stay in owning CU sheets.</t>
        </is>
      </c>
    </row>
    <row r="33" ht="52" customHeight="1" s="173">
      <c r="A33" s="224" t="inlineStr">
        <is>
          <t>ObjectType structural</t>
        </is>
      </c>
      <c r="B33" s="224" t="inlineStr">
        <is>
          <t>TI-30</t>
        </is>
      </c>
      <c r="C33" s="224" t="inlineStr">
        <is>
          <t>UAObjectType</t>
        </is>
      </c>
      <c r="D33" s="224" t="inlineStr">
        <is>
          <t>AssetDisconnectedConditionClassType</t>
        </is>
      </c>
      <c r="E33" s="224" t="inlineStr">
        <is>
          <t>Verify structural type exists with NodeClass=ObjectType and expected supertype; behavior remains in owning CU sheet.</t>
        </is>
      </c>
      <c r="F33" s="224" t="inlineStr">
        <is>
          <t>IJT Base NodeSet2.xml</t>
        </is>
      </c>
      <c r="G33" s="224" t="inlineStr">
        <is>
          <t>NodeId=ns=1;i=1021; Supertype/parent=i=11163; ModellingRule=not specified</t>
        </is>
      </c>
      <c r="H33" s="224" t="inlineStr">
        <is>
          <t>n</t>
        </is>
      </c>
      <c r="I33" s="224" t="inlineStr">
        <is>
          <t>n</t>
        </is>
      </c>
      <c r="J33" s="224" t="inlineStr"/>
      <c r="K33" s="224" t="inlineStr">
        <is>
          <t>Structural inventory only; behavior, payload values, and optional-feature checks stay in owning CU sheets.</t>
        </is>
      </c>
    </row>
    <row r="34" ht="52" customHeight="1" s="173">
      <c r="A34" s="223" t="inlineStr">
        <is>
          <t>ObjectType structural</t>
        </is>
      </c>
      <c r="B34" s="223" t="inlineStr">
        <is>
          <t>TI-31</t>
        </is>
      </c>
      <c r="C34" s="223" t="inlineStr">
        <is>
          <t>UAObjectType</t>
        </is>
      </c>
      <c r="D34" s="223" t="inlineStr">
        <is>
          <t>AssetEnabledConditionClassType</t>
        </is>
      </c>
      <c r="E34" s="223" t="inlineStr">
        <is>
          <t>Verify structural type exists with NodeClass=ObjectType and expected supertype; behavior remains in owning CU sheet.</t>
        </is>
      </c>
      <c r="F34" s="223" t="inlineStr">
        <is>
          <t>IJT Base NodeSet2.xml</t>
        </is>
      </c>
      <c r="G34" s="223" t="inlineStr">
        <is>
          <t>NodeId=ns=1;i=1024; Supertype/parent=i=11163; ModellingRule=not specified</t>
        </is>
      </c>
      <c r="H34" s="223" t="inlineStr">
        <is>
          <t>n</t>
        </is>
      </c>
      <c r="I34" s="223" t="inlineStr">
        <is>
          <t>n</t>
        </is>
      </c>
      <c r="J34" s="223" t="inlineStr"/>
      <c r="K34" s="223" t="inlineStr">
        <is>
          <t>Structural inventory only; behavior, payload values, and optional-feature checks stay in owning CU sheets.</t>
        </is>
      </c>
    </row>
    <row r="35" ht="52" customHeight="1" s="173">
      <c r="A35" s="224" t="inlineStr">
        <is>
          <t>ObjectType structural</t>
        </is>
      </c>
      <c r="B35" s="224" t="inlineStr">
        <is>
          <t>TI-32</t>
        </is>
      </c>
      <c r="C35" s="224" t="inlineStr">
        <is>
          <t>UAObjectType</t>
        </is>
      </c>
      <c r="D35" s="224" t="inlineStr">
        <is>
          <t>AssetLocationConditionClassType</t>
        </is>
      </c>
      <c r="E35" s="224" t="inlineStr">
        <is>
          <t>Verify structural type exists with NodeClass=ObjectType and expected supertype; behavior remains in owning CU sheet.</t>
        </is>
      </c>
      <c r="F35" s="224" t="inlineStr">
        <is>
          <t>IJT Base NodeSet2.xml</t>
        </is>
      </c>
      <c r="G35" s="224" t="inlineStr">
        <is>
          <t>NodeId=ns=1;i=1048; Supertype/parent=i=11163; ModellingRule=not specified</t>
        </is>
      </c>
      <c r="H35" s="224" t="inlineStr">
        <is>
          <t>n</t>
        </is>
      </c>
      <c r="I35" s="224" t="inlineStr">
        <is>
          <t>n</t>
        </is>
      </c>
      <c r="J35" s="224" t="inlineStr"/>
      <c r="K35" s="224" t="inlineStr">
        <is>
          <t>Structural inventory only; behavior, payload values, and optional-feature checks stay in owning CU sheets.</t>
        </is>
      </c>
    </row>
    <row r="36" ht="52" customHeight="1" s="173">
      <c r="A36" s="223" t="inlineStr">
        <is>
          <t>ObjectType structural</t>
        </is>
      </c>
      <c r="B36" s="223" t="inlineStr">
        <is>
          <t>TI-33</t>
        </is>
      </c>
      <c r="C36" s="223" t="inlineStr">
        <is>
          <t>UAObjectType</t>
        </is>
      </c>
      <c r="D36" s="223" t="inlineStr">
        <is>
          <t>CertificateConditionClassType</t>
        </is>
      </c>
      <c r="E36" s="223" t="inlineStr">
        <is>
          <t>Verify structural type exists with NodeClass=ObjectType and expected supertype; behavior remains in owning CU sheet.</t>
        </is>
      </c>
      <c r="F36" s="223" t="inlineStr">
        <is>
          <t>IJT Base NodeSet2.xml</t>
        </is>
      </c>
      <c r="G36" s="223" t="inlineStr">
        <is>
          <t>NodeId=ns=1;i=1072; Supertype/parent=i=11163; ModellingRule=not specified</t>
        </is>
      </c>
      <c r="H36" s="223" t="inlineStr">
        <is>
          <t>n</t>
        </is>
      </c>
      <c r="I36" s="223" t="inlineStr">
        <is>
          <t>n</t>
        </is>
      </c>
      <c r="J36" s="223" t="inlineStr"/>
      <c r="K36" s="223" t="inlineStr">
        <is>
          <t>Structural inventory only; behavior, payload values, and optional-feature checks stay in owning CU sheets.</t>
        </is>
      </c>
    </row>
    <row r="37" ht="52" customHeight="1" s="173">
      <c r="A37" s="224" t="inlineStr">
        <is>
          <t>ObjectType structural</t>
        </is>
      </c>
      <c r="B37" s="224" t="inlineStr">
        <is>
          <t>TI-34</t>
        </is>
      </c>
      <c r="C37" s="224" t="inlineStr">
        <is>
          <t>UAObjectType</t>
        </is>
      </c>
      <c r="D37" s="224" t="inlineStr">
        <is>
          <t>ConfigurationChangeConditionClassType</t>
        </is>
      </c>
      <c r="E37" s="224" t="inlineStr">
        <is>
          <t>Verify structural type exists with NodeClass=ObjectType and expected supertype; behavior remains in owning CU sheet.</t>
        </is>
      </c>
      <c r="F37" s="224" t="inlineStr">
        <is>
          <t>IJT Base NodeSet2.xml</t>
        </is>
      </c>
      <c r="G37" s="224" t="inlineStr">
        <is>
          <t>NodeId=ns=1;i=1030; Supertype/parent=i=11163; ModellingRule=not specified</t>
        </is>
      </c>
      <c r="H37" s="224" t="inlineStr">
        <is>
          <t>n</t>
        </is>
      </c>
      <c r="I37" s="224" t="inlineStr">
        <is>
          <t>n</t>
        </is>
      </c>
      <c r="J37" s="224" t="inlineStr"/>
      <c r="K37" s="224" t="inlineStr">
        <is>
          <t>Structural inventory only; behavior, payload values, and optional-feature checks stay in owning CU sheets.</t>
        </is>
      </c>
    </row>
    <row r="38" ht="52" customHeight="1" s="173">
      <c r="A38" s="223" t="inlineStr">
        <is>
          <t>ObjectType structural</t>
        </is>
      </c>
      <c r="B38" s="223" t="inlineStr">
        <is>
          <t>TI-35</t>
        </is>
      </c>
      <c r="C38" s="223" t="inlineStr">
        <is>
          <t>UAObjectType</t>
        </is>
      </c>
      <c r="D38" s="223" t="inlineStr">
        <is>
          <t>DataValidationFailureConditionClassType</t>
        </is>
      </c>
      <c r="E38" s="223" t="inlineStr">
        <is>
          <t>Verify structural type exists with NodeClass=ObjectType and expected supertype; behavior remains in owning CU sheet.</t>
        </is>
      </c>
      <c r="F38" s="223" t="inlineStr">
        <is>
          <t>IJT Base NodeSet2.xml</t>
        </is>
      </c>
      <c r="G38" s="223" t="inlineStr">
        <is>
          <t>NodeId=ns=1;i=1057; Supertype/parent=i=11163; ModellingRule=not specified</t>
        </is>
      </c>
      <c r="H38" s="223" t="inlineStr">
        <is>
          <t>n</t>
        </is>
      </c>
      <c r="I38" s="223" t="inlineStr">
        <is>
          <t>n</t>
        </is>
      </c>
      <c r="J38" s="223" t="inlineStr"/>
      <c r="K38" s="223" t="inlineStr">
        <is>
          <t>Structural inventory only; behavior, payload values, and optional-feature checks stay in owning CU sheets.</t>
        </is>
      </c>
    </row>
    <row r="39" ht="52" customHeight="1" s="173">
      <c r="A39" s="224" t="inlineStr">
        <is>
          <t>ObjectType structural</t>
        </is>
      </c>
      <c r="B39" s="224" t="inlineStr">
        <is>
          <t>TI-36</t>
        </is>
      </c>
      <c r="C39" s="224" t="inlineStr">
        <is>
          <t>UAObjectType</t>
        </is>
      </c>
      <c r="D39" s="224" t="inlineStr">
        <is>
          <t>EntityExpiryWarningConditionClassType</t>
        </is>
      </c>
      <c r="E39" s="224" t="inlineStr">
        <is>
          <t>Verify structural type exists with NodeClass=ObjectType and expected supertype; behavior remains in owning CU sheet.</t>
        </is>
      </c>
      <c r="F39" s="224" t="inlineStr">
        <is>
          <t>IJT Base NodeSet2.xml</t>
        </is>
      </c>
      <c r="G39" s="224" t="inlineStr">
        <is>
          <t>NodeId=ns=1;i=1034; Supertype/parent=i=11163; ModellingRule=not specified</t>
        </is>
      </c>
      <c r="H39" s="224" t="inlineStr">
        <is>
          <t>n</t>
        </is>
      </c>
      <c r="I39" s="224" t="inlineStr">
        <is>
          <t>n</t>
        </is>
      </c>
      <c r="J39" s="224" t="inlineStr"/>
      <c r="K39" s="224" t="inlineStr">
        <is>
          <t>Structural inventory only; behavior, payload values, and optional-feature checks stay in owning CU sheets.</t>
        </is>
      </c>
    </row>
    <row r="40" ht="52" customHeight="1" s="173">
      <c r="A40" s="223" t="inlineStr">
        <is>
          <t>ObjectType structural</t>
        </is>
      </c>
      <c r="B40" s="223" t="inlineStr">
        <is>
          <t>TI-37</t>
        </is>
      </c>
      <c r="C40" s="223" t="inlineStr">
        <is>
          <t>UAObjectType</t>
        </is>
      </c>
      <c r="D40" s="223" t="inlineStr">
        <is>
          <t>ErrorConditionClassType</t>
        </is>
      </c>
      <c r="E40" s="223" t="inlineStr">
        <is>
          <t>Verify structural type exists with NodeClass=ObjectType and expected supertype; behavior remains in owning CU sheet.</t>
        </is>
      </c>
      <c r="F40" s="223" t="inlineStr">
        <is>
          <t>IJT Base NodeSet2.xml</t>
        </is>
      </c>
      <c r="G40" s="223" t="inlineStr">
        <is>
          <t>NodeId=ns=1;i=1063; Supertype/parent=i=11163; ModellingRule=not specified</t>
        </is>
      </c>
      <c r="H40" s="223" t="inlineStr">
        <is>
          <t>n</t>
        </is>
      </c>
      <c r="I40" s="223" t="inlineStr">
        <is>
          <t>n</t>
        </is>
      </c>
      <c r="J40" s="223" t="inlineStr"/>
      <c r="K40" s="223" t="inlineStr">
        <is>
          <t>Structural inventory only; behavior, payload values, and optional-feature checks stay in owning CU sheets.</t>
        </is>
      </c>
    </row>
    <row r="41" ht="52" customHeight="1" s="173">
      <c r="A41" s="224" t="inlineStr">
        <is>
          <t>ObjectType structural</t>
        </is>
      </c>
      <c r="B41" s="224" t="inlineStr">
        <is>
          <t>TI-38</t>
        </is>
      </c>
      <c r="C41" s="224" t="inlineStr">
        <is>
          <t>UAObjectType</t>
        </is>
      </c>
      <c r="D41" s="224" t="inlineStr">
        <is>
          <t>ExpiredEntityConditionClassType</t>
        </is>
      </c>
      <c r="E41" s="224" t="inlineStr">
        <is>
          <t>Verify structural type exists with NodeClass=ObjectType and expected supertype; behavior remains in owning CU sheet.</t>
        </is>
      </c>
      <c r="F41" s="224" t="inlineStr">
        <is>
          <t>IJT Base NodeSet2.xml</t>
        </is>
      </c>
      <c r="G41" s="224" t="inlineStr">
        <is>
          <t>NodeId=ns=1;i=1081; Supertype/parent=i=11163; ModellingRule=not specified</t>
        </is>
      </c>
      <c r="H41" s="224" t="inlineStr">
        <is>
          <t>n</t>
        </is>
      </c>
      <c r="I41" s="224" t="inlineStr">
        <is>
          <t>n</t>
        </is>
      </c>
      <c r="J41" s="224" t="inlineStr"/>
      <c r="K41" s="224" t="inlineStr">
        <is>
          <t>Structural inventory only; behavior, payload values, and optional-feature checks stay in owning CU sheets.</t>
        </is>
      </c>
    </row>
    <row r="42" ht="52" customHeight="1" s="173">
      <c r="A42" s="223" t="inlineStr">
        <is>
          <t>ObjectType structural</t>
        </is>
      </c>
      <c r="B42" s="223" t="inlineStr">
        <is>
          <t>TI-39</t>
        </is>
      </c>
      <c r="C42" s="223" t="inlineStr">
        <is>
          <t>UAObjectType</t>
        </is>
      </c>
      <c r="D42" s="223" t="inlineStr">
        <is>
          <t>HardwareConditionClassType</t>
        </is>
      </c>
      <c r="E42" s="223" t="inlineStr">
        <is>
          <t>Verify structural type exists with NodeClass=ObjectType and expected supertype; behavior remains in owning CU sheet.</t>
        </is>
      </c>
      <c r="F42" s="223" t="inlineStr">
        <is>
          <t>IJT Base NodeSet2.xml</t>
        </is>
      </c>
      <c r="G42" s="223" t="inlineStr">
        <is>
          <t>NodeId=ns=1;i=1069; Supertype/parent=i=11163; ModellingRule=not specified</t>
        </is>
      </c>
      <c r="H42" s="223" t="inlineStr">
        <is>
          <t>n</t>
        </is>
      </c>
      <c r="I42" s="223" t="inlineStr">
        <is>
          <t>n</t>
        </is>
      </c>
      <c r="J42" s="223" t="inlineStr"/>
      <c r="K42" s="223" t="inlineStr">
        <is>
          <t>Structural inventory only; behavior, payload values, and optional-feature checks stay in owning CU sheets.</t>
        </is>
      </c>
    </row>
    <row r="43" ht="52" customHeight="1" s="173">
      <c r="A43" s="224" t="inlineStr">
        <is>
          <t>ObjectType structural</t>
        </is>
      </c>
      <c r="B43" s="224" t="inlineStr">
        <is>
          <t>TI-40</t>
        </is>
      </c>
      <c r="C43" s="224" t="inlineStr">
        <is>
          <t>UAObjectType</t>
        </is>
      </c>
      <c r="D43" s="224" t="inlineStr">
        <is>
          <t>IncompatibleEntityConditionClassType</t>
        </is>
      </c>
      <c r="E43" s="224" t="inlineStr">
        <is>
          <t>Verify structural type exists with NodeClass=ObjectType and expected supertype; behavior remains in owning CU sheet.</t>
        </is>
      </c>
      <c r="F43" s="224" t="inlineStr">
        <is>
          <t>IJT Base NodeSet2.xml</t>
        </is>
      </c>
      <c r="G43" s="224" t="inlineStr">
        <is>
          <t>NodeId=ns=1;i=1087; Supertype/parent=i=11163; ModellingRule=not specified</t>
        </is>
      </c>
      <c r="H43" s="224" t="inlineStr">
        <is>
          <t>n</t>
        </is>
      </c>
      <c r="I43" s="224" t="inlineStr">
        <is>
          <t>n</t>
        </is>
      </c>
      <c r="J43" s="224" t="inlineStr"/>
      <c r="K43" s="224" t="inlineStr">
        <is>
          <t>Structural inventory only; behavior, payload values, and optional-feature checks stay in owning CU sheets.</t>
        </is>
      </c>
    </row>
    <row r="44" ht="52" customHeight="1" s="173">
      <c r="A44" s="223" t="inlineStr">
        <is>
          <t>ObjectType structural</t>
        </is>
      </c>
      <c r="B44" s="223" t="inlineStr">
        <is>
          <t>TI-41</t>
        </is>
      </c>
      <c r="C44" s="223" t="inlineStr">
        <is>
          <t>UAObjectType</t>
        </is>
      </c>
      <c r="D44" s="223" t="inlineStr">
        <is>
          <t>InputValidationFailureConditionClassType</t>
        </is>
      </c>
      <c r="E44" s="223" t="inlineStr">
        <is>
          <t>Verify structural type exists with NodeClass=ObjectType and expected supertype; behavior remains in owning CU sheet.</t>
        </is>
      </c>
      <c r="F44" s="223" t="inlineStr">
        <is>
          <t>IJT Base NodeSet2.xml</t>
        </is>
      </c>
      <c r="G44" s="223" t="inlineStr">
        <is>
          <t>NodeId=ns=1;i=1060; Supertype/parent=i=11163; ModellingRule=not specified</t>
        </is>
      </c>
      <c r="H44" s="223" t="inlineStr">
        <is>
          <t>n</t>
        </is>
      </c>
      <c r="I44" s="223" t="inlineStr">
        <is>
          <t>n</t>
        </is>
      </c>
      <c r="J44" s="223" t="inlineStr"/>
      <c r="K44" s="223" t="inlineStr">
        <is>
          <t>Structural inventory only; behavior, payload values, and optional-feature checks stay in owning CU sheets.</t>
        </is>
      </c>
    </row>
    <row r="45" ht="52" customHeight="1" s="173">
      <c r="A45" s="224" t="inlineStr">
        <is>
          <t>ObjectType structural</t>
        </is>
      </c>
      <c r="B45" s="224" t="inlineStr">
        <is>
          <t>TI-42</t>
        </is>
      </c>
      <c r="C45" s="224" t="inlineStr">
        <is>
          <t>UAObjectType</t>
        </is>
      </c>
      <c r="D45" s="224" t="inlineStr">
        <is>
          <t>InvalidEntityConditionClassType</t>
        </is>
      </c>
      <c r="E45" s="224" t="inlineStr">
        <is>
          <t>Verify structural type exists with NodeClass=ObjectType and expected supertype; behavior remains in owning CU sheet.</t>
        </is>
      </c>
      <c r="F45" s="224" t="inlineStr">
        <is>
          <t>IJT Base NodeSet2.xml</t>
        </is>
      </c>
      <c r="G45" s="224" t="inlineStr">
        <is>
          <t>NodeId=ns=1;i=1084; Supertype/parent=i=11163; ModellingRule=not specified</t>
        </is>
      </c>
      <c r="H45" s="224" t="inlineStr">
        <is>
          <t>n</t>
        </is>
      </c>
      <c r="I45" s="224" t="inlineStr">
        <is>
          <t>n</t>
        </is>
      </c>
      <c r="J45" s="224" t="inlineStr"/>
      <c r="K45" s="224" t="inlineStr">
        <is>
          <t>Structural inventory only; behavior, payload values, and optional-feature checks stay in owning CU sheets.</t>
        </is>
      </c>
    </row>
    <row r="46" ht="52" customHeight="1" s="173">
      <c r="A46" s="223" t="inlineStr">
        <is>
          <t>ObjectType structural</t>
        </is>
      </c>
      <c r="B46" s="223" t="inlineStr">
        <is>
          <t>TI-43</t>
        </is>
      </c>
      <c r="C46" s="223" t="inlineStr">
        <is>
          <t>UAObjectType</t>
        </is>
      </c>
      <c r="D46" s="223" t="inlineStr">
        <is>
          <t>JoiningSystemUserLoggedInConditionClassType</t>
        </is>
      </c>
      <c r="E46" s="223" t="inlineStr">
        <is>
          <t>Verify structural type exists with NodeClass=ObjectType and expected supertype; behavior remains in owning CU sheet.</t>
        </is>
      </c>
      <c r="F46" s="223" t="inlineStr">
        <is>
          <t>IJT Base NodeSet2.xml</t>
        </is>
      </c>
      <c r="G46" s="223" t="inlineStr">
        <is>
          <t>NodeId=ns=1;i=1039; Supertype/parent=i=11163; ModellingRule=not specified</t>
        </is>
      </c>
      <c r="H46" s="223" t="inlineStr">
        <is>
          <t>n</t>
        </is>
      </c>
      <c r="I46" s="223" t="inlineStr">
        <is>
          <t>n</t>
        </is>
      </c>
      <c r="J46" s="223" t="inlineStr"/>
      <c r="K46" s="223" t="inlineStr">
        <is>
          <t>Structural inventory only; behavior, payload values, and optional-feature checks stay in owning CU sheets.</t>
        </is>
      </c>
    </row>
    <row r="47" ht="52" customHeight="1" s="173">
      <c r="A47" s="224" t="inlineStr">
        <is>
          <t>ObjectType structural</t>
        </is>
      </c>
      <c r="B47" s="224" t="inlineStr">
        <is>
          <t>TI-44</t>
        </is>
      </c>
      <c r="C47" s="224" t="inlineStr">
        <is>
          <t>UAObjectType</t>
        </is>
      </c>
      <c r="D47" s="224" t="inlineStr">
        <is>
          <t>JoiningSystemUserLoggedOutConditionClassType</t>
        </is>
      </c>
      <c r="E47" s="224" t="inlineStr">
        <is>
          <t>Verify structural type exists with NodeClass=ObjectType and expected supertype; behavior remains in owning CU sheet.</t>
        </is>
      </c>
      <c r="F47" s="224" t="inlineStr">
        <is>
          <t>IJT Base NodeSet2.xml</t>
        </is>
      </c>
      <c r="G47" s="224" t="inlineStr">
        <is>
          <t>NodeId=ns=1;i=1042; Supertype/parent=i=11163; ModellingRule=not specified</t>
        </is>
      </c>
      <c r="H47" s="224" t="inlineStr">
        <is>
          <t>n</t>
        </is>
      </c>
      <c r="I47" s="224" t="inlineStr">
        <is>
          <t>n</t>
        </is>
      </c>
      <c r="J47" s="224" t="inlineStr"/>
      <c r="K47" s="224" t="inlineStr">
        <is>
          <t>Structural inventory only; behavior, payload values, and optional-feature checks stay in owning CU sheets.</t>
        </is>
      </c>
    </row>
    <row r="48" ht="52" customHeight="1" s="173">
      <c r="A48" s="223" t="inlineStr">
        <is>
          <t>ObjectType structural</t>
        </is>
      </c>
      <c r="B48" s="223" t="inlineStr">
        <is>
          <t>TI-45</t>
        </is>
      </c>
      <c r="C48" s="223" t="inlineStr">
        <is>
          <t>UAObjectType</t>
        </is>
      </c>
      <c r="D48" s="223" t="inlineStr">
        <is>
          <t>LicenseConditionClassType</t>
        </is>
      </c>
      <c r="E48" s="223" t="inlineStr">
        <is>
          <t>Verify structural type exists with NodeClass=ObjectType and expected supertype; behavior remains in owning CU sheet.</t>
        </is>
      </c>
      <c r="F48" s="223" t="inlineStr">
        <is>
          <t>IJT Base NodeSet2.xml</t>
        </is>
      </c>
      <c r="G48" s="223" t="inlineStr">
        <is>
          <t>NodeId=ns=1;i=1075; Supertype/parent=i=11163; ModellingRule=not specified</t>
        </is>
      </c>
      <c r="H48" s="223" t="inlineStr">
        <is>
          <t>n</t>
        </is>
      </c>
      <c r="I48" s="223" t="inlineStr">
        <is>
          <t>n</t>
        </is>
      </c>
      <c r="J48" s="223" t="inlineStr"/>
      <c r="K48" s="223" t="inlineStr">
        <is>
          <t>Structural inventory only; behavior, payload values, and optional-feature checks stay in owning CU sheets.</t>
        </is>
      </c>
    </row>
    <row r="49" ht="52" customHeight="1" s="173">
      <c r="A49" s="224" t="inlineStr">
        <is>
          <t>ObjectType structural</t>
        </is>
      </c>
      <c r="B49" s="224" t="inlineStr">
        <is>
          <t>TI-46</t>
        </is>
      </c>
      <c r="C49" s="224" t="inlineStr">
        <is>
          <t>UAObjectType</t>
        </is>
      </c>
      <c r="D49" s="224" t="inlineStr">
        <is>
          <t>LocationInZoneConditionClassType</t>
        </is>
      </c>
      <c r="E49" s="224" t="inlineStr">
        <is>
          <t>Verify structural type exists with NodeClass=ObjectType and expected supertype; behavior remains in owning CU sheet.</t>
        </is>
      </c>
      <c r="F49" s="224" t="inlineStr">
        <is>
          <t>IJT Base NodeSet2.xml</t>
        </is>
      </c>
      <c r="G49" s="224" t="inlineStr">
        <is>
          <t>NodeId=ns=1;i=1051; Supertype/parent=i=11163; ModellingRule=not specified</t>
        </is>
      </c>
      <c r="H49" s="224" t="inlineStr">
        <is>
          <t>n</t>
        </is>
      </c>
      <c r="I49" s="224" t="inlineStr">
        <is>
          <t>n</t>
        </is>
      </c>
      <c r="J49" s="224" t="inlineStr"/>
      <c r="K49" s="224" t="inlineStr">
        <is>
          <t>Structural inventory only; behavior, payload values, and optional-feature checks stay in owning CU sheets.</t>
        </is>
      </c>
    </row>
    <row r="50" ht="52" customHeight="1" s="173">
      <c r="A50" s="223" t="inlineStr">
        <is>
          <t>ObjectType structural</t>
        </is>
      </c>
      <c r="B50" s="223" t="inlineStr">
        <is>
          <t>TI-47</t>
        </is>
      </c>
      <c r="C50" s="223" t="inlineStr">
        <is>
          <t>UAObjectType</t>
        </is>
      </c>
      <c r="D50" s="223" t="inlineStr">
        <is>
          <t>LocationOutOfZoneConditionClassType</t>
        </is>
      </c>
      <c r="E50" s="223" t="inlineStr">
        <is>
          <t>Verify structural type exists with NodeClass=ObjectType and expected supertype; behavior remains in owning CU sheet.</t>
        </is>
      </c>
      <c r="F50" s="223" t="inlineStr">
        <is>
          <t>IJT Base NodeSet2.xml</t>
        </is>
      </c>
      <c r="G50" s="223" t="inlineStr">
        <is>
          <t>NodeId=ns=1;i=1054; Supertype/parent=i=11163; ModellingRule=not specified</t>
        </is>
      </c>
      <c r="H50" s="223" t="inlineStr">
        <is>
          <t>n</t>
        </is>
      </c>
      <c r="I50" s="223" t="inlineStr">
        <is>
          <t>n</t>
        </is>
      </c>
      <c r="J50" s="223" t="inlineStr"/>
      <c r="K50" s="223" t="inlineStr">
        <is>
          <t>Structural inventory only; behavior, payload values, and optional-feature checks stay in owning CU sheets.</t>
        </is>
      </c>
    </row>
    <row r="51" ht="52" customHeight="1" s="173">
      <c r="A51" s="224" t="inlineStr">
        <is>
          <t>ObjectType structural</t>
        </is>
      </c>
      <c r="B51" s="224" t="inlineStr">
        <is>
          <t>TI-48</t>
        </is>
      </c>
      <c r="C51" s="224" t="inlineStr">
        <is>
          <t>UAObjectType</t>
        </is>
      </c>
      <c r="D51" s="224" t="inlineStr">
        <is>
          <t>MissingEntityConditionClassType</t>
        </is>
      </c>
      <c r="E51" s="224" t="inlineStr">
        <is>
          <t>Verify structural type exists with NodeClass=ObjectType and expected supertype; behavior remains in owning CU sheet.</t>
        </is>
      </c>
      <c r="F51" s="224" t="inlineStr">
        <is>
          <t>IJT Base NodeSet2.xml</t>
        </is>
      </c>
      <c r="G51" s="224" t="inlineStr">
        <is>
          <t>NodeId=ns=1;i=1078; Supertype/parent=i=11163; ModellingRule=not specified</t>
        </is>
      </c>
      <c r="H51" s="224" t="inlineStr">
        <is>
          <t>n</t>
        </is>
      </c>
      <c r="I51" s="224" t="inlineStr">
        <is>
          <t>n</t>
        </is>
      </c>
      <c r="J51" s="224" t="inlineStr"/>
      <c r="K51" s="224" t="inlineStr">
        <is>
          <t>Structural inventory only; behavior, payload values, and optional-feature checks stay in owning CU sheets.</t>
        </is>
      </c>
    </row>
    <row r="52" ht="52" customHeight="1" s="173">
      <c r="A52" s="223" t="inlineStr">
        <is>
          <t>ObjectType structural</t>
        </is>
      </c>
      <c r="B52" s="223" t="inlineStr">
        <is>
          <t>TI-49</t>
        </is>
      </c>
      <c r="C52" s="223" t="inlineStr">
        <is>
          <t>UAObjectType</t>
        </is>
      </c>
      <c r="D52" s="223" t="inlineStr">
        <is>
          <t>NotAvailableEntityConditionClassType</t>
        </is>
      </c>
      <c r="E52" s="223" t="inlineStr">
        <is>
          <t>Verify structural type exists with NodeClass=ObjectType and expected supertype; behavior remains in owning CU sheet.</t>
        </is>
      </c>
      <c r="F52" s="223" t="inlineStr">
        <is>
          <t>IJT Base NodeSet2.xml</t>
        </is>
      </c>
      <c r="G52" s="223" t="inlineStr">
        <is>
          <t>NodeId=ns=1;i=1047; Supertype/parent=i=11163; ModellingRule=not specified</t>
        </is>
      </c>
      <c r="H52" s="223" t="inlineStr">
        <is>
          <t>n</t>
        </is>
      </c>
      <c r="I52" s="223" t="inlineStr">
        <is>
          <t>n</t>
        </is>
      </c>
      <c r="J52" s="223" t="inlineStr"/>
      <c r="K52" s="223" t="inlineStr">
        <is>
          <t>Structural inventory only; behavior, payload values, and optional-feature checks stay in owning CU sheets.</t>
        </is>
      </c>
    </row>
    <row r="53" ht="52" customHeight="1" s="173">
      <c r="A53" s="224" t="inlineStr">
        <is>
          <t>ObjectType structural</t>
        </is>
      </c>
      <c r="B53" s="224" t="inlineStr">
        <is>
          <t>TI-50</t>
        </is>
      </c>
      <c r="C53" s="224" t="inlineStr">
        <is>
          <t>UAObjectType</t>
        </is>
      </c>
      <c r="D53" s="224" t="inlineStr">
        <is>
          <t>NotSupportedEntityConditionClassType</t>
        </is>
      </c>
      <c r="E53" s="224" t="inlineStr">
        <is>
          <t>Verify structural type exists with NodeClass=ObjectType and expected supertype; behavior remains in owning CU sheet.</t>
        </is>
      </c>
      <c r="F53" s="224" t="inlineStr">
        <is>
          <t>IJT Base NodeSet2.xml</t>
        </is>
      </c>
      <c r="G53" s="224" t="inlineStr">
        <is>
          <t>NodeId=ns=1;i=1052; Supertype/parent=i=11163; ModellingRule=not specified</t>
        </is>
      </c>
      <c r="H53" s="224" t="inlineStr">
        <is>
          <t>n</t>
        </is>
      </c>
      <c r="I53" s="224" t="inlineStr">
        <is>
          <t>n</t>
        </is>
      </c>
      <c r="J53" s="224" t="inlineStr"/>
      <c r="K53" s="224" t="inlineStr">
        <is>
          <t>Structural inventory only; behavior, payload values, and optional-feature checks stay in owning CU sheets.</t>
        </is>
      </c>
    </row>
    <row r="54" ht="52" customHeight="1" s="173">
      <c r="A54" s="223" t="inlineStr">
        <is>
          <t>ObjectType structural</t>
        </is>
      </c>
      <c r="B54" s="223" t="inlineStr">
        <is>
          <t>TI-51</t>
        </is>
      </c>
      <c r="C54" s="223" t="inlineStr">
        <is>
          <t>UAObjectType</t>
        </is>
      </c>
      <c r="D54" s="223" t="inlineStr">
        <is>
          <t>ReceivedEntityConditionClassType</t>
        </is>
      </c>
      <c r="E54" s="223" t="inlineStr">
        <is>
          <t>Verify structural type exists with NodeClass=ObjectType and expected supertype; behavior remains in owning CU sheet.</t>
        </is>
      </c>
      <c r="F54" s="223" t="inlineStr">
        <is>
          <t>IJT Base NodeSet2.xml</t>
        </is>
      </c>
      <c r="G54" s="223" t="inlineStr">
        <is>
          <t>NodeId=ns=1;i=1105; Supertype/parent=i=11163; ModellingRule=not specified</t>
        </is>
      </c>
      <c r="H54" s="223" t="inlineStr">
        <is>
          <t>n</t>
        </is>
      </c>
      <c r="I54" s="223" t="inlineStr">
        <is>
          <t>n</t>
        </is>
      </c>
      <c r="J54" s="223" t="inlineStr"/>
      <c r="K54" s="223" t="inlineStr">
        <is>
          <t>Structural inventory only; behavior, payload values, and optional-feature checks stay in owning CU sheets.</t>
        </is>
      </c>
    </row>
    <row r="55" ht="52" customHeight="1" s="173">
      <c r="A55" s="224" t="inlineStr">
        <is>
          <t>ObjectType structural</t>
        </is>
      </c>
      <c r="B55" s="224" t="inlineStr">
        <is>
          <t>TI-52</t>
        </is>
      </c>
      <c r="C55" s="224" t="inlineStr">
        <is>
          <t>UAObjectType</t>
        </is>
      </c>
      <c r="D55" s="224" t="inlineStr">
        <is>
          <t>RejectedEntityConditionClassType</t>
        </is>
      </c>
      <c r="E55" s="224" t="inlineStr">
        <is>
          <t>Verify structural type exists with NodeClass=ObjectType and expected supertype; behavior remains in owning CU sheet.</t>
        </is>
      </c>
      <c r="F55" s="224" t="inlineStr">
        <is>
          <t>IJT Base NodeSet2.xml</t>
        </is>
      </c>
      <c r="G55" s="224" t="inlineStr">
        <is>
          <t>NodeId=ns=1;i=1093; Supertype/parent=i=11163; ModellingRule=not specified</t>
        </is>
      </c>
      <c r="H55" s="224" t="inlineStr">
        <is>
          <t>n</t>
        </is>
      </c>
      <c r="I55" s="224" t="inlineStr">
        <is>
          <t>n</t>
        </is>
      </c>
      <c r="J55" s="224" t="inlineStr"/>
      <c r="K55" s="224" t="inlineStr">
        <is>
          <t>Structural inventory only; behavior, payload values, and optional-feature checks stay in owning CU sheets.</t>
        </is>
      </c>
    </row>
    <row r="56" ht="52" customHeight="1" s="173">
      <c r="A56" s="223" t="inlineStr">
        <is>
          <t>ObjectType structural</t>
        </is>
      </c>
      <c r="B56" s="223" t="inlineStr">
        <is>
          <t>TI-53</t>
        </is>
      </c>
      <c r="C56" s="223" t="inlineStr">
        <is>
          <t>UAObjectType</t>
        </is>
      </c>
      <c r="D56" s="223" t="inlineStr">
        <is>
          <t>RemovedEntityConditionClassType</t>
        </is>
      </c>
      <c r="E56" s="223" t="inlineStr">
        <is>
          <t>Verify structural type exists with NodeClass=ObjectType and expected supertype; behavior remains in owning CU sheet.</t>
        </is>
      </c>
      <c r="F56" s="223" t="inlineStr">
        <is>
          <t>IJT Base NodeSet2.xml</t>
        </is>
      </c>
      <c r="G56" s="223" t="inlineStr">
        <is>
          <t>NodeId=ns=1;i=1102; Supertype/parent=i=11163; ModellingRule=not specified</t>
        </is>
      </c>
      <c r="H56" s="223" t="inlineStr">
        <is>
          <t>n</t>
        </is>
      </c>
      <c r="I56" s="223" t="inlineStr">
        <is>
          <t>n</t>
        </is>
      </c>
      <c r="J56" s="223" t="inlineStr"/>
      <c r="K56" s="223" t="inlineStr">
        <is>
          <t>Structural inventory only; behavior, payload values, and optional-feature checks stay in owning CU sheets.</t>
        </is>
      </c>
    </row>
    <row r="57" ht="52" customHeight="1" s="173">
      <c r="A57" s="224" t="inlineStr">
        <is>
          <t>ObjectType structural</t>
        </is>
      </c>
      <c r="B57" s="224" t="inlineStr">
        <is>
          <t>TI-54</t>
        </is>
      </c>
      <c r="C57" s="224" t="inlineStr">
        <is>
          <t>UAObjectType</t>
        </is>
      </c>
      <c r="D57" s="224" t="inlineStr">
        <is>
          <t>SelectedEntityConditionClassType</t>
        </is>
      </c>
      <c r="E57" s="224" t="inlineStr">
        <is>
          <t>Verify structural type exists with NodeClass=ObjectType and expected supertype; behavior remains in owning CU sheet.</t>
        </is>
      </c>
      <c r="F57" s="224" t="inlineStr">
        <is>
          <t>IJT Base NodeSet2.xml</t>
        </is>
      </c>
      <c r="G57" s="224" t="inlineStr">
        <is>
          <t>NodeId=ns=1;i=1032; Supertype/parent=i=11163; ModellingRule=not specified</t>
        </is>
      </c>
      <c r="H57" s="224" t="inlineStr">
        <is>
          <t>n</t>
        </is>
      </c>
      <c r="I57" s="224" t="inlineStr">
        <is>
          <t>n</t>
        </is>
      </c>
      <c r="J57" s="224" t="inlineStr"/>
      <c r="K57" s="224" t="inlineStr">
        <is>
          <t>Structural inventory only; behavior, payload values, and optional-feature checks stay in owning CU sheets.</t>
        </is>
      </c>
    </row>
    <row r="58" ht="52" customHeight="1" s="173">
      <c r="A58" s="223" t="inlineStr">
        <is>
          <t>ObjectType structural</t>
        </is>
      </c>
      <c r="B58" s="223" t="inlineStr">
        <is>
          <t>TI-55</t>
        </is>
      </c>
      <c r="C58" s="223" t="inlineStr">
        <is>
          <t>UAObjectType</t>
        </is>
      </c>
      <c r="D58" s="223" t="inlineStr">
        <is>
          <t>SelectedProcessConditionClassType</t>
        </is>
      </c>
      <c r="E58" s="223" t="inlineStr">
        <is>
          <t>Verify structural type exists with NodeClass=ObjectType and expected supertype; behavior remains in owning CU sheet.</t>
        </is>
      </c>
      <c r="F58" s="223" t="inlineStr">
        <is>
          <t>IJT Base NodeSet2.xml</t>
        </is>
      </c>
      <c r="G58" s="223" t="inlineStr">
        <is>
          <t>NodeId=ns=1;i=1037; Supertype/parent=i=11163; ModellingRule=not specified</t>
        </is>
      </c>
      <c r="H58" s="223" t="inlineStr">
        <is>
          <t>n</t>
        </is>
      </c>
      <c r="I58" s="223" t="inlineStr">
        <is>
          <t>n</t>
        </is>
      </c>
      <c r="J58" s="223" t="inlineStr"/>
      <c r="K58" s="223" t="inlineStr">
        <is>
          <t>Structural inventory only; behavior, payload values, and optional-feature checks stay in owning CU sheets.</t>
        </is>
      </c>
    </row>
    <row r="59" ht="52" customHeight="1" s="173">
      <c r="A59" s="224" t="inlineStr">
        <is>
          <t>ObjectType structural</t>
        </is>
      </c>
      <c r="B59" s="224" t="inlineStr">
        <is>
          <t>TI-56</t>
        </is>
      </c>
      <c r="C59" s="224" t="inlineStr">
        <is>
          <t>UAObjectType</t>
        </is>
      </c>
      <c r="D59" s="224" t="inlineStr">
        <is>
          <t>SoftwareConditionClassType</t>
        </is>
      </c>
      <c r="E59" s="224" t="inlineStr">
        <is>
          <t>Verify structural type exists with NodeClass=ObjectType and expected supertype; behavior remains in owning CU sheet.</t>
        </is>
      </c>
      <c r="F59" s="224" t="inlineStr">
        <is>
          <t>IJT Base NodeSet2.xml</t>
        </is>
      </c>
      <c r="G59" s="224" t="inlineStr">
        <is>
          <t>NodeId=ns=1;i=1066; Supertype/parent=i=11163; ModellingRule=not specified</t>
        </is>
      </c>
      <c r="H59" s="224" t="inlineStr">
        <is>
          <t>n</t>
        </is>
      </c>
      <c r="I59" s="224" t="inlineStr">
        <is>
          <t>n</t>
        </is>
      </c>
      <c r="J59" s="224" t="inlineStr"/>
      <c r="K59" s="224" t="inlineStr">
        <is>
          <t>Structural inventory only; behavior, payload values, and optional-feature checks stay in owning CU sheets.</t>
        </is>
      </c>
    </row>
    <row r="60" ht="52" customHeight="1" s="173">
      <c r="A60" s="223" t="inlineStr">
        <is>
          <t>ObjectType structural</t>
        </is>
      </c>
      <c r="B60" s="223" t="inlineStr">
        <is>
          <t>TI-57</t>
        </is>
      </c>
      <c r="C60" s="223" t="inlineStr">
        <is>
          <t>UAObjectType</t>
        </is>
      </c>
      <c r="D60" s="223" t="inlineStr">
        <is>
          <t>StartedEntityConditionClassType</t>
        </is>
      </c>
      <c r="E60" s="223" t="inlineStr">
        <is>
          <t>Verify structural type exists with NodeClass=ObjectType and expected supertype; behavior remains in owning CU sheet.</t>
        </is>
      </c>
      <c r="F60" s="223" t="inlineStr">
        <is>
          <t>IJT Base NodeSet2.xml</t>
        </is>
      </c>
      <c r="G60" s="223" t="inlineStr">
        <is>
          <t>NodeId=ns=1;i=1038; Supertype/parent=i=11163; ModellingRule=not specified</t>
        </is>
      </c>
      <c r="H60" s="223" t="inlineStr">
        <is>
          <t>n</t>
        </is>
      </c>
      <c r="I60" s="223" t="inlineStr">
        <is>
          <t>n</t>
        </is>
      </c>
      <c r="J60" s="223" t="inlineStr"/>
      <c r="K60" s="223" t="inlineStr">
        <is>
          <t>Structural inventory only; behavior, payload values, and optional-feature checks stay in owning CU sheets.</t>
        </is>
      </c>
    </row>
    <row r="61" ht="52" customHeight="1" s="173">
      <c r="A61" s="224" t="inlineStr">
        <is>
          <t>ObjectType structural</t>
        </is>
      </c>
      <c r="B61" s="224" t="inlineStr">
        <is>
          <t>TI-58</t>
        </is>
      </c>
      <c r="C61" s="224" t="inlineStr">
        <is>
          <t>UAObjectType</t>
        </is>
      </c>
      <c r="D61" s="224" t="inlineStr">
        <is>
          <t>StoppedEntityConditionClassType</t>
        </is>
      </c>
      <c r="E61" s="224" t="inlineStr">
        <is>
          <t>Verify structural type exists with NodeClass=ObjectType and expected supertype; behavior remains in owning CU sheet.</t>
        </is>
      </c>
      <c r="F61" s="224" t="inlineStr">
        <is>
          <t>IJT Base NodeSet2.xml</t>
        </is>
      </c>
      <c r="G61" s="224" t="inlineStr">
        <is>
          <t>NodeId=ns=1;i=1044; Supertype/parent=i=11163; ModellingRule=not specified</t>
        </is>
      </c>
      <c r="H61" s="224" t="inlineStr">
        <is>
          <t>n</t>
        </is>
      </c>
      <c r="I61" s="224" t="inlineStr">
        <is>
          <t>n</t>
        </is>
      </c>
      <c r="J61" s="224" t="inlineStr"/>
      <c r="K61" s="224" t="inlineStr">
        <is>
          <t>Structural inventory only; behavior, payload values, and optional-feature checks stay in owning CU sheets.</t>
        </is>
      </c>
    </row>
    <row r="62" ht="52" customHeight="1" s="173">
      <c r="A62" s="223" t="inlineStr">
        <is>
          <t>ObjectType structural</t>
        </is>
      </c>
      <c r="B62" s="223" t="inlineStr">
        <is>
          <t>TI-59</t>
        </is>
      </c>
      <c r="C62" s="223" t="inlineStr">
        <is>
          <t>UAObjectType</t>
        </is>
      </c>
      <c r="D62" s="223" t="inlineStr">
        <is>
          <t>ThresholdViolationConditionClassType</t>
        </is>
      </c>
      <c r="E62" s="223" t="inlineStr">
        <is>
          <t>Verify structural type exists with NodeClass=ObjectType and expected supertype; behavior remains in owning CU sheet.</t>
        </is>
      </c>
      <c r="F62" s="223" t="inlineStr">
        <is>
          <t>IJT Base NodeSet2.xml</t>
        </is>
      </c>
      <c r="G62" s="223" t="inlineStr">
        <is>
          <t>NodeId=ns=1;i=1033; Supertype/parent=i=11163; ModellingRule=not specified</t>
        </is>
      </c>
      <c r="H62" s="223" t="inlineStr">
        <is>
          <t>n</t>
        </is>
      </c>
      <c r="I62" s="223" t="inlineStr">
        <is>
          <t>n</t>
        </is>
      </c>
      <c r="J62" s="223" t="inlineStr"/>
      <c r="K62" s="223" t="inlineStr">
        <is>
          <t>Structural inventory only; behavior, payload values, and optional-feature checks stay in owning CU sheets.</t>
        </is>
      </c>
    </row>
    <row r="63" ht="52" customHeight="1" s="173">
      <c r="A63" s="224" t="inlineStr">
        <is>
          <t>ObjectType structural</t>
        </is>
      </c>
      <c r="B63" s="224" t="inlineStr">
        <is>
          <t>TI-60</t>
        </is>
      </c>
      <c r="C63" s="224" t="inlineStr">
        <is>
          <t>UAObjectType</t>
        </is>
      </c>
      <c r="D63" s="224" t="inlineStr">
        <is>
          <t>ThresholdViolationResolvedConditionClassType</t>
        </is>
      </c>
      <c r="E63" s="224" t="inlineStr">
        <is>
          <t>Verify structural type exists with NodeClass=ObjectType and expected supertype; behavior remains in owning CU sheet.</t>
        </is>
      </c>
      <c r="F63" s="224" t="inlineStr">
        <is>
          <t>IJT Base NodeSet2.xml</t>
        </is>
      </c>
      <c r="G63" s="224" t="inlineStr">
        <is>
          <t>NodeId=ns=1;i=1036; Supertype/parent=i=11163; ModellingRule=not specified</t>
        </is>
      </c>
      <c r="H63" s="224" t="inlineStr">
        <is>
          <t>n</t>
        </is>
      </c>
      <c r="I63" s="224" t="inlineStr">
        <is>
          <t>n</t>
        </is>
      </c>
      <c r="J63" s="224" t="inlineStr"/>
      <c r="K63" s="224" t="inlineStr">
        <is>
          <t>Structural inventory only; behavior, payload values, and optional-feature checks stay in owning CU sheets.</t>
        </is>
      </c>
    </row>
    <row r="64" ht="52" customHeight="1" s="173">
      <c r="A64" s="223" t="inlineStr">
        <is>
          <t>ObjectType structural</t>
        </is>
      </c>
      <c r="B64" s="223" t="inlineStr">
        <is>
          <t>TI-61</t>
        </is>
      </c>
      <c r="C64" s="223" t="inlineStr">
        <is>
          <t>UAObjectType</t>
        </is>
      </c>
      <c r="D64" s="223" t="inlineStr">
        <is>
          <t>UnacknowledgedResultsConditionClassType</t>
        </is>
      </c>
      <c r="E64" s="223" t="inlineStr">
        <is>
          <t>Verify structural type exists with NodeClass=ObjectType and expected supertype; behavior remains in owning CU sheet.</t>
        </is>
      </c>
      <c r="F64" s="223" t="inlineStr">
        <is>
          <t>IJT Base NodeSet2.xml</t>
        </is>
      </c>
      <c r="G64" s="223" t="inlineStr">
        <is>
          <t>NodeId=ns=1;i=1041; Supertype/parent=i=11163; ModellingRule=not specified</t>
        </is>
      </c>
      <c r="H64" s="223" t="inlineStr">
        <is>
          <t>n</t>
        </is>
      </c>
      <c r="I64" s="223" t="inlineStr">
        <is>
          <t>n</t>
        </is>
      </c>
      <c r="J64" s="223" t="inlineStr"/>
      <c r="K64" s="223" t="inlineStr">
        <is>
          <t>Structural inventory only; behavior, payload values, and optional-feature checks stay in owning CU sheets.</t>
        </is>
      </c>
    </row>
    <row r="65" ht="52" customHeight="1" s="173">
      <c r="A65" s="224" t="inlineStr">
        <is>
          <t>ObjectType structural</t>
        </is>
      </c>
      <c r="B65" s="224" t="inlineStr">
        <is>
          <t>TI-62</t>
        </is>
      </c>
      <c r="C65" s="224" t="inlineStr">
        <is>
          <t>UAObjectType</t>
        </is>
      </c>
      <c r="D65" s="224" t="inlineStr">
        <is>
          <t>UpdatedEntityConditionClassType</t>
        </is>
      </c>
      <c r="E65" s="224" t="inlineStr">
        <is>
          <t>Verify structural type exists with NodeClass=ObjectType and expected supertype; behavior remains in owning CU sheet.</t>
        </is>
      </c>
      <c r="F65" s="224" t="inlineStr">
        <is>
          <t>IJT Base NodeSet2.xml</t>
        </is>
      </c>
      <c r="G65" s="224" t="inlineStr">
        <is>
          <t>NodeId=ns=1;i=1099; Supertype/parent=i=11163; ModellingRule=not specified</t>
        </is>
      </c>
      <c r="H65" s="224" t="inlineStr">
        <is>
          <t>n</t>
        </is>
      </c>
      <c r="I65" s="224" t="inlineStr">
        <is>
          <t>n</t>
        </is>
      </c>
      <c r="J65" s="224" t="inlineStr"/>
      <c r="K65" s="224" t="inlineStr">
        <is>
          <t>Structural inventory only; behavior, payload values, and optional-feature checks stay in owning CU sheets.</t>
        </is>
      </c>
    </row>
    <row r="66" ht="52" customHeight="1" s="173">
      <c r="A66" s="223" t="inlineStr">
        <is>
          <t>ObjectType structural</t>
        </is>
      </c>
      <c r="B66" s="223" t="inlineStr">
        <is>
          <t>TI-63</t>
        </is>
      </c>
      <c r="C66" s="223" t="inlineStr">
        <is>
          <t>UAObjectType</t>
        </is>
      </c>
      <c r="D66" s="223" t="inlineStr">
        <is>
          <t>JoiningSystemEventType</t>
        </is>
      </c>
      <c r="E66" s="223" t="inlineStr">
        <is>
          <t>Verify structural type exists with NodeClass=ObjectType and expected supertype; behavior remains in owning CU sheet.</t>
        </is>
      </c>
      <c r="F66" s="223" t="inlineStr">
        <is>
          <t>IJT Base NodeSet2.xml</t>
        </is>
      </c>
      <c r="G66" s="223" t="inlineStr">
        <is>
          <t>NodeId=ns=1;i=1006; Supertype/parent=i=2041; ModellingRule=not specified</t>
        </is>
      </c>
      <c r="H66" s="223" t="inlineStr">
        <is>
          <t>n</t>
        </is>
      </c>
      <c r="I66" s="223" t="inlineStr">
        <is>
          <t>n</t>
        </is>
      </c>
      <c r="J66" s="223" t="inlineStr"/>
      <c r="K66" s="223" t="inlineStr">
        <is>
          <t>Structural inventory only; behavior, payload values, and optional-feature checks stay in owning CU sheets.</t>
        </is>
      </c>
    </row>
    <row r="67" ht="52" customHeight="1" s="173">
      <c r="A67" s="224" t="inlineStr">
        <is>
          <t>ObjectType structural</t>
        </is>
      </c>
      <c r="B67" s="224" t="inlineStr">
        <is>
          <t>TI-64</t>
        </is>
      </c>
      <c r="C67" s="224" t="inlineStr">
        <is>
          <t>UAObjectType</t>
        </is>
      </c>
      <c r="D67" s="224" t="inlineStr">
        <is>
          <t>JoiningSystemResultReadyEventType</t>
        </is>
      </c>
      <c r="E67" s="224" t="inlineStr">
        <is>
          <t>Verify structural type exists with NodeClass=ObjectType and expected supertype; behavior remains in owning CU sheet.</t>
        </is>
      </c>
      <c r="F67" s="224" t="inlineStr">
        <is>
          <t>IJT Base NodeSet2.xml</t>
        </is>
      </c>
      <c r="G67" s="224" t="inlineStr">
        <is>
          <t>NodeId=ns=1;i=1007; Supertype/parent=MachineryResult:ResultReadyEventType (i=1002); ModellingRule=not specified</t>
        </is>
      </c>
      <c r="H67" s="224" t="inlineStr">
        <is>
          <t>n</t>
        </is>
      </c>
      <c r="I67" s="224" t="inlineStr">
        <is>
          <t>n</t>
        </is>
      </c>
      <c r="J67" s="224" t="inlineStr"/>
      <c r="K67" s="224" t="inlineStr">
        <is>
          <t>Structural inventory only; behavior, payload values, and optional-feature checks stay in owning CU sheets.</t>
        </is>
      </c>
    </row>
    <row r="68" ht="52" customHeight="1" s="173">
      <c r="A68" s="223" t="inlineStr">
        <is>
          <t>ObjectType structural</t>
        </is>
      </c>
      <c r="B68" s="223" t="inlineStr">
        <is>
          <t>TI-65</t>
        </is>
      </c>
      <c r="C68" s="223" t="inlineStr">
        <is>
          <t>UAObjectType</t>
        </is>
      </c>
      <c r="D68" s="223" t="inlineStr">
        <is>
          <t>RequestedResultEventType</t>
        </is>
      </c>
      <c r="E68" s="223" t="inlineStr">
        <is>
          <t>Verify structural type exists with NodeClass=ObjectType and expected supertype; behavior remains in owning CU sheet.</t>
        </is>
      </c>
      <c r="F68" s="223" t="inlineStr">
        <is>
          <t>IJT Base NodeSet2.xml</t>
        </is>
      </c>
      <c r="G68" s="223" t="inlineStr">
        <is>
          <t>NodeId=ns=1;i=1035; Supertype/parent=ns=1;i=1007; ModellingRule=not specified</t>
        </is>
      </c>
      <c r="H68" s="223" t="inlineStr">
        <is>
          <t>n</t>
        </is>
      </c>
      <c r="I68" s="223" t="inlineStr">
        <is>
          <t>n</t>
        </is>
      </c>
      <c r="J68" s="223" t="inlineStr"/>
      <c r="K68" s="223" t="inlineStr">
        <is>
          <t>Structural inventory only; behavior, payload values, and optional-feature checks stay in owning CU sheets.</t>
        </is>
      </c>
    </row>
    <row r="69" ht="52" customHeight="1" s="173">
      <c r="A69" s="224" t="inlineStr">
        <is>
          <t>ObjectType structural</t>
        </is>
      </c>
      <c r="B69" s="224" t="inlineStr">
        <is>
          <t>TI-66</t>
        </is>
      </c>
      <c r="C69" s="224" t="inlineStr">
        <is>
          <t>UAObjectType</t>
        </is>
      </c>
      <c r="D69" s="224" t="inlineStr">
        <is>
          <t>IJoiningAdditionalInformationType</t>
        </is>
      </c>
      <c r="E69" s="224" t="inlineStr">
        <is>
          <t>Verify structural type exists with NodeClass=ObjectType and expected supertype; behavior remains in owning CU sheet.</t>
        </is>
      </c>
      <c r="F69" s="224" t="inlineStr">
        <is>
          <t>IJT Base NodeSet2.xml</t>
        </is>
      </c>
      <c r="G69" s="224" t="inlineStr">
        <is>
          <t>NodeId=ns=1;i=1017; Supertype/parent=i=17602; ModellingRule=not specified</t>
        </is>
      </c>
      <c r="H69" s="224" t="inlineStr">
        <is>
          <t>n</t>
        </is>
      </c>
      <c r="I69" s="224" t="inlineStr">
        <is>
          <t>n</t>
        </is>
      </c>
      <c r="J69" s="224" t="inlineStr"/>
      <c r="K69" s="224" t="inlineStr">
        <is>
          <t>Structural inventory only; behavior, payload values, and optional-feature checks stay in owning CU sheets.</t>
        </is>
      </c>
    </row>
    <row r="70" ht="52" customHeight="1" s="173">
      <c r="A70" s="223" t="inlineStr">
        <is>
          <t>ObjectType structural</t>
        </is>
      </c>
      <c r="B70" s="223" t="inlineStr">
        <is>
          <t>TI-67</t>
        </is>
      </c>
      <c r="C70" s="223" t="inlineStr">
        <is>
          <t>UAObjectType</t>
        </is>
      </c>
      <c r="D70" s="223" t="inlineStr">
        <is>
          <t>IJoiningSystemAssetType</t>
        </is>
      </c>
      <c r="E70" s="223" t="inlineStr">
        <is>
          <t>Verify structural type exists with NodeClass=ObjectType and expected supertype; behavior remains in owning CU sheet.</t>
        </is>
      </c>
      <c r="F70" s="223" t="inlineStr">
        <is>
          <t>IJT Base NodeSet2.xml</t>
        </is>
      </c>
      <c r="G70" s="223" t="inlineStr">
        <is>
          <t>NodeId=ns=1;i=1002; Supertype/parent=i=17602; ModellingRule=not specified</t>
        </is>
      </c>
      <c r="H70" s="223" t="inlineStr">
        <is>
          <t>n</t>
        </is>
      </c>
      <c r="I70" s="223" t="inlineStr">
        <is>
          <t>n</t>
        </is>
      </c>
      <c r="J70" s="223" t="inlineStr"/>
      <c r="K70" s="223" t="inlineStr">
        <is>
          <t>Structural inventory only; behavior, payload values, and optional-feature checks stay in owning CU sheets.</t>
        </is>
      </c>
    </row>
    <row r="71" ht="52" customHeight="1" s="173">
      <c r="A71" s="224" t="inlineStr">
        <is>
          <t>ObjectType structural</t>
        </is>
      </c>
      <c r="B71" s="224" t="inlineStr">
        <is>
          <t>TI-68</t>
        </is>
      </c>
      <c r="C71" s="224" t="inlineStr">
        <is>
          <t>UAObjectType</t>
        </is>
      </c>
      <c r="D71" s="224" t="inlineStr">
        <is>
          <t>IAccessoryType</t>
        </is>
      </c>
      <c r="E71" s="224" t="inlineStr">
        <is>
          <t>Verify structural type exists with NodeClass=ObjectType and expected supertype; behavior remains in owning CU sheet.</t>
        </is>
      </c>
      <c r="F71" s="224" t="inlineStr">
        <is>
          <t>IJT Base NodeSet2.xml</t>
        </is>
      </c>
      <c r="G71" s="224" t="inlineStr">
        <is>
          <t>NodeId=ns=1;i=1015; Supertype/parent=ns=1;i=1002; ModellingRule=not specified</t>
        </is>
      </c>
      <c r="H71" s="224" t="inlineStr">
        <is>
          <t>n</t>
        </is>
      </c>
      <c r="I71" s="224" t="inlineStr">
        <is>
          <t>n</t>
        </is>
      </c>
      <c r="J71" s="224" t="inlineStr"/>
      <c r="K71" s="224" t="inlineStr">
        <is>
          <t>Structural inventory only; behavior, payload values, and optional-feature checks stay in owning CU sheets.</t>
        </is>
      </c>
    </row>
    <row r="72" ht="52" customHeight="1" s="173">
      <c r="A72" s="223" t="inlineStr">
        <is>
          <t>ObjectType structural</t>
        </is>
      </c>
      <c r="B72" s="223" t="inlineStr">
        <is>
          <t>TI-69</t>
        </is>
      </c>
      <c r="C72" s="223" t="inlineStr">
        <is>
          <t>UAObjectType</t>
        </is>
      </c>
      <c r="D72" s="223" t="inlineStr">
        <is>
          <t>IBatteryType</t>
        </is>
      </c>
      <c r="E72" s="223" t="inlineStr">
        <is>
          <t>Verify structural type exists with NodeClass=ObjectType and expected supertype; behavior remains in owning CU sheet.</t>
        </is>
      </c>
      <c r="F72" s="223" t="inlineStr">
        <is>
          <t>IJT Base NodeSet2.xml</t>
        </is>
      </c>
      <c r="G72" s="223" t="inlineStr">
        <is>
          <t>NodeId=ns=1;i=1010; Supertype/parent=ns=1;i=1002; ModellingRule=not specified</t>
        </is>
      </c>
      <c r="H72" s="223" t="inlineStr">
        <is>
          <t>n</t>
        </is>
      </c>
      <c r="I72" s="223" t="inlineStr">
        <is>
          <t>n</t>
        </is>
      </c>
      <c r="J72" s="223" t="inlineStr"/>
      <c r="K72" s="223" t="inlineStr">
        <is>
          <t>Structural inventory only; behavior, payload values, and optional-feature checks stay in owning CU sheets.</t>
        </is>
      </c>
    </row>
    <row r="73" ht="52" customHeight="1" s="173">
      <c r="A73" s="224" t="inlineStr">
        <is>
          <t>ObjectType structural</t>
        </is>
      </c>
      <c r="B73" s="224" t="inlineStr">
        <is>
          <t>TI-70</t>
        </is>
      </c>
      <c r="C73" s="224" t="inlineStr">
        <is>
          <t>UAObjectType</t>
        </is>
      </c>
      <c r="D73" s="224" t="inlineStr">
        <is>
          <t>ICableType</t>
        </is>
      </c>
      <c r="E73" s="224" t="inlineStr">
        <is>
          <t>Verify structural type exists with NodeClass=ObjectType and expected supertype; behavior remains in owning CU sheet.</t>
        </is>
      </c>
      <c r="F73" s="224" t="inlineStr">
        <is>
          <t>IJT Base NodeSet2.xml</t>
        </is>
      </c>
      <c r="G73" s="224" t="inlineStr">
        <is>
          <t>NodeId=ns=1;i=1014; Supertype/parent=ns=1;i=1002; ModellingRule=not specified</t>
        </is>
      </c>
      <c r="H73" s="224" t="inlineStr">
        <is>
          <t>n</t>
        </is>
      </c>
      <c r="I73" s="224" t="inlineStr">
        <is>
          <t>n</t>
        </is>
      </c>
      <c r="J73" s="224" t="inlineStr"/>
      <c r="K73" s="224" t="inlineStr">
        <is>
          <t>Structural inventory only; behavior, payload values, and optional-feature checks stay in owning CU sheets.</t>
        </is>
      </c>
    </row>
    <row r="74" ht="52" customHeight="1" s="173">
      <c r="A74" s="223" t="inlineStr">
        <is>
          <t>ObjectType structural</t>
        </is>
      </c>
      <c r="B74" s="223" t="inlineStr">
        <is>
          <t>TI-71</t>
        </is>
      </c>
      <c r="C74" s="223" t="inlineStr">
        <is>
          <t>UAObjectType</t>
        </is>
      </c>
      <c r="D74" s="223" t="inlineStr">
        <is>
          <t>IControllerType</t>
        </is>
      </c>
      <c r="E74" s="223" t="inlineStr">
        <is>
          <t>Verify structural type exists with NodeClass=ObjectType and expected supertype; behavior remains in owning CU sheet.</t>
        </is>
      </c>
      <c r="F74" s="223" t="inlineStr">
        <is>
          <t>IJT Base NodeSet2.xml</t>
        </is>
      </c>
      <c r="G74" s="223" t="inlineStr">
        <is>
          <t>NodeId=ns=1;i=1003; Supertype/parent=ns=1;i=1002; ModellingRule=not specified</t>
        </is>
      </c>
      <c r="H74" s="223" t="inlineStr">
        <is>
          <t>n</t>
        </is>
      </c>
      <c r="I74" s="223" t="inlineStr">
        <is>
          <t>n</t>
        </is>
      </c>
      <c r="J74" s="223" t="inlineStr"/>
      <c r="K74" s="223" t="inlineStr">
        <is>
          <t>Structural inventory only; behavior, payload values, and optional-feature checks stay in owning CU sheets.</t>
        </is>
      </c>
    </row>
    <row r="75" ht="52" customHeight="1" s="173">
      <c r="A75" s="224" t="inlineStr">
        <is>
          <t>ObjectType structural</t>
        </is>
      </c>
      <c r="B75" s="224" t="inlineStr">
        <is>
          <t>TI-72</t>
        </is>
      </c>
      <c r="C75" s="224" t="inlineStr">
        <is>
          <t>UAObjectType</t>
        </is>
      </c>
      <c r="D75" s="224" t="inlineStr">
        <is>
          <t>IFeederType</t>
        </is>
      </c>
      <c r="E75" s="224" t="inlineStr">
        <is>
          <t>Verify structural type exists with NodeClass=ObjectType and expected supertype; behavior remains in owning CU sheet.</t>
        </is>
      </c>
      <c r="F75" s="224" t="inlineStr">
        <is>
          <t>IJT Base NodeSet2.xml</t>
        </is>
      </c>
      <c r="G75" s="224" t="inlineStr">
        <is>
          <t>NodeId=ns=1;i=1012; Supertype/parent=ns=1;i=1002; ModellingRule=not specified</t>
        </is>
      </c>
      <c r="H75" s="224" t="inlineStr">
        <is>
          <t>n</t>
        </is>
      </c>
      <c r="I75" s="224" t="inlineStr">
        <is>
          <t>n</t>
        </is>
      </c>
      <c r="J75" s="224" t="inlineStr"/>
      <c r="K75" s="224" t="inlineStr">
        <is>
          <t>Structural inventory only; behavior, payload values, and optional-feature checks stay in owning CU sheets.</t>
        </is>
      </c>
    </row>
    <row r="76" ht="52" customHeight="1" s="173">
      <c r="A76" s="223" t="inlineStr">
        <is>
          <t>ObjectType structural</t>
        </is>
      </c>
      <c r="B76" s="223" t="inlineStr">
        <is>
          <t>TI-73</t>
        </is>
      </c>
      <c r="C76" s="223" t="inlineStr">
        <is>
          <t>UAObjectType</t>
        </is>
      </c>
      <c r="D76" s="223" t="inlineStr">
        <is>
          <t>IMemoryDeviceType</t>
        </is>
      </c>
      <c r="E76" s="223" t="inlineStr">
        <is>
          <t>Verify structural type exists with NodeClass=ObjectType and expected supertype; behavior remains in owning CU sheet.</t>
        </is>
      </c>
      <c r="F76" s="223" t="inlineStr">
        <is>
          <t>IJT Base NodeSet2.xml</t>
        </is>
      </c>
      <c r="G76" s="223" t="inlineStr">
        <is>
          <t>NodeId=ns=1;i=1013; Supertype/parent=ns=1;i=1002; ModellingRule=not specified</t>
        </is>
      </c>
      <c r="H76" s="223" t="inlineStr">
        <is>
          <t>n</t>
        </is>
      </c>
      <c r="I76" s="223" t="inlineStr">
        <is>
          <t>n</t>
        </is>
      </c>
      <c r="J76" s="223" t="inlineStr"/>
      <c r="K76" s="223" t="inlineStr">
        <is>
          <t>Structural inventory only; behavior, payload values, and optional-feature checks stay in owning CU sheets.</t>
        </is>
      </c>
    </row>
    <row r="77" ht="52" customHeight="1" s="173">
      <c r="A77" s="224" t="inlineStr">
        <is>
          <t>ObjectType structural</t>
        </is>
      </c>
      <c r="B77" s="224" t="inlineStr">
        <is>
          <t>TI-74</t>
        </is>
      </c>
      <c r="C77" s="224" t="inlineStr">
        <is>
          <t>UAObjectType</t>
        </is>
      </c>
      <c r="D77" s="224" t="inlineStr">
        <is>
          <t>IPowerSupplyType</t>
        </is>
      </c>
      <c r="E77" s="224" t="inlineStr">
        <is>
          <t>Verify structural type exists with NodeClass=ObjectType and expected supertype; behavior remains in owning CU sheet.</t>
        </is>
      </c>
      <c r="F77" s="224" t="inlineStr">
        <is>
          <t>IJT Base NodeSet2.xml</t>
        </is>
      </c>
      <c r="G77" s="224" t="inlineStr">
        <is>
          <t>NodeId=ns=1;i=1009; Supertype/parent=ns=1;i=1002; ModellingRule=not specified</t>
        </is>
      </c>
      <c r="H77" s="224" t="inlineStr">
        <is>
          <t>n</t>
        </is>
      </c>
      <c r="I77" s="224" t="inlineStr">
        <is>
          <t>n</t>
        </is>
      </c>
      <c r="J77" s="224" t="inlineStr"/>
      <c r="K77" s="224" t="inlineStr">
        <is>
          <t>Structural inventory only; behavior, payload values, and optional-feature checks stay in owning CU sheets.</t>
        </is>
      </c>
    </row>
    <row r="78" ht="52" customHeight="1" s="173">
      <c r="A78" s="223" t="inlineStr">
        <is>
          <t>ObjectType structural</t>
        </is>
      </c>
      <c r="B78" s="223" t="inlineStr">
        <is>
          <t>TI-75</t>
        </is>
      </c>
      <c r="C78" s="223" t="inlineStr">
        <is>
          <t>UAObjectType</t>
        </is>
      </c>
      <c r="D78" s="223" t="inlineStr">
        <is>
          <t>ISensorType</t>
        </is>
      </c>
      <c r="E78" s="223" t="inlineStr">
        <is>
          <t>Verify structural type exists with NodeClass=ObjectType and expected supertype; behavior remains in owning CU sheet.</t>
        </is>
      </c>
      <c r="F78" s="223" t="inlineStr">
        <is>
          <t>IJT Base NodeSet2.xml</t>
        </is>
      </c>
      <c r="G78" s="223" t="inlineStr">
        <is>
          <t>NodeId=ns=1;i=1011; Supertype/parent=ns=1;i=1002; ModellingRule=not specified</t>
        </is>
      </c>
      <c r="H78" s="223" t="inlineStr">
        <is>
          <t>n</t>
        </is>
      </c>
      <c r="I78" s="223" t="inlineStr">
        <is>
          <t>n</t>
        </is>
      </c>
      <c r="J78" s="223" t="inlineStr"/>
      <c r="K78" s="223" t="inlineStr">
        <is>
          <t>Structural inventory only; behavior, payload values, and optional-feature checks stay in owning CU sheets.</t>
        </is>
      </c>
    </row>
    <row r="79" ht="52" customHeight="1" s="173">
      <c r="A79" s="224" t="inlineStr">
        <is>
          <t>ObjectType structural</t>
        </is>
      </c>
      <c r="B79" s="224" t="inlineStr">
        <is>
          <t>TI-76</t>
        </is>
      </c>
      <c r="C79" s="224" t="inlineStr">
        <is>
          <t>UAObjectType</t>
        </is>
      </c>
      <c r="D79" s="224" t="inlineStr">
        <is>
          <t>IServoType</t>
        </is>
      </c>
      <c r="E79" s="224" t="inlineStr">
        <is>
          <t>Verify structural type exists with NodeClass=ObjectType and expected supertype; behavior remains in owning CU sheet.</t>
        </is>
      </c>
      <c r="F79" s="224" t="inlineStr">
        <is>
          <t>IJT Base NodeSet2.xml</t>
        </is>
      </c>
      <c r="G79" s="224" t="inlineStr">
        <is>
          <t>NodeId=ns=1;i=1008; Supertype/parent=ns=1;i=1002; ModellingRule=not specified</t>
        </is>
      </c>
      <c r="H79" s="224" t="inlineStr">
        <is>
          <t>n</t>
        </is>
      </c>
      <c r="I79" s="224" t="inlineStr">
        <is>
          <t>n</t>
        </is>
      </c>
      <c r="J79" s="224" t="inlineStr"/>
      <c r="K79" s="224" t="inlineStr">
        <is>
          <t>Structural inventory only; behavior, payload values, and optional-feature checks stay in owning CU sheets.</t>
        </is>
      </c>
    </row>
    <row r="80" ht="52" customHeight="1" s="173">
      <c r="A80" s="223" t="inlineStr">
        <is>
          <t>ObjectType structural</t>
        </is>
      </c>
      <c r="B80" s="223" t="inlineStr">
        <is>
          <t>TI-77</t>
        </is>
      </c>
      <c r="C80" s="223" t="inlineStr">
        <is>
          <t>UAObjectType</t>
        </is>
      </c>
      <c r="D80" s="223" t="inlineStr">
        <is>
          <t>ISoftwareType</t>
        </is>
      </c>
      <c r="E80" s="223" t="inlineStr">
        <is>
          <t>Verify structural type exists with NodeClass=ObjectType and expected supertype; behavior remains in owning CU sheet.</t>
        </is>
      </c>
      <c r="F80" s="223" t="inlineStr">
        <is>
          <t>IJT Base NodeSet2.xml</t>
        </is>
      </c>
      <c r="G80" s="223" t="inlineStr">
        <is>
          <t>NodeId=ns=1;i=1019; Supertype/parent=ns=1;i=1002; ModellingRule=not specified</t>
        </is>
      </c>
      <c r="H80" s="223" t="inlineStr">
        <is>
          <t>n</t>
        </is>
      </c>
      <c r="I80" s="223" t="inlineStr">
        <is>
          <t>n</t>
        </is>
      </c>
      <c r="J80" s="223" t="inlineStr"/>
      <c r="K80" s="223" t="inlineStr">
        <is>
          <t>Structural inventory only; behavior, payload values, and optional-feature checks stay in owning CU sheets.</t>
        </is>
      </c>
    </row>
    <row r="81" ht="52" customHeight="1" s="173">
      <c r="A81" s="224" t="inlineStr">
        <is>
          <t>ObjectType structural</t>
        </is>
      </c>
      <c r="B81" s="224" t="inlineStr">
        <is>
          <t>TI-78</t>
        </is>
      </c>
      <c r="C81" s="224" t="inlineStr">
        <is>
          <t>UAObjectType</t>
        </is>
      </c>
      <c r="D81" s="224" t="inlineStr">
        <is>
          <t>ISubComponentType</t>
        </is>
      </c>
      <c r="E81" s="224" t="inlineStr">
        <is>
          <t>Verify structural type exists with NodeClass=ObjectType and expected supertype; behavior remains in owning CU sheet.</t>
        </is>
      </c>
      <c r="F81" s="224" t="inlineStr">
        <is>
          <t>IJT Base NodeSet2.xml</t>
        </is>
      </c>
      <c r="G81" s="224" t="inlineStr">
        <is>
          <t>NodeId=ns=1;i=1016; Supertype/parent=ns=1;i=1002; ModellingRule=not specified</t>
        </is>
      </c>
      <c r="H81" s="224" t="inlineStr">
        <is>
          <t>n</t>
        </is>
      </c>
      <c r="I81" s="224" t="inlineStr">
        <is>
          <t>n</t>
        </is>
      </c>
      <c r="J81" s="224" t="inlineStr"/>
      <c r="K81" s="224" t="inlineStr">
        <is>
          <t>Structural inventory only; behavior, payload values, and optional-feature checks stay in owning CU sheets.</t>
        </is>
      </c>
    </row>
    <row r="82" ht="52" customHeight="1" s="173">
      <c r="A82" s="223" t="inlineStr">
        <is>
          <t>ObjectType structural</t>
        </is>
      </c>
      <c r="B82" s="223" t="inlineStr">
        <is>
          <t>TI-79</t>
        </is>
      </c>
      <c r="C82" s="223" t="inlineStr">
        <is>
          <t>UAObjectType</t>
        </is>
      </c>
      <c r="D82" s="223" t="inlineStr">
        <is>
          <t>IToolType</t>
        </is>
      </c>
      <c r="E82" s="223" t="inlineStr">
        <is>
          <t>Verify structural type exists with NodeClass=ObjectType and expected supertype; behavior remains in owning CU sheet.</t>
        </is>
      </c>
      <c r="F82" s="223" t="inlineStr">
        <is>
          <t>IJT Base NodeSet2.xml</t>
        </is>
      </c>
      <c r="G82" s="223" t="inlineStr">
        <is>
          <t>NodeId=ns=1;i=1004; Supertype/parent=ns=1;i=1002; ModellingRule=not specified</t>
        </is>
      </c>
      <c r="H82" s="223" t="inlineStr">
        <is>
          <t>n</t>
        </is>
      </c>
      <c r="I82" s="223" t="inlineStr">
        <is>
          <t>n</t>
        </is>
      </c>
      <c r="J82" s="223" t="inlineStr"/>
      <c r="K82" s="223" t="inlineStr">
        <is>
          <t>Structural inventory only; behavior, payload values, and optional-feature checks stay in owning CU sheets.</t>
        </is>
      </c>
    </row>
    <row r="83" ht="52" customHeight="1" s="173">
      <c r="A83" s="224" t="inlineStr">
        <is>
          <t>ObjectType structural</t>
        </is>
      </c>
      <c r="B83" s="224" t="inlineStr">
        <is>
          <t>TI-80</t>
        </is>
      </c>
      <c r="C83" s="224" t="inlineStr">
        <is>
          <t>UAObjectType</t>
        </is>
      </c>
      <c r="D83" s="224" t="inlineStr">
        <is>
          <t>IVirtualStationType</t>
        </is>
      </c>
      <c r="E83" s="224" t="inlineStr">
        <is>
          <t>Verify structural type exists with NodeClass=ObjectType and expected supertype; behavior remains in owning CU sheet.</t>
        </is>
      </c>
      <c r="F83" s="224" t="inlineStr">
        <is>
          <t>IJT Base NodeSet2.xml</t>
        </is>
      </c>
      <c r="G83" s="224" t="inlineStr">
        <is>
          <t>NodeId=ns=1;i=1031; Supertype/parent=ns=1;i=1002; ModellingRule=not specified</t>
        </is>
      </c>
      <c r="H83" s="224" t="inlineStr">
        <is>
          <t>n</t>
        </is>
      </c>
      <c r="I83" s="224" t="inlineStr">
        <is>
          <t>n</t>
        </is>
      </c>
      <c r="J83" s="224" t="inlineStr"/>
      <c r="K83" s="224" t="inlineStr">
        <is>
          <t>Structural inventory only; behavior, payload values, and optional-feature checks stay in owning CU sheets.</t>
        </is>
      </c>
    </row>
    <row r="84" ht="52" customHeight="1" s="173">
      <c r="A84" s="223" t="inlineStr">
        <is>
          <t>ObjectType structural</t>
        </is>
      </c>
      <c r="B84" s="223" t="inlineStr">
        <is>
          <t>TI-81</t>
        </is>
      </c>
      <c r="C84" s="223" t="inlineStr">
        <is>
          <t>UAObjectType</t>
        </is>
      </c>
      <c r="D84" s="223" t="inlineStr">
        <is>
          <t>JoiningSystemIdentificationType</t>
        </is>
      </c>
      <c r="E84" s="223" t="inlineStr">
        <is>
          <t>Verify structural type exists with NodeClass=ObjectType and expected supertype; behavior remains in owning CU sheet.</t>
        </is>
      </c>
      <c r="F84" s="223" t="inlineStr">
        <is>
          <t>IJT Base NodeSet2.xml</t>
        </is>
      </c>
      <c r="G84" s="223" t="inlineStr">
        <is>
          <t>NodeId=ns=1;i=1029; Supertype/parent=ns=4;i=1005; ModellingRule=not specified</t>
        </is>
      </c>
      <c r="H84" s="223" t="inlineStr">
        <is>
          <t>n</t>
        </is>
      </c>
      <c r="I84" s="223" t="inlineStr">
        <is>
          <t>n</t>
        </is>
      </c>
      <c r="J84" s="223" t="inlineStr"/>
      <c r="K84" s="223" t="inlineStr">
        <is>
          <t>Structural inventory only; behavior, payload values, and optional-feature checks stay in owning CU sheets.</t>
        </is>
      </c>
    </row>
    <row r="85" ht="52" customHeight="1" s="173">
      <c r="A85" s="224" t="inlineStr">
        <is>
          <t>ObjectType structural</t>
        </is>
      </c>
      <c r="B85" s="224" t="inlineStr">
        <is>
          <t>TI-82</t>
        </is>
      </c>
      <c r="C85" s="224" t="inlineStr">
        <is>
          <t>UAObjectType</t>
        </is>
      </c>
      <c r="D85" s="224" t="inlineStr">
        <is>
          <t>JoiningProcessManagementType</t>
        </is>
      </c>
      <c r="E85" s="224" t="inlineStr">
        <is>
          <t>Verify structural type exists with NodeClass=ObjectType and expected supertype; behavior remains in owning CU sheet.</t>
        </is>
      </c>
      <c r="F85" s="224" t="inlineStr">
        <is>
          <t>IJT Base NodeSet2.xml</t>
        </is>
      </c>
      <c r="G85" s="224" t="inlineStr">
        <is>
          <t>NodeId=ns=1;i=1025; Supertype/parent=i=58; ModellingRule=not specified</t>
        </is>
      </c>
      <c r="H85" s="224" t="inlineStr">
        <is>
          <t>n</t>
        </is>
      </c>
      <c r="I85" s="224" t="inlineStr">
        <is>
          <t>n</t>
        </is>
      </c>
      <c r="J85" s="224" t="inlineStr"/>
      <c r="K85" s="224" t="inlineStr">
        <is>
          <t>Structural inventory only; behavior, payload values, and optional-feature checks stay in owning CU sheets.</t>
        </is>
      </c>
    </row>
    <row r="86" ht="52" customHeight="1" s="173">
      <c r="A86" s="223" t="inlineStr">
        <is>
          <t>ObjectType structural</t>
        </is>
      </c>
      <c r="B86" s="223" t="inlineStr">
        <is>
          <t>TI-83</t>
        </is>
      </c>
      <c r="C86" s="223" t="inlineStr">
        <is>
          <t>UAObjectType</t>
        </is>
      </c>
      <c r="D86" s="223" t="inlineStr">
        <is>
          <t>JoiningSystemAssetMethodSetType</t>
        </is>
      </c>
      <c r="E86" s="223" t="inlineStr">
        <is>
          <t>Verify structural type exists with NodeClass=ObjectType and expected supertype; behavior remains in owning CU sheet.</t>
        </is>
      </c>
      <c r="F86" s="223" t="inlineStr">
        <is>
          <t>IJT Base NodeSet2.xml</t>
        </is>
      </c>
      <c r="G86" s="223" t="inlineStr">
        <is>
          <t>NodeId=ns=1;i=1026; Supertype/parent=i=58; ModellingRule=not specified</t>
        </is>
      </c>
      <c r="H86" s="223" t="inlineStr">
        <is>
          <t>n</t>
        </is>
      </c>
      <c r="I86" s="223" t="inlineStr">
        <is>
          <t>n</t>
        </is>
      </c>
      <c r="J86" s="223" t="inlineStr"/>
      <c r="K86" s="223" t="inlineStr">
        <is>
          <t>Structural inventory only; behavior, payload values, and optional-feature checks stay in owning CU sheets.</t>
        </is>
      </c>
    </row>
    <row r="87" ht="52" customHeight="1" s="173">
      <c r="A87" s="224" t="inlineStr">
        <is>
          <t>ObjectType structural</t>
        </is>
      </c>
      <c r="B87" s="224" t="inlineStr">
        <is>
          <t>TI-84</t>
        </is>
      </c>
      <c r="C87" s="224" t="inlineStr">
        <is>
          <t>UAObjectType</t>
        </is>
      </c>
      <c r="D87" s="224" t="inlineStr">
        <is>
          <t>JoiningSystemType</t>
        </is>
      </c>
      <c r="E87" s="224" t="inlineStr">
        <is>
          <t>Verify structural type exists with NodeClass=ObjectType and expected supertype; behavior remains in owning CU sheet.</t>
        </is>
      </c>
      <c r="F87" s="224" t="inlineStr">
        <is>
          <t>IJT Base NodeSet2.xml</t>
        </is>
      </c>
      <c r="G87" s="224" t="inlineStr">
        <is>
          <t>NodeId=ns=1;i=1005; Supertype/parent=i=58; ModellingRule=not specified</t>
        </is>
      </c>
      <c r="H87" s="224" t="inlineStr">
        <is>
          <t>n</t>
        </is>
      </c>
      <c r="I87" s="224" t="inlineStr">
        <is>
          <t>n</t>
        </is>
      </c>
      <c r="J87" s="224" t="inlineStr"/>
      <c r="K87" s="224" t="inlineStr">
        <is>
          <t>Structural inventory only; behavior, payload values, and optional-feature checks stay in owning CU sheets.</t>
        </is>
      </c>
    </row>
    <row r="88" ht="52" customHeight="1" s="173">
      <c r="A88" s="223" t="inlineStr">
        <is>
          <t>ObjectType structural</t>
        </is>
      </c>
      <c r="B88" s="223" t="inlineStr">
        <is>
          <t>TI-85</t>
        </is>
      </c>
      <c r="C88" s="223" t="inlineStr">
        <is>
          <t>UAObjectType</t>
        </is>
      </c>
      <c r="D88" s="223" t="inlineStr">
        <is>
          <t>JointManagementType</t>
        </is>
      </c>
      <c r="E88" s="223" t="inlineStr">
        <is>
          <t>Verify structural type exists with NodeClass=ObjectType and expected supertype; behavior remains in owning CU sheet.</t>
        </is>
      </c>
      <c r="F88" s="223" t="inlineStr">
        <is>
          <t>IJT Base NodeSet2.xml</t>
        </is>
      </c>
      <c r="G88" s="223" t="inlineStr">
        <is>
          <t>NodeId=ns=1;i=1023; Supertype/parent=i=58; ModellingRule=not specified</t>
        </is>
      </c>
      <c r="H88" s="223" t="inlineStr">
        <is>
          <t>n</t>
        </is>
      </c>
      <c r="I88" s="223" t="inlineStr">
        <is>
          <t>n</t>
        </is>
      </c>
      <c r="J88" s="223" t="inlineStr"/>
      <c r="K88" s="223" t="inlineStr">
        <is>
          <t>Structural inventory only; behavior, payload values, and optional-feature checks stay in owning CU sheets.</t>
        </is>
      </c>
    </row>
    <row r="89" ht="52" customHeight="1" s="173">
      <c r="A89" s="224" t="inlineStr">
        <is>
          <t>ObjectType structural</t>
        </is>
      </c>
      <c r="B89" s="224" t="inlineStr">
        <is>
          <t>TI-86</t>
        </is>
      </c>
      <c r="C89" s="224" t="inlineStr">
        <is>
          <t>UAObjectType</t>
        </is>
      </c>
      <c r="D89" s="224" t="inlineStr">
        <is>
          <t>JoiningSystemResultManagementType</t>
        </is>
      </c>
      <c r="E89" s="224" t="inlineStr">
        <is>
          <t>Verify structural type exists with NodeClass=ObjectType and expected supertype; behavior remains in owning CU sheet.</t>
        </is>
      </c>
      <c r="F89" s="224" t="inlineStr">
        <is>
          <t>IJT Base NodeSet2.xml</t>
        </is>
      </c>
      <c r="G89" s="224" t="inlineStr">
        <is>
          <t>NodeId=ns=1;i=1022; Supertype/parent=MachineryResult:ResultManagementType (i=1004); ModellingRule=not specified</t>
        </is>
      </c>
      <c r="H89" s="224" t="inlineStr">
        <is>
          <t>n</t>
        </is>
      </c>
      <c r="I89" s="224" t="inlineStr">
        <is>
          <t>n</t>
        </is>
      </c>
      <c r="J89" s="224" t="inlineStr"/>
      <c r="K89" s="224" t="inlineStr">
        <is>
          <t>Structural inventory only; behavior, payload values, and optional-feature checks stay in owning CU sheets.</t>
        </is>
      </c>
    </row>
  </sheetData>
  <mergeCells count="2">
    <mergeCell ref="A1:K1"/>
    <mergeCell ref="A2:K2"/>
  </mergeCells>
  <pageMargins left="0.75" right="0.75" top="1" bottom="1" header="0.5" footer="0.5"/>
</worksheet>
</file>

<file path=xl/worksheets/sheet4.xml><?xml version="1.0" encoding="utf-8"?>
<worksheet xmlns="http://schemas.openxmlformats.org/spreadsheetml/2006/main">
  <sheetPr codeName="Sheet3">
    <tabColor rgb="FF2E75B6"/>
    <outlinePr summaryBelow="1" summaryRight="1"/>
    <pageSetUpPr/>
  </sheetPr>
  <dimension ref="A1:K27"/>
  <sheetViews>
    <sheetView workbookViewId="0">
      <pane ySplit="2" topLeftCell="A10" activePane="bottomLeft" state="frozen"/>
      <selection pane="bottomLeft" activeCell="A2" sqref="A2:B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CU-01: IJT Joining System Base</t>
        </is>
      </c>
      <c r="B1" s="167" t="n"/>
      <c r="C1" s="167" t="n"/>
      <c r="D1" s="167" t="n"/>
      <c r="E1" s="167" t="n"/>
      <c r="F1" s="167" t="n"/>
      <c r="G1" s="167" t="n"/>
      <c r="H1" s="167" t="n"/>
      <c r="I1" s="167" t="n"/>
      <c r="J1" s="167" t="n"/>
      <c r="K1" s="168" t="n"/>
    </row>
    <row r="2" ht="22" customHeight="1" s="173">
      <c r="A2" s="273">
        <f>HYPERLINK("#'Home'!A1","⌂ Home")</f>
        <v/>
      </c>
      <c r="C2" s="274" t="inlineStr">
        <is>
          <t>CU-01 — IJT Joining System Base</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JoiningSystemType is present and correctly defined in the Server TypeSystem</t>
        </is>
      </c>
      <c r="E4" s="278" t="n"/>
      <c r="F4" s="278" t="n"/>
      <c r="G4" s="278" t="n"/>
      <c r="H4" s="278" t="n"/>
      <c r="I4" s="278" t="inlineStr">
        <is>
          <t>n</t>
        </is>
      </c>
      <c r="J4" s="278" t="inlineStr">
        <is>
          <t>OPC 40450-1 Section 7.1 Table 15</t>
        </is>
      </c>
      <c r="K4" s="278" t="n"/>
    </row>
    <row r="5" ht="64" customHeight="1" s="173">
      <c r="A5" s="404" t="n"/>
      <c r="B5" s="404" t="n"/>
      <c r="C5" s="404" t="n">
        <v>1</v>
      </c>
      <c r="D5" s="404" t="inlineStr">
        <is>
          <t>Locate the JoiningSystemType ObjectType in the Server TypeSystem by any valid OPC UA address-space navigation mechanism, and verify its Attributes conform to the type definition in the specification.</t>
        </is>
      </c>
      <c r="E5" s="404" t="inlineStr">
        <is>
          <t>OPC UA session established. Server reachable via endpoint.</t>
        </is>
      </c>
      <c r="F5" s="404" t="inlineStr">
        <is>
          <t>JoiningSystemType is found in the IJT Base namespace and its Attributes conform to the specification (it is an ObjectType with IsAbstract = False, so instances are permitted).</t>
        </is>
      </c>
      <c r="G5" s="404" t="inlineStr">
        <is>
          <t>Good</t>
        </is>
      </c>
      <c r="H5" s="404" t="inlineStr">
        <is>
          <t>Good</t>
        </is>
      </c>
      <c r="I5" s="404" t="n"/>
      <c r="J5" s="404" t="inlineStr">
        <is>
          <t>OPC 40450-1 Section 7.1 Table 15</t>
        </is>
      </c>
      <c r="K5" s="404" t="n"/>
    </row>
    <row r="6" ht="34" customHeight="1" s="173">
      <c r="A6" s="278" t="inlineStr">
        <is>
          <t>y</t>
        </is>
      </c>
      <c r="B6" s="278" t="n">
        <v>2</v>
      </c>
      <c r="C6" s="278" t="n">
        <v>0</v>
      </c>
      <c r="D6" s="278" t="inlineStr">
        <is>
          <t>Verify JoiningSystemType inherits from BaseObjectType</t>
        </is>
      </c>
      <c r="E6" s="278" t="n"/>
      <c r="F6" s="278" t="n"/>
      <c r="G6" s="278" t="n"/>
      <c r="H6" s="278" t="n"/>
      <c r="I6" s="278" t="inlineStr">
        <is>
          <t>n</t>
        </is>
      </c>
      <c r="J6" s="278" t="inlineStr">
        <is>
          <t>OPC 40450-1 Section 7.1 Table 15</t>
        </is>
      </c>
      <c r="K6" s="278" t="n"/>
    </row>
    <row r="7" ht="34" customHeight="1" s="173">
      <c r="A7" s="404" t="n"/>
      <c r="B7" s="404" t="n"/>
      <c r="C7" s="404" t="n">
        <v>1</v>
      </c>
      <c r="D7" s="404" t="inlineStr">
        <is>
          <t>Follow the HasSubtype inverse Reference from JoiningSystemType upward through the type hierarchy.</t>
        </is>
      </c>
      <c r="E7" s="404" t="inlineStr">
        <is>
          <t>JoiningSystemType found.</t>
        </is>
      </c>
      <c r="F7" s="404" t="inlineStr">
        <is>
          <t>JoiningSystemType is a direct or indirect subtype of the OPC UA BaseObjectType.</t>
        </is>
      </c>
      <c r="G7" s="404" t="inlineStr">
        <is>
          <t>Good</t>
        </is>
      </c>
      <c r="H7" s="404" t="inlineStr">
        <is>
          <t>Good</t>
        </is>
      </c>
      <c r="I7" s="404" t="n"/>
      <c r="J7" s="404" t="inlineStr">
        <is>
          <t>OPC 40450-1 Section 7.1 Table 15</t>
        </is>
      </c>
      <c r="K7" s="404" t="n"/>
    </row>
    <row r="8" ht="34" customHeight="1" s="173">
      <c r="A8" s="278" t="inlineStr">
        <is>
          <t>y</t>
        </is>
      </c>
      <c r="B8" s="278" t="n">
        <v>3</v>
      </c>
      <c r="C8" s="278" t="n">
        <v>0</v>
      </c>
      <c r="D8" s="278" t="inlineStr">
        <is>
          <t>Verify JoiningSystemType mandatory AddIn: DI:Identification</t>
        </is>
      </c>
      <c r="E8" s="278" t="n"/>
      <c r="F8" s="278" t="n"/>
      <c r="G8" s="278" t="n"/>
      <c r="H8" s="278" t="n"/>
      <c r="I8" s="278" t="inlineStr">
        <is>
          <t>n</t>
        </is>
      </c>
      <c r="J8" s="278" t="inlineStr">
        <is>
          <t>OPC 40450-1 Section 7.1 Table 15</t>
        </is>
      </c>
      <c r="K8" s="278" t="n"/>
    </row>
    <row r="9" ht="34" customHeight="1" s="173">
      <c r="A9" s="404" t="n"/>
      <c r="B9" s="404" t="n"/>
      <c r="C9" s="404" t="n">
        <v>1</v>
      </c>
      <c r="D9" s="404" t="inlineStr">
        <is>
          <t>From JoiningSystemType, follow HasAddIn References and verify the DI:Identification component.</t>
        </is>
      </c>
      <c r="E9" s="404" t="inlineStr">
        <is>
          <t>JoiningSystemType found.</t>
        </is>
      </c>
      <c r="F9" s="404" t="inlineStr">
        <is>
          <t>A HasAddIn Reference to DI:Identification is present with ModellingRule = Mandatory.</t>
        </is>
      </c>
      <c r="G9" s="404" t="inlineStr">
        <is>
          <t>Good</t>
        </is>
      </c>
      <c r="H9" s="404" t="inlineStr">
        <is>
          <t>Good</t>
        </is>
      </c>
      <c r="I9" s="404" t="n"/>
      <c r="J9" s="404" t="inlineStr">
        <is>
          <t>OPC 40450-1 Section 7.1 Table 15</t>
        </is>
      </c>
      <c r="K9" s="404" t="n"/>
    </row>
    <row r="10" ht="34" customHeight="1" s="173">
      <c r="A10" s="404" t="n"/>
      <c r="B10" s="404" t="n"/>
      <c r="C10" s="404" t="n">
        <v>2</v>
      </c>
      <c r="D10" s="404" t="inlineStr">
        <is>
          <t>Verify the TypeDefinition of the DI:Identification component.</t>
        </is>
      </c>
      <c r="E10" s="404" t="inlineStr">
        <is>
          <t>DI:Identification component found.</t>
        </is>
      </c>
      <c r="F10" s="404" t="inlineStr">
        <is>
          <t>TypeDefinition = JoiningSystemIdentificationType or a subtype thereof.</t>
        </is>
      </c>
      <c r="G10" s="404" t="inlineStr">
        <is>
          <t>Good</t>
        </is>
      </c>
      <c r="H10" s="404" t="inlineStr">
        <is>
          <t>Good</t>
        </is>
      </c>
      <c r="I10" s="404" t="n"/>
      <c r="J10" s="404" t="inlineStr">
        <is>
          <t>OPC 40450-1 Section 7.1 Table 15</t>
        </is>
      </c>
      <c r="K10" s="404" t="n"/>
    </row>
    <row r="11" ht="34" customHeight="1" s="173">
      <c r="A11" s="278" t="inlineStr">
        <is>
          <t>y</t>
        </is>
      </c>
      <c r="B11" s="278" t="n">
        <v>4</v>
      </c>
      <c r="C11" s="278" t="n">
        <v>0</v>
      </c>
      <c r="D11" s="278" t="inlineStr">
        <is>
          <t>Verify JoiningSystemType optional component: AssetManagement</t>
        </is>
      </c>
      <c r="E11" s="278" t="n"/>
      <c r="F11" s="278" t="n"/>
      <c r="G11" s="278" t="n"/>
      <c r="H11" s="278" t="n"/>
      <c r="I11" s="278" t="inlineStr">
        <is>
          <t>n</t>
        </is>
      </c>
      <c r="J11" s="278" t="inlineStr">
        <is>
          <t>OPC 40450-1 Section 7.1 Table 15</t>
        </is>
      </c>
      <c r="K11" s="278" t="inlineStr">
        <is>
          <t>Detailed checks are covered by the Asset Management CU.</t>
        </is>
      </c>
    </row>
    <row r="12" ht="49" customHeight="1" s="173">
      <c r="A12" s="404" t="n"/>
      <c r="B12" s="404" t="n"/>
      <c r="C12" s="404" t="n">
        <v>1</v>
      </c>
      <c r="D12" s="404" t="inlineStr">
        <is>
          <t>From JoiningSystemType, follow HasComponent References and verify the AssetManagement component.</t>
        </is>
      </c>
      <c r="E12" s="404" t="inlineStr">
        <is>
          <t>The optional components and properties described in the test case are supported. JoiningSystemType found.</t>
        </is>
      </c>
      <c r="F12" s="404" t="inlineStr">
        <is>
          <t>AssetManagement is present with ModellingRule = Optional and TypeDefinition = DI:FunctionalGroupType.</t>
        </is>
      </c>
      <c r="G12" s="404" t="inlineStr">
        <is>
          <t>Good</t>
        </is>
      </c>
      <c r="H12" s="404" t="inlineStr">
        <is>
          <t>Good</t>
        </is>
      </c>
      <c r="I12" s="404" t="n"/>
      <c r="J12" s="404" t="inlineStr">
        <is>
          <t>OPC 40450-1 Section 7.1 Table 15</t>
        </is>
      </c>
      <c r="K12" s="404" t="n"/>
    </row>
    <row r="13" ht="34" customHeight="1" s="173">
      <c r="A13" s="278" t="inlineStr">
        <is>
          <t>y</t>
        </is>
      </c>
      <c r="B13" s="278" t="n">
        <v>5</v>
      </c>
      <c r="C13" s="278" t="n">
        <v>0</v>
      </c>
      <c r="D13" s="278" t="inlineStr">
        <is>
          <t>Verify JoiningSystemType optional AddIn: MachineryResult:ResultManagement</t>
        </is>
      </c>
      <c r="E13" s="278" t="n"/>
      <c r="F13" s="278" t="n"/>
      <c r="G13" s="278" t="n"/>
      <c r="H13" s="278" t="n"/>
      <c r="I13" s="278" t="inlineStr">
        <is>
          <t>n</t>
        </is>
      </c>
      <c r="J13" s="278" t="inlineStr">
        <is>
          <t>OPC 40450-1 Section 7.1 Table 15</t>
        </is>
      </c>
      <c r="K13" s="278" t="inlineStr">
        <is>
          <t>Detailed checks are covered by the Result Management CU.</t>
        </is>
      </c>
    </row>
    <row r="14" ht="49" customHeight="1" s="173">
      <c r="A14" s="404" t="n"/>
      <c r="B14" s="404" t="n"/>
      <c r="C14" s="404" t="n">
        <v>1</v>
      </c>
      <c r="D14" s="404" t="inlineStr">
        <is>
          <t>From JoiningSystemType, follow HasAddIn References and verify the ResultManagement component.</t>
        </is>
      </c>
      <c r="E14" s="404" t="inlineStr">
        <is>
          <t>The optional components and properties described in the test case are supported. JoiningSystemType found.</t>
        </is>
      </c>
      <c r="F14" s="404" t="inlineStr">
        <is>
          <t>ResultManagement (MachineryResult namespace) is present with ModellingRule = Optional and TypeDefinition = JoiningSystemResultManagementType or a subtype.</t>
        </is>
      </c>
      <c r="G14" s="404" t="inlineStr">
        <is>
          <t>Good</t>
        </is>
      </c>
      <c r="H14" s="404" t="inlineStr">
        <is>
          <t>Good</t>
        </is>
      </c>
      <c r="I14" s="404" t="n"/>
      <c r="J14" s="404" t="inlineStr">
        <is>
          <t>OPC 40450-1 Section 7.1 Table 15</t>
        </is>
      </c>
      <c r="K14" s="404" t="n"/>
    </row>
    <row r="15" ht="49" customHeight="1" s="173">
      <c r="A15" s="278" t="inlineStr">
        <is>
          <t>y</t>
        </is>
      </c>
      <c r="B15" s="278" t="n">
        <v>6</v>
      </c>
      <c r="C15" s="278" t="n">
        <v>0</v>
      </c>
      <c r="D15" s="278" t="inlineStr">
        <is>
          <t>Verify JoiningSystemType optional AddIn: JoiningProcessManagement</t>
        </is>
      </c>
      <c r="E15" s="278" t="n"/>
      <c r="F15" s="278" t="n"/>
      <c r="G15" s="278" t="n"/>
      <c r="H15" s="278" t="n"/>
      <c r="I15" s="278" t="inlineStr">
        <is>
          <t>n</t>
        </is>
      </c>
      <c r="J15" s="278" t="inlineStr">
        <is>
          <t>OPC 40450-1 Section 7.1 Table 15</t>
        </is>
      </c>
      <c r="K15" s="278" t="inlineStr">
        <is>
          <t>Detailed checks are covered by the Joining Process Management CU.</t>
        </is>
      </c>
    </row>
    <row r="16" ht="49" customHeight="1" s="173">
      <c r="A16" s="404" t="n"/>
      <c r="B16" s="404" t="n"/>
      <c r="C16" s="404" t="n">
        <v>1</v>
      </c>
      <c r="D16" s="404" t="inlineStr">
        <is>
          <t>From JoiningSystemType, follow HasAddIn References and verify the JoiningProcessManagement component.</t>
        </is>
      </c>
      <c r="E16" s="404" t="inlineStr">
        <is>
          <t>The optional components and properties described in the test case are supported. JoiningSystemType found.</t>
        </is>
      </c>
      <c r="F16" s="404" t="inlineStr">
        <is>
          <t>JoiningProcessManagement is present with ModellingRule = Optional and TypeDefinition = JoiningProcessManagementType or a subtype.</t>
        </is>
      </c>
      <c r="G16" s="404" t="inlineStr">
        <is>
          <t>Good</t>
        </is>
      </c>
      <c r="H16" s="404" t="inlineStr">
        <is>
          <t>Good</t>
        </is>
      </c>
      <c r="I16" s="404" t="n"/>
      <c r="J16" s="404" t="inlineStr">
        <is>
          <t>OPC 40450-1 Section 7.1 Table 15</t>
        </is>
      </c>
      <c r="K16" s="404" t="n"/>
    </row>
    <row r="17" ht="34" customHeight="1" s="173">
      <c r="A17" s="278" t="inlineStr">
        <is>
          <t>y</t>
        </is>
      </c>
      <c r="B17" s="278" t="n">
        <v>7</v>
      </c>
      <c r="C17" s="278" t="n">
        <v>0</v>
      </c>
      <c r="D17" s="278" t="inlineStr">
        <is>
          <t>Verify JoiningSystemType optional AddIn: JointManagement</t>
        </is>
      </c>
      <c r="E17" s="278" t="n"/>
      <c r="F17" s="278" t="n"/>
      <c r="G17" s="278" t="n"/>
      <c r="H17" s="278" t="n"/>
      <c r="I17" s="278" t="inlineStr">
        <is>
          <t>n</t>
        </is>
      </c>
      <c r="J17" s="278" t="inlineStr">
        <is>
          <t>OPC 40450-1 Section 7.1 Table 15</t>
        </is>
      </c>
      <c r="K17" s="278" t="inlineStr">
        <is>
          <t>Detailed checks are covered by the Joint Management CU.</t>
        </is>
      </c>
    </row>
    <row r="18" ht="49" customFormat="1" customHeight="1" s="2">
      <c r="A18" s="404" t="n"/>
      <c r="B18" s="404" t="n"/>
      <c r="C18" s="404" t="n">
        <v>1</v>
      </c>
      <c r="D18" s="404" t="inlineStr">
        <is>
          <t>From JoiningSystemType, follow HasAddIn References and verify the JointManagement component.</t>
        </is>
      </c>
      <c r="E18" s="404" t="inlineStr">
        <is>
          <t>The optional components and properties described in the test case are supported. JoiningSystemType found.</t>
        </is>
      </c>
      <c r="F18" s="404" t="inlineStr">
        <is>
          <t>JointManagement is present with ModellingRule = Optional and TypeDefinition = JointManagementType or a subtype.</t>
        </is>
      </c>
      <c r="G18" s="404" t="inlineStr">
        <is>
          <t>Good</t>
        </is>
      </c>
      <c r="H18" s="404" t="inlineStr">
        <is>
          <t>Good</t>
        </is>
      </c>
      <c r="I18" s="404" t="n"/>
      <c r="J18" s="404" t="inlineStr">
        <is>
          <t>OPC 40450-1 Section 7.1 Table 15</t>
        </is>
      </c>
      <c r="K18" s="404" t="n"/>
    </row>
    <row r="19" ht="34" customHeight="1" s="173">
      <c r="A19" s="278" t="inlineStr">
        <is>
          <t>y</t>
        </is>
      </c>
      <c r="B19" s="278" t="n">
        <v>8</v>
      </c>
      <c r="C19" s="278" t="n">
        <v>0</v>
      </c>
      <c r="D19" s="278" t="inlineStr">
        <is>
          <t>Verify JoiningSystemType optional component: Machinery:MachineryBuildingBlocks</t>
        </is>
      </c>
      <c r="E19" s="278" t="n"/>
      <c r="F19" s="278" t="n"/>
      <c r="G19" s="278" t="n"/>
      <c r="H19" s="278" t="n"/>
      <c r="I19" s="278" t="inlineStr">
        <is>
          <t>n</t>
        </is>
      </c>
      <c r="J19" s="278" t="inlineStr">
        <is>
          <t>OPC 40450-1 Section 7.1 Table 15</t>
        </is>
      </c>
      <c r="K19" s="278" t="inlineStr">
        <is>
          <t>Detailed checks are covered by the Machinery Building Blocks CU.</t>
        </is>
      </c>
    </row>
    <row r="20" ht="49" customHeight="1" s="173">
      <c r="A20" s="404" t="n"/>
      <c r="B20" s="404" t="n"/>
      <c r="C20" s="404" t="n">
        <v>1</v>
      </c>
      <c r="D20" s="404" t="inlineStr">
        <is>
          <t>From JoiningSystemType, follow HasComponent References and verify the Machinery:MachineryBuildingBlocks component.</t>
        </is>
      </c>
      <c r="E20" s="404" t="inlineStr">
        <is>
          <t>The optional components and properties described in the test case are supported. JoiningSystemType found.</t>
        </is>
      </c>
      <c r="F20" s="404" t="inlineStr">
        <is>
          <t>Machinery:MachineryBuildingBlocks is present with ModellingRule = Optional and TypeDefinition = the OPC UA FolderType.</t>
        </is>
      </c>
      <c r="G20" s="404" t="inlineStr">
        <is>
          <t>Good</t>
        </is>
      </c>
      <c r="H20" s="404" t="inlineStr">
        <is>
          <t>Good</t>
        </is>
      </c>
      <c r="I20" s="404" t="n"/>
      <c r="J20" s="404" t="inlineStr">
        <is>
          <t>OPC 40450-1 Section 7.1 Table 15</t>
        </is>
      </c>
      <c r="K20" s="404" t="n"/>
    </row>
    <row r="21" ht="34" customHeight="1" s="173">
      <c r="A21" s="278" t="inlineStr">
        <is>
          <t>y</t>
        </is>
      </c>
      <c r="B21" s="278" t="n">
        <v>9</v>
      </c>
      <c r="C21" s="278" t="n">
        <v>0</v>
      </c>
      <c r="D21" s="278" t="inlineStr">
        <is>
          <t>Verify at least one instance of JoiningSystemType exists in the Objects folder</t>
        </is>
      </c>
      <c r="E21" s="278" t="n"/>
      <c r="F21" s="278" t="n"/>
      <c r="G21" s="278" t="n"/>
      <c r="H21" s="278" t="n"/>
      <c r="I21" s="278" t="inlineStr">
        <is>
          <t>n</t>
        </is>
      </c>
      <c r="J21" s="278" t="inlineStr">
        <is>
          <t>OPC 40450-1 Section 7.1 Table 15</t>
        </is>
      </c>
      <c r="K21" s="278" t="n"/>
    </row>
    <row r="22" ht="49" customHeight="1" s="173">
      <c r="A22" s="404" t="n"/>
      <c r="B22" s="404" t="n"/>
      <c r="C22" s="404" t="n">
        <v>1</v>
      </c>
      <c r="D22" s="404" t="inlineStr">
        <is>
          <t>Locate Object nodes below the Objects folder by any valid OPC UA address-space navigation mechanism, and for each candidate verify its TypeDefinition.</t>
        </is>
      </c>
      <c r="E22" s="404" t="inlineStr">
        <is>
          <t>Server is running and reachable via an OPC UA session.</t>
        </is>
      </c>
      <c r="F22" s="404" t="inlineStr">
        <is>
          <t>At least one Object whose TypeDefinition is JoiningSystemType (or a subtype) is found.</t>
        </is>
      </c>
      <c r="G22" s="404" t="inlineStr">
        <is>
          <t>Good</t>
        </is>
      </c>
      <c r="H22" s="404" t="inlineStr">
        <is>
          <t>Good</t>
        </is>
      </c>
      <c r="I22" s="404" t="n"/>
      <c r="J22" s="404" t="inlineStr">
        <is>
          <t>OPC 40450-1 Section 7.1 Table 15</t>
        </is>
      </c>
      <c r="K22" s="404" t="n"/>
    </row>
    <row r="23" ht="34" customHeight="1" s="173">
      <c r="A23" s="278" t="inlineStr">
        <is>
          <t>y</t>
        </is>
      </c>
      <c r="B23" s="278" t="n">
        <v>10</v>
      </c>
      <c r="C23" s="278" t="n">
        <v>0</v>
      </c>
      <c r="D23" s="278" t="inlineStr">
        <is>
          <t>Verify each JoiningSystem instance has the mandatory DI:Identification AddIn</t>
        </is>
      </c>
      <c r="E23" s="278" t="n"/>
      <c r="F23" s="278" t="n"/>
      <c r="G23" s="278" t="n"/>
      <c r="H23" s="278" t="n"/>
      <c r="I23" s="278" t="inlineStr">
        <is>
          <t>n</t>
        </is>
      </c>
      <c r="J23" s="278" t="inlineStr">
        <is>
          <t>OPC 40450-1 Section 7.1 Table 15</t>
        </is>
      </c>
      <c r="K23" s="278" t="n"/>
    </row>
    <row r="24" ht="34" customHeight="1" s="173">
      <c r="A24" s="404" t="n"/>
      <c r="B24" s="404" t="n"/>
      <c r="C24" s="404" t="n">
        <v>1</v>
      </c>
      <c r="D24" s="404" t="inlineStr">
        <is>
          <t>For each JoiningSystem instance found, follow HasAddIn References and verify the DI:Identification component.</t>
        </is>
      </c>
      <c r="E24" s="404" t="inlineStr">
        <is>
          <t>At least one JoiningSystem instance found.</t>
        </is>
      </c>
      <c r="F24" s="404" t="inlineStr">
        <is>
          <t>DI:Identification AddIn is present on every JoiningSystem instance.</t>
        </is>
      </c>
      <c r="G24" s="404" t="inlineStr">
        <is>
          <t>Good</t>
        </is>
      </c>
      <c r="H24" s="404" t="inlineStr">
        <is>
          <t>Good</t>
        </is>
      </c>
      <c r="I24" s="404" t="n"/>
      <c r="J24" s="404" t="inlineStr">
        <is>
          <t>OPC 40450-1 Section 7.1 Table 15</t>
        </is>
      </c>
      <c r="K24" s="404" t="n"/>
    </row>
    <row r="25" ht="34" customHeight="1" s="173">
      <c r="A25" s="404" t="n"/>
      <c r="B25" s="404" t="n"/>
      <c r="C25" s="404" t="n">
        <v>2</v>
      </c>
      <c r="D25" s="404" t="inlineStr">
        <is>
          <t>Verify the TypeDefinition of DI:Identification on each instance.</t>
        </is>
      </c>
      <c r="E25" s="404" t="inlineStr">
        <is>
          <t>DI:Identification present.</t>
        </is>
      </c>
      <c r="F25" s="404" t="inlineStr">
        <is>
          <t>TypeDefinition = JoiningSystemIdentificationType or a subtype.</t>
        </is>
      </c>
      <c r="G25" s="404" t="inlineStr">
        <is>
          <t>Good</t>
        </is>
      </c>
      <c r="H25" s="404" t="inlineStr">
        <is>
          <t>Good</t>
        </is>
      </c>
      <c r="I25" s="404" t="n"/>
      <c r="J25" s="404" t="inlineStr">
        <is>
          <t>OPC 40450-1 Section 7.1 Table 15</t>
        </is>
      </c>
      <c r="K25" s="404" t="n"/>
    </row>
    <row r="26" ht="34" customHeight="1" s="173">
      <c r="A26" s="278" t="inlineStr">
        <is>
          <t>y</t>
        </is>
      </c>
      <c r="B26" s="278" t="n">
        <v>11</v>
      </c>
      <c r="C26" s="278" t="n">
        <v>0</v>
      </c>
      <c r="D26" s="278" t="inlineStr">
        <is>
          <t>Verify Variable DataType Attributes match the type definition in JoiningSystem instances</t>
        </is>
      </c>
      <c r="E26" s="278" t="n"/>
      <c r="F26" s="278" t="n"/>
      <c r="G26" s="278" t="n"/>
      <c r="H26" s="278" t="n"/>
      <c r="I26" s="278" t="inlineStr">
        <is>
          <t>n</t>
        </is>
      </c>
      <c r="J26" s="278" t="inlineStr">
        <is>
          <t>OPC 40450-1 Section 7.1 Table 15</t>
        </is>
      </c>
      <c r="K26" s="278" t="n"/>
    </row>
    <row r="27" ht="49" customHeight="1" s="173">
      <c r="A27" s="404" t="n"/>
      <c r="B27" s="404" t="n"/>
      <c r="C27" s="404" t="n">
        <v>1</v>
      </c>
      <c r="D27" s="404" t="inlineStr">
        <is>
          <t>For each JoiningSystem instance, verify the DataType Attribute of the Variables exposed under the instance against the type definition.</t>
        </is>
      </c>
      <c r="E27" s="404" t="inlineStr">
        <is>
          <t>JoiningSystem instance accessible.</t>
        </is>
      </c>
      <c r="F27" s="404" t="inlineStr">
        <is>
          <t>The DataType of each Variable matches the type defined in JoiningSystemType or JoiningSystemIdentificationType (subtypes are allowed).</t>
        </is>
      </c>
      <c r="G27" s="404" t="inlineStr">
        <is>
          <t>Good</t>
        </is>
      </c>
      <c r="H27" s="404" t="inlineStr">
        <is>
          <t>Good</t>
        </is>
      </c>
      <c r="I27" s="404" t="n"/>
      <c r="J27" s="404" t="inlineStr">
        <is>
          <t>OPC 40450-1 Section 7.1 Table 15</t>
        </is>
      </c>
      <c r="K27" s="404" t="n"/>
    </row>
    <row r="28" ht="49" customHeight="1" s="173"/>
    <row r="29" ht="90" customHeight="1" s="173"/>
    <row r="30" ht="20.05" customHeight="1" s="173"/>
    <row r="31" ht="64" customHeight="1" s="173"/>
    <row r="32" ht="20.05" customHeight="1" s="173"/>
    <row r="33" ht="38.7" customHeight="1" s="173"/>
    <row r="34" ht="20.05" customHeight="1" s="173"/>
    <row r="35" ht="38.7" customHeight="1" s="173"/>
    <row r="36" ht="20.05" customHeight="1" s="173"/>
    <row r="37" ht="38.7" customHeight="1" s="173"/>
    <row r="38" ht="20.05" customHeight="1" s="173"/>
    <row r="39" ht="51.6" customHeight="1" s="173"/>
  </sheetData>
  <mergeCells count="2">
    <mergeCell ref="A1:K1"/>
    <mergeCell ref="C2:J2"/>
  </mergeCells>
  <pageMargins left="0.7" right="0.7" top="0.75" bottom="0.75" header="0.3" footer="0.3"/>
</worksheet>
</file>

<file path=xl/worksheets/sheet5.xml><?xml version="1.0" encoding="utf-8"?>
<worksheet xmlns="http://schemas.openxmlformats.org/spreadsheetml/2006/main">
  <sheetPr codeName="Sheet2">
    <tabColor rgb="FF2E75B6"/>
    <outlinePr summaryBelow="1" summaryRight="1"/>
    <pageSetUpPr/>
  </sheetPr>
  <dimension ref="A1:K18"/>
  <sheetViews>
    <sheetView workbookViewId="0">
      <pane ySplit="2" topLeftCell="A21" activePane="bottomLeft" state="frozen"/>
      <selection pane="bottomLeft" activeCell="D11" sqref="D11"/>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CU-02: IJT Joining System Identification</t>
        </is>
      </c>
      <c r="B1" s="167" t="n"/>
      <c r="C1" s="167" t="n"/>
      <c r="D1" s="167" t="n"/>
      <c r="E1" s="167" t="n"/>
      <c r="F1" s="167" t="n"/>
      <c r="G1" s="167" t="n"/>
      <c r="H1" s="167" t="n"/>
      <c r="I1" s="167" t="n"/>
      <c r="J1" s="167" t="n"/>
      <c r="K1" s="168" t="n"/>
    </row>
    <row r="2" ht="22" customHeight="1" s="173">
      <c r="A2" s="273">
        <f>HYPERLINK("#'Home'!A1","⌂ Home")</f>
        <v/>
      </c>
      <c r="C2" s="274" t="inlineStr">
        <is>
          <t>CU-02 — IJT Joining System Identification</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JoiningSystemIdentificationType is present and correctly defined in the Server TypeSystem</t>
        </is>
      </c>
      <c r="E4" s="278" t="n"/>
      <c r="F4" s="278" t="n"/>
      <c r="G4" s="278" t="n"/>
      <c r="H4" s="278" t="n"/>
      <c r="I4" s="278" t="inlineStr">
        <is>
          <t>n</t>
        </is>
      </c>
      <c r="J4" s="278" t="inlineStr">
        <is>
          <t>OPC 40450-1 Section 7.1 Table 20</t>
        </is>
      </c>
      <c r="K4" s="278" t="n"/>
    </row>
    <row r="5" ht="64" customFormat="1" customHeight="1" s="2">
      <c r="A5" s="404" t="n"/>
      <c r="B5" s="404" t="n"/>
      <c r="C5" s="404" t="n">
        <v>1</v>
      </c>
      <c r="D5" s="404" t="inlineStr">
        <is>
          <t>Locate the JoiningSystemIdentificationType ObjectType in the Server TypeSystem by any valid OPC UA address-space navigation mechanism, and verify its Attributes conform to the type definition in the specification.</t>
        </is>
      </c>
      <c r="E5" s="404" t="inlineStr">
        <is>
          <t>OPC UA session established. Server reachable via endpoint.</t>
        </is>
      </c>
      <c r="F5" s="404" t="inlineStr">
        <is>
          <t>JoiningSystemIdentificationType is found in the IJT Base namespace and its Attributes conform to the specification (it is an ObjectType with IsAbstract = False).</t>
        </is>
      </c>
      <c r="G5" s="404" t="inlineStr">
        <is>
          <t>Good</t>
        </is>
      </c>
      <c r="H5" s="404" t="inlineStr">
        <is>
          <t>Good</t>
        </is>
      </c>
      <c r="I5" s="404" t="n"/>
      <c r="J5" s="404" t="inlineStr">
        <is>
          <t>OPC 40450-1 Section 7.1 Table 20</t>
        </is>
      </c>
      <c r="K5" s="404" t="n"/>
    </row>
    <row r="6" ht="34" customHeight="1" s="173">
      <c r="A6" s="278" t="inlineStr">
        <is>
          <t>y</t>
        </is>
      </c>
      <c r="B6" s="278" t="n">
        <v>2</v>
      </c>
      <c r="C6" s="278" t="n">
        <v>0</v>
      </c>
      <c r="D6" s="278" t="inlineStr">
        <is>
          <t>Verify JoiningSystemIdentificationType inherits from DI:FunctionalGroupType</t>
        </is>
      </c>
      <c r="E6" s="278" t="n"/>
      <c r="F6" s="278" t="n"/>
      <c r="G6" s="278" t="n"/>
      <c r="H6" s="278" t="n"/>
      <c r="I6" s="278" t="inlineStr">
        <is>
          <t>n</t>
        </is>
      </c>
      <c r="J6" s="278" t="inlineStr">
        <is>
          <t>OPC 40450-1 Section 7.1 Table 20</t>
        </is>
      </c>
      <c r="K6" s="278" t="n"/>
    </row>
    <row r="7" ht="49" customHeight="1" s="173">
      <c r="A7" s="404" t="n"/>
      <c r="B7" s="404" t="n"/>
      <c r="C7" s="404" t="n">
        <v>1</v>
      </c>
      <c r="D7" s="404" t="inlineStr">
        <is>
          <t>Follow the HasSubtype inverse Reference from JoiningSystemIdentificationType upward through the type hierarchy.</t>
        </is>
      </c>
      <c r="E7" s="404" t="inlineStr">
        <is>
          <t>JoiningSystemIdentificationType found.</t>
        </is>
      </c>
      <c r="F7" s="404" t="inlineStr">
        <is>
          <t>JoiningSystemIdentificationType is a direct or indirect subtype of DI:FunctionalGroupType (defined in OPC 10000-100).</t>
        </is>
      </c>
      <c r="G7" s="404" t="inlineStr">
        <is>
          <t>Good</t>
        </is>
      </c>
      <c r="H7" s="404" t="inlineStr">
        <is>
          <t>Good</t>
        </is>
      </c>
      <c r="I7" s="404" t="n"/>
      <c r="J7" s="404" t="inlineStr">
        <is>
          <t>OPC 40450-1 Section 7.1 Table 20</t>
        </is>
      </c>
      <c r="K7" s="404" t="n"/>
    </row>
    <row r="8" ht="34" customHeight="1" s="173">
      <c r="A8" s="278" t="inlineStr">
        <is>
          <t>y</t>
        </is>
      </c>
      <c r="B8" s="278" t="n">
        <v>3</v>
      </c>
      <c r="C8" s="278" t="n">
        <v>0</v>
      </c>
      <c r="D8" s="278" t="inlineStr">
        <is>
          <t>Verify mandatory Property Name is declared in JoiningSystemIdentificationType</t>
        </is>
      </c>
      <c r="E8" s="278" t="n"/>
      <c r="F8" s="278" t="n"/>
      <c r="G8" s="278" t="n"/>
      <c r="H8" s="278" t="n"/>
      <c r="I8" s="278" t="inlineStr">
        <is>
          <t>n</t>
        </is>
      </c>
      <c r="J8" s="278" t="inlineStr">
        <is>
          <t>OPC 40450-1 Section 7.1 Table 20</t>
        </is>
      </c>
      <c r="K8" s="278" t="n"/>
    </row>
    <row r="9" ht="34" customHeight="1" s="173">
      <c r="A9" s="404" t="n"/>
      <c r="B9" s="404" t="n"/>
      <c r="C9" s="404" t="n">
        <v>1</v>
      </c>
      <c r="D9" s="404" t="inlineStr">
        <is>
          <t>From JoiningSystemIdentificationType, follow HasProperty References and verify the Name Property.</t>
        </is>
      </c>
      <c r="E9" s="404" t="inlineStr">
        <is>
          <t>JoiningSystemIdentificationType found.</t>
        </is>
      </c>
      <c r="F9" s="404" t="inlineStr">
        <is>
          <t>A Property Name is declared with ModellingRule = Mandatory and DataType = String.</t>
        </is>
      </c>
      <c r="G9" s="404" t="inlineStr">
        <is>
          <t>Good</t>
        </is>
      </c>
      <c r="H9" s="404" t="inlineStr">
        <is>
          <t>Good</t>
        </is>
      </c>
      <c r="I9" s="404" t="n"/>
      <c r="J9" s="404" t="inlineStr">
        <is>
          <t>OPC 40450-1 Section 7.1 Table 20</t>
        </is>
      </c>
      <c r="K9" s="404" t="n"/>
    </row>
    <row r="10" ht="34" customHeight="1" s="173">
      <c r="A10" s="278" t="inlineStr">
        <is>
          <t>y</t>
        </is>
      </c>
      <c r="B10" s="278" t="n">
        <v>4</v>
      </c>
      <c r="C10" s="278" t="n">
        <v>0</v>
      </c>
      <c r="D10" s="278" t="inlineStr">
        <is>
          <t>Verify optional identification Properties are declared per the type definition</t>
        </is>
      </c>
      <c r="E10" s="278" t="n"/>
      <c r="F10" s="278" t="n"/>
      <c r="G10" s="278" t="n"/>
      <c r="H10" s="278" t="n"/>
      <c r="I10" s="278" t="inlineStr">
        <is>
          <t>n</t>
        </is>
      </c>
      <c r="J10" s="278" t="inlineStr">
        <is>
          <t>OPC 40450-1 Section 7.1 Table 20</t>
        </is>
      </c>
      <c r="K10" s="278" t="n"/>
    </row>
    <row r="11" ht="90" customHeight="1" s="173">
      <c r="A11" s="404" t="n"/>
      <c r="B11" s="404" t="n"/>
      <c r="C11" s="404" t="n">
        <v>1</v>
      </c>
      <c r="D11" s="404" t="inlineStr">
        <is>
          <t>From JoiningSystemIdentificationType, follow HasProperty References and verify the optional Properties declared by the type definition.</t>
        </is>
      </c>
      <c r="E11" s="404" t="inlineStr">
        <is>
          <t>The optional components and properties described in the test case are supported. JoiningSystemIdentificationType found.</t>
        </is>
      </c>
      <c r="F11" s="404" t="inlineStr">
        <is>
          <t>The following optional Properties are declared with ModellingRule = Optional and the DataTypes defined in Table 20: DI:ProductInstanceUri (String), IntegratorName (String), Description (LocalizedText), JoiningTechnology (LocalizedText), DI:Manufacturer (LocalizedText), DI:ManufacturerUri (String), DI:Model (LocalizedText), SystemId (String), Machinery:Location (String).</t>
        </is>
      </c>
      <c r="G11" s="404" t="inlineStr">
        <is>
          <t>Good</t>
        </is>
      </c>
      <c r="H11" s="404" t="inlineStr">
        <is>
          <t>Good</t>
        </is>
      </c>
      <c r="I11" s="404" t="n"/>
      <c r="J11" s="404" t="inlineStr">
        <is>
          <t>OPC 40450-1 Section 7.1 Table 20</t>
        </is>
      </c>
      <c r="K11" s="404" t="n"/>
    </row>
    <row r="12" ht="34" customHeight="1" s="173">
      <c r="A12" s="278" t="inlineStr">
        <is>
          <t>y</t>
        </is>
      </c>
      <c r="B12" s="278" t="n">
        <v>5</v>
      </c>
      <c r="C12" s="278" t="n">
        <v>0</v>
      </c>
      <c r="D12" s="278" t="inlineStr">
        <is>
          <t>Verify DefaultInstanceBrowseName of JoiningSystemIdentificationType</t>
        </is>
      </c>
      <c r="E12" s="278" t="n"/>
      <c r="F12" s="278" t="n"/>
      <c r="G12" s="278" t="n"/>
      <c r="H12" s="278" t="n"/>
      <c r="I12" s="278" t="inlineStr">
        <is>
          <t>n</t>
        </is>
      </c>
      <c r="J12" s="278" t="inlineStr">
        <is>
          <t>OPC 40450-1 Section 7.1 Table 21</t>
        </is>
      </c>
      <c r="K12" s="278" t="n"/>
    </row>
    <row r="13" ht="49" customHeight="1" s="173">
      <c r="A13" s="404" t="n"/>
      <c r="B13" s="404" t="n"/>
      <c r="C13" s="404" t="n">
        <v>1</v>
      </c>
      <c r="D13" s="404" t="inlineStr">
        <is>
          <t>Read the DefaultInstanceBrowseName Property of JoiningSystemIdentificationType.</t>
        </is>
      </c>
      <c r="E13" s="404" t="inlineStr">
        <is>
          <t>JoiningSystemIdentificationType found.</t>
        </is>
      </c>
      <c r="F13" s="404" t="inlineStr">
        <is>
          <t>DefaultInstanceBrowseName = DI:Identification, matching the child-node Attribute values in the specification.</t>
        </is>
      </c>
      <c r="G13" s="404" t="inlineStr">
        <is>
          <t>Good</t>
        </is>
      </c>
      <c r="H13" s="404" t="inlineStr">
        <is>
          <t>Good</t>
        </is>
      </c>
      <c r="I13" s="404" t="n"/>
      <c r="J13" s="404" t="inlineStr">
        <is>
          <t>OPC 40450-1 Section 7.1 Table 21</t>
        </is>
      </c>
      <c r="K13" s="404" t="n"/>
    </row>
    <row r="14" ht="34" customHeight="1" s="173">
      <c r="A14" s="278" t="inlineStr">
        <is>
          <t>y</t>
        </is>
      </c>
      <c r="B14" s="278" t="n">
        <v>6</v>
      </c>
      <c r="C14" s="278" t="n">
        <v>0</v>
      </c>
      <c r="D14" s="278" t="inlineStr">
        <is>
          <t>Verify each JoiningSystem instance exposes an Identification group with a valid mandatory Name</t>
        </is>
      </c>
      <c r="E14" s="278" t="n"/>
      <c r="F14" s="278" t="n"/>
      <c r="G14" s="278" t="n"/>
      <c r="H14" s="278" t="n"/>
      <c r="I14" s="278" t="inlineStr">
        <is>
          <t>n</t>
        </is>
      </c>
      <c r="J14" s="278" t="inlineStr">
        <is>
          <t>OPC 40450-1 Section 7.1 Table 20</t>
        </is>
      </c>
      <c r="K14" s="278" t="n"/>
    </row>
    <row r="15" ht="49" customHeight="1" s="173">
      <c r="A15" s="404" t="n"/>
      <c r="B15" s="404" t="n"/>
      <c r="C15" s="404" t="n">
        <v>1</v>
      </c>
      <c r="D15" s="404" t="inlineStr">
        <is>
          <t>For each JoiningSystem instance, locate its mandatory DI:Identification component (TypeDefinition = JoiningSystemIdentificationType) and verify the Name Property.</t>
        </is>
      </c>
      <c r="E15" s="404" t="inlineStr">
        <is>
          <t>At least one JoiningSystem instance found.</t>
        </is>
      </c>
      <c r="F15" s="404" t="inlineStr">
        <is>
          <t>The DI:Identification component is present, and its Name Property has DataType = String with a non-null, non-empty Value.</t>
        </is>
      </c>
      <c r="G15" s="404" t="inlineStr">
        <is>
          <t>Good</t>
        </is>
      </c>
      <c r="H15" s="404" t="inlineStr">
        <is>
          <t>Good</t>
        </is>
      </c>
      <c r="I15" s="404" t="n"/>
      <c r="J15" s="404" t="inlineStr">
        <is>
          <t>OPC 40450-1 Section 7.1 Table 20</t>
        </is>
      </c>
      <c r="K15" s="404" t="n"/>
    </row>
    <row r="16" ht="34" customHeight="1" s="173">
      <c r="A16" s="404" t="n"/>
      <c r="B16" s="404" t="n"/>
      <c r="C16" s="404" t="n">
        <v>2</v>
      </c>
      <c r="D16" s="404" t="inlineStr">
        <is>
          <t>Verify the BrowseName of the Identification component matches the DefaultInstanceBrowseName.</t>
        </is>
      </c>
      <c r="E16" s="404" t="inlineStr">
        <is>
          <t>DI:Identification component accessible.</t>
        </is>
      </c>
      <c r="F16" s="404" t="inlineStr">
        <is>
          <t>BrowseName = DI:Identification, where DI: refers to the DI namespace URI.</t>
        </is>
      </c>
      <c r="G16" s="404" t="inlineStr">
        <is>
          <t>Good</t>
        </is>
      </c>
      <c r="H16" s="404" t="inlineStr">
        <is>
          <t>Good</t>
        </is>
      </c>
      <c r="I16" s="404" t="n"/>
      <c r="J16" s="404" t="inlineStr">
        <is>
          <t>OPC 40450-1 Section 7.1 Table 21</t>
        </is>
      </c>
      <c r="K16" s="404" t="n"/>
    </row>
    <row r="17" ht="34" customHeight="1" s="173">
      <c r="A17" s="278" t="inlineStr">
        <is>
          <t>y</t>
        </is>
      </c>
      <c r="B17" s="278" t="n">
        <v>7</v>
      </c>
      <c r="C17" s="278" t="n">
        <v>0</v>
      </c>
      <c r="D17" s="278" t="inlineStr">
        <is>
          <t>Verify optional identification Property values on instances when present</t>
        </is>
      </c>
      <c r="E17" s="278" t="n"/>
      <c r="F17" s="278" t="n"/>
      <c r="G17" s="278" t="n"/>
      <c r="H17" s="278" t="n"/>
      <c r="I17" s="278" t="inlineStr">
        <is>
          <t>n</t>
        </is>
      </c>
      <c r="J17" s="278" t="inlineStr">
        <is>
          <t>OPC 40450-1 Section 7.1 Table 20</t>
        </is>
      </c>
      <c r="K17" s="278" t="n"/>
    </row>
    <row r="18" ht="90" customHeight="1" s="173">
      <c r="A18" s="404" t="n"/>
      <c r="B18" s="404" t="n"/>
      <c r="C18" s="404" t="n">
        <v>1</v>
      </c>
      <c r="D18" s="404" t="inlineStr">
        <is>
          <t>For each JoiningSystem instance, verify the optional identification Properties of the DI:Identification component that are present.</t>
        </is>
      </c>
      <c r="E18" s="404" t="inlineStr">
        <is>
          <t>The optional components and properties described in the test case are supported. A JoiningSystem instance with a DI:Identification component is accessible.</t>
        </is>
      </c>
      <c r="F18" s="404" t="inlineStr">
        <is>
          <t>Each present optional Property has the DataType defined in Table 20 and a valid Value; DI:ProductInstanceUri is a non-empty String used consistently as the product-instance identifier, DI:ManufacturerUri is a well-formed URI, and DI:Manufacturer is a human-readable localized name.</t>
        </is>
      </c>
      <c r="G18" s="404" t="inlineStr">
        <is>
          <t>Good</t>
        </is>
      </c>
      <c r="H18" s="404" t="inlineStr">
        <is>
          <t>Good</t>
        </is>
      </c>
      <c r="I18" s="404" t="n"/>
      <c r="J18" s="404" t="inlineStr">
        <is>
          <t>OPC 40450-1 Section 7.1 Table 20</t>
        </is>
      </c>
      <c r="K18" s="404" t="n"/>
    </row>
    <row r="19" ht="34" customHeight="1" s="173"/>
    <row r="20" ht="49" customHeight="1" s="173"/>
    <row r="21" ht="34" customHeight="1" s="173"/>
    <row r="22" ht="79" customHeight="1" s="173"/>
    <row r="23" ht="60" customHeight="1" s="173"/>
    <row r="24" ht="49" customHeight="1" s="173"/>
    <row r="25" ht="79" customHeight="1" s="173"/>
    <row r="26" ht="20.05" customHeight="1" s="173"/>
    <row r="27" ht="49" customHeight="1" s="173"/>
    <row r="28" ht="49" customHeight="1" s="173"/>
    <row r="29" ht="34" customHeight="1" s="173"/>
    <row r="30" ht="34" customHeight="1" s="173"/>
    <row r="31" ht="34" customHeight="1" s="173"/>
    <row r="32" ht="64" customHeight="1" s="173"/>
    <row r="33" ht="60" customHeight="1" s="173"/>
    <row r="34" ht="34" customHeight="1" s="173"/>
  </sheetData>
  <mergeCells count="2">
    <mergeCell ref="A1:K1"/>
    <mergeCell ref="C2:J2"/>
  </mergeCells>
  <pageMargins left="0.7" right="0.7" top="0.75" bottom="0.75" header="0.3" footer="0.3"/>
</worksheet>
</file>

<file path=xl/worksheets/sheet6.xml><?xml version="1.0" encoding="utf-8"?>
<worksheet xmlns="http://schemas.openxmlformats.org/spreadsheetml/2006/main">
  <sheetPr codeName="Sheet2">
    <tabColor rgb="FF2E75B6"/>
    <outlinePr summaryBelow="1" summaryRight="1"/>
    <pageSetUpPr/>
  </sheetPr>
  <dimension ref="A1:K8"/>
  <sheetViews>
    <sheetView workbookViewId="0">
      <pane ySplit="2" topLeftCell="A3" activePane="bottomLeft" state="frozen"/>
      <selection pane="bottomLeft" activeCell="A1" sqref="A1:K1"/>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CU-03: IJT Joining System Machinery Building Blocks</t>
        </is>
      </c>
      <c r="B1" s="167" t="n"/>
      <c r="C1" s="167" t="n"/>
      <c r="D1" s="167" t="n"/>
      <c r="E1" s="167" t="n"/>
      <c r="F1" s="167" t="n"/>
      <c r="G1" s="167" t="n"/>
      <c r="H1" s="167" t="n"/>
      <c r="I1" s="167" t="n"/>
      <c r="J1" s="167" t="n"/>
      <c r="K1" s="168" t="n"/>
    </row>
    <row r="2" ht="22" customHeight="1" s="173">
      <c r="A2" s="273">
        <f>HYPERLINK("#'Home'!A1","⌂ Home")</f>
        <v/>
      </c>
      <c r="C2" s="274" t="inlineStr">
        <is>
          <t>CU-03 — IJT Joining System Machinery Building Blocks</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JoiningSystemType optional component: Machinery:MachineryBuildingBlocks</t>
        </is>
      </c>
      <c r="E4" s="278" t="n"/>
      <c r="F4" s="278" t="n"/>
      <c r="G4" s="278" t="n"/>
      <c r="H4" s="278" t="n"/>
      <c r="I4" s="278" t="inlineStr">
        <is>
          <t>n</t>
        </is>
      </c>
      <c r="J4" s="278" t="inlineStr">
        <is>
          <t>OPC 40450-1 Section 7.1 Table 15</t>
        </is>
      </c>
      <c r="K4" s="278" t="n"/>
    </row>
    <row r="5" ht="49" customFormat="1" customHeight="1" s="2">
      <c r="A5" s="404" t="n"/>
      <c r="B5" s="404" t="n"/>
      <c r="C5" s="404" t="n">
        <v>1</v>
      </c>
      <c r="D5" s="404" t="inlineStr">
        <is>
          <t>From JoiningSystemType, follow HasComponent References and verify the Machinery:MachineryBuildingBlocks component.</t>
        </is>
      </c>
      <c r="E5" s="404" t="inlineStr">
        <is>
          <t>The optional components and properties described in the test case are supported. JoiningSystemType found.</t>
        </is>
      </c>
      <c r="F5" s="404" t="inlineStr">
        <is>
          <t>Machinery:MachineryBuildingBlocks is declared with ModellingRule = Optional and TypeDefinition = the OPC UA FolderType.</t>
        </is>
      </c>
      <c r="G5" s="404" t="inlineStr">
        <is>
          <t>Good</t>
        </is>
      </c>
      <c r="H5" s="404" t="inlineStr">
        <is>
          <t>Good</t>
        </is>
      </c>
      <c r="I5" s="404" t="n"/>
      <c r="J5" s="404" t="inlineStr">
        <is>
          <t>OPC 40450-1 Section 7.1 Table 15</t>
        </is>
      </c>
      <c r="K5" s="404" t="n"/>
    </row>
    <row r="6" ht="49" customHeight="1" s="173">
      <c r="A6" s="278" t="inlineStr">
        <is>
          <t>y</t>
        </is>
      </c>
      <c r="B6" s="278" t="n">
        <v>2</v>
      </c>
      <c r="C6" s="278" t="n">
        <v>0</v>
      </c>
      <c r="D6" s="278" t="inlineStr">
        <is>
          <t>Verify the MachineryBuildingBlocks folder and its contents on JoiningSystem instances</t>
        </is>
      </c>
      <c r="E6" s="278" t="n"/>
      <c r="F6" s="278" t="n"/>
      <c r="G6" s="278" t="n"/>
      <c r="H6" s="278" t="n"/>
      <c r="I6" s="278" t="inlineStr">
        <is>
          <t>n</t>
        </is>
      </c>
      <c r="J6" s="278" t="inlineStr">
        <is>
          <t>OPC 40450-1 Section 7.1 Table 15</t>
        </is>
      </c>
      <c r="K6" s="278" t="inlineStr">
        <is>
          <t>Building-block content is defined by OPC UA for Machinery (OPC 40001-1).</t>
        </is>
      </c>
    </row>
    <row r="7" ht="49" customHeight="1" s="173">
      <c r="A7" s="404" t="n"/>
      <c r="B7" s="404" t="n"/>
      <c r="C7" s="404" t="n">
        <v>1</v>
      </c>
      <c r="D7" s="404" t="inlineStr">
        <is>
          <t>For each JoiningSystem instance that exposes Machinery:MachineryBuildingBlocks, verify the node.</t>
        </is>
      </c>
      <c r="E7" s="404" t="inlineStr">
        <is>
          <t>The optional components and properties described in the test case are supported. A JoiningSystem instance is accessible.</t>
        </is>
      </c>
      <c r="F7" s="404" t="inlineStr">
        <is>
          <t>The Machinery:MachineryBuildingBlocks node is present with NodeClass = Object and TypeDefinition = the OPC UA FolderType (or a subtype).</t>
        </is>
      </c>
      <c r="G7" s="404" t="inlineStr">
        <is>
          <t>Good</t>
        </is>
      </c>
      <c r="H7" s="404" t="inlineStr">
        <is>
          <t>Good</t>
        </is>
      </c>
      <c r="I7" s="404" t="n"/>
      <c r="J7" s="404" t="inlineStr">
        <is>
          <t>OPC 40450-1 Section 7.1 Table 15</t>
        </is>
      </c>
      <c r="K7" s="404" t="n"/>
    </row>
    <row r="8" ht="64" customHeight="1" s="173">
      <c r="A8" s="404" t="n"/>
      <c r="B8" s="404" t="n"/>
      <c r="C8" s="404" t="n">
        <v>2</v>
      </c>
      <c r="D8" s="404" t="inlineStr">
        <is>
          <t>Browse the contents of Machinery:MachineryBuildingBlocks and verify each contained building-block Object.</t>
        </is>
      </c>
      <c r="E8" s="404" t="inlineStr">
        <is>
          <t>Machinery:MachineryBuildingBlocks folder accessible.</t>
        </is>
      </c>
      <c r="F8" s="404" t="inlineStr">
        <is>
          <t>The folder contains zero or more building-block Objects; each present child is an Object whose TypeDefinition is defined by OPC UA for Machinery (namespace http://opcfoundation.org/UA/Machinery/).</t>
        </is>
      </c>
      <c r="G8" s="404" t="inlineStr">
        <is>
          <t>Good</t>
        </is>
      </c>
      <c r="H8" s="404" t="inlineStr">
        <is>
          <t>Good</t>
        </is>
      </c>
      <c r="I8" s="404" t="n"/>
      <c r="J8" s="404" t="inlineStr">
        <is>
          <t>OPC 40450-1 Section 7.1 Table 15</t>
        </is>
      </c>
      <c r="K8" s="404" t="n"/>
    </row>
    <row r="9" ht="34" customHeight="1" s="173"/>
    <row r="10" ht="64" customHeight="1" s="173"/>
    <row r="11" ht="34" customHeight="1" s="173"/>
    <row r="12" ht="49" customHeight="1" s="173"/>
    <row r="13" ht="20.05" customHeight="1" s="173"/>
    <row r="14" ht="34" customHeight="1" s="173"/>
    <row r="15" ht="64" customHeight="1" s="173"/>
    <row r="16" ht="34" customHeight="1" s="173"/>
    <row r="17" ht="49" customHeight="1" s="173"/>
    <row r="18" ht="34" customHeight="1" s="173"/>
    <row r="19" ht="49" customHeight="1" s="173"/>
    <row r="20" ht="20.05" customHeight="1" s="173"/>
    <row r="21" ht="51.6" customHeight="1" s="173"/>
    <row r="22" ht="20.05" customHeight="1" s="173"/>
    <row r="23" ht="38.7" customHeight="1" s="173"/>
    <row r="24" ht="20.05" customHeight="1" s="173"/>
    <row r="25" ht="51.6" customHeight="1" s="173"/>
  </sheetData>
  <mergeCells count="2">
    <mergeCell ref="A1:K1"/>
    <mergeCell ref="C2:J2"/>
  </mergeCells>
  <pageMargins left="0.7" right="0.7" top="0.75" bottom="0.75" header="0.3" footer="0.3"/>
</worksheet>
</file>

<file path=xl/worksheets/sheet7.xml><?xml version="1.0" encoding="utf-8"?>
<worksheet xmlns="http://schemas.openxmlformats.org/spreadsheetml/2006/main">
  <sheetPr codeName="Sheet2">
    <tabColor rgb="FF2E75B6"/>
    <outlinePr summaryBelow="1" summaryRight="1"/>
    <pageSetUpPr/>
  </sheetPr>
  <dimension ref="A1:K15"/>
  <sheetViews>
    <sheetView workbookViewId="0">
      <pane ySplit="2" topLeftCell="A3" activePane="bottomLeft" state="frozen"/>
      <selection pane="bottomLeft" activeCell="E9" sqref="E9"/>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CU-04: IJT Asset Management</t>
        </is>
      </c>
      <c r="B1" s="167" t="n"/>
      <c r="C1" s="167" t="n"/>
      <c r="D1" s="167" t="n"/>
      <c r="E1" s="167" t="n"/>
      <c r="F1" s="167" t="n"/>
      <c r="G1" s="167" t="n"/>
      <c r="H1" s="167" t="n"/>
      <c r="I1" s="167" t="n"/>
      <c r="J1" s="167" t="n"/>
      <c r="K1" s="168" t="n"/>
    </row>
    <row r="2" ht="22" customHeight="1" s="173">
      <c r="A2" s="273">
        <f>HYPERLINK("#'Home'!A1","⌂ Home")</f>
        <v/>
      </c>
      <c r="C2" s="274" t="inlineStr">
        <is>
          <t>CU-04 — IJT Asset Management</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AssetManagement structure in the JoiningSystemType definition</t>
        </is>
      </c>
      <c r="E4" s="278" t="n"/>
      <c r="F4" s="278" t="n"/>
      <c r="G4" s="278" t="n"/>
      <c r="H4" s="278" t="n"/>
      <c r="I4" s="278" t="inlineStr">
        <is>
          <t>n</t>
        </is>
      </c>
      <c r="J4" s="278" t="inlineStr">
        <is>
          <t>OPC 40450-1 Section 7.2 Table 17</t>
        </is>
      </c>
      <c r="K4" s="278" t="n"/>
    </row>
    <row r="5" ht="49" customFormat="1" customHeight="1" s="2">
      <c r="A5" s="404" t="n"/>
      <c r="B5" s="404" t="n"/>
      <c r="C5" s="404" t="n">
        <v>1</v>
      </c>
      <c r="D5" s="404" t="inlineStr">
        <is>
          <t>From JoiningSystemType, follow HasComponent References and verify the AssetManagement component.</t>
        </is>
      </c>
      <c r="E5" s="404" t="inlineStr">
        <is>
          <t>The optional components and properties described in the test case are supported. JoiningSystemType found.</t>
        </is>
      </c>
      <c r="F5" s="404" t="inlineStr">
        <is>
          <t>AssetManagement is declared with ModellingRule = Optional and TypeDefinition = DI:FunctionalGroupType.</t>
        </is>
      </c>
      <c r="G5" s="404" t="inlineStr">
        <is>
          <t>Good</t>
        </is>
      </c>
      <c r="H5" s="404" t="inlineStr">
        <is>
          <t>Good</t>
        </is>
      </c>
      <c r="I5" s="404" t="n"/>
      <c r="J5" s="404" t="inlineStr">
        <is>
          <t>OPC 40450-1 Section 7.1 Table 15</t>
        </is>
      </c>
      <c r="K5" s="404" t="n"/>
    </row>
    <row r="6" ht="34" customHeight="1" s="173">
      <c r="A6" s="404" t="n"/>
      <c r="B6" s="404" t="n"/>
      <c r="C6" s="404" t="n">
        <v>2</v>
      </c>
      <c r="D6" s="404" t="inlineStr">
        <is>
          <t>From AssetManagement, follow HasComponent References and verify the Assets folder.</t>
        </is>
      </c>
      <c r="E6" s="404" t="inlineStr">
        <is>
          <t>AssetManagement declaration found.</t>
        </is>
      </c>
      <c r="F6" s="404" t="inlineStr">
        <is>
          <t>Assets is present with TypeDefinition = the OPC UA FolderType.</t>
        </is>
      </c>
      <c r="G6" s="404" t="inlineStr">
        <is>
          <t>Good</t>
        </is>
      </c>
      <c r="H6" s="404" t="inlineStr">
        <is>
          <t>Good</t>
        </is>
      </c>
      <c r="I6" s="404" t="n"/>
      <c r="J6" s="404" t="inlineStr">
        <is>
          <t>OPC 40450-1 Section 7.2 Table 17</t>
        </is>
      </c>
      <c r="K6" s="404" t="n"/>
    </row>
    <row r="7" ht="79" customHeight="1" s="173">
      <c r="A7" s="404" t="n"/>
      <c r="B7" s="404" t="n"/>
      <c r="C7" s="404" t="n">
        <v>3</v>
      </c>
      <c r="D7" s="404" t="inlineStr">
        <is>
          <t>From AssetManagement/Assets, verify the asset-type sub-folders.</t>
        </is>
      </c>
      <c r="E7" s="404" t="inlineStr">
        <is>
          <t>Assets declaration found.</t>
        </is>
      </c>
      <c r="F7" s="404" t="inlineStr">
        <is>
          <t>Controllers is declared Mandatory (FolderType); Tools, Servos, MemoryDevices, Sensors, Cables, Batteries, PowerSupplies, Feeders, Accessories, SubComponents, SoftwareComponents and VirtualStations are declared Optional (all FolderType).</t>
        </is>
      </c>
      <c r="G7" s="404" t="inlineStr">
        <is>
          <t>Good</t>
        </is>
      </c>
      <c r="H7" s="404" t="inlineStr">
        <is>
          <t>Good</t>
        </is>
      </c>
      <c r="I7" s="404" t="n"/>
      <c r="J7" s="404" t="inlineStr">
        <is>
          <t>OPC 40450-1 Section 7.2 Table 17</t>
        </is>
      </c>
      <c r="K7" s="404" t="n"/>
    </row>
    <row r="8" ht="64" customHeight="1" s="173">
      <c r="A8" s="404" t="n"/>
      <c r="B8" s="404" t="n"/>
      <c r="C8" s="404" t="n">
        <v>4</v>
      </c>
      <c r="D8" s="404" t="inlineStr">
        <is>
          <t>From AssetManagement, follow HasAddIn References and verify the DI:MethodSet component.</t>
        </is>
      </c>
      <c r="E8" s="404" t="inlineStr">
        <is>
          <t>AssetManagement declaration found.</t>
        </is>
      </c>
      <c r="F8" s="404" t="inlineStr">
        <is>
          <t>DI:MethodSet is declared with ModellingRule = Optional and TypeDefinition = JoiningSystemAssetMethodSetType. Its individual methods are validated by their dedicated CUs.</t>
        </is>
      </c>
      <c r="G8" s="404" t="inlineStr">
        <is>
          <t>Good</t>
        </is>
      </c>
      <c r="H8" s="404" t="inlineStr">
        <is>
          <t>Good</t>
        </is>
      </c>
      <c r="I8" s="404" t="n"/>
      <c r="J8" s="404" t="inlineStr">
        <is>
          <t>OPC 40450-1 Section 7.2 Table 16</t>
        </is>
      </c>
      <c r="K8" s="404" t="n"/>
    </row>
    <row r="9" ht="34" customHeight="1" s="173">
      <c r="A9" s="278" t="inlineStr">
        <is>
          <t>y</t>
        </is>
      </c>
      <c r="B9" s="278" t="n">
        <v>2</v>
      </c>
      <c r="C9" s="278" t="n">
        <v>0</v>
      </c>
      <c r="D9" s="278" t="inlineStr">
        <is>
          <t>Verify AssetManagement structure on JoiningSystem instances</t>
        </is>
      </c>
      <c r="E9" s="278" t="n"/>
      <c r="F9" s="278" t="n"/>
      <c r="G9" s="278" t="n"/>
      <c r="H9" s="278" t="n"/>
      <c r="I9" s="278" t="inlineStr">
        <is>
          <t>n</t>
        </is>
      </c>
      <c r="J9" s="278" t="inlineStr">
        <is>
          <t>OPC 40450-1 Section 7.2 Table 17</t>
        </is>
      </c>
      <c r="K9" s="278" t="n"/>
    </row>
    <row r="10" ht="49" customHeight="1" s="173">
      <c r="A10" s="404" t="n"/>
      <c r="B10" s="404" t="n"/>
      <c r="C10" s="404" t="n">
        <v>1</v>
      </c>
      <c r="D10" s="404" t="inlineStr">
        <is>
          <t>For each JoiningSystem instance, verify the AssetManagement component and its Assets folder.</t>
        </is>
      </c>
      <c r="E10" s="404" t="inlineStr">
        <is>
          <t>The optional components and properties described in the test case are supported. A JoiningSystem instance is accessible.</t>
        </is>
      </c>
      <c r="F10" s="404" t="inlineStr">
        <is>
          <t>AssetManagement is present with TypeDefinition = DI:FunctionalGroupType, and its Assets folder (FolderType) is present.</t>
        </is>
      </c>
      <c r="G10" s="404" t="inlineStr">
        <is>
          <t>Good</t>
        </is>
      </c>
      <c r="H10" s="404" t="inlineStr">
        <is>
          <t>Good</t>
        </is>
      </c>
      <c r="I10" s="404" t="n"/>
      <c r="J10" s="404" t="inlineStr">
        <is>
          <t>OPC 40450-1 Section 7.1 Table 15</t>
        </is>
      </c>
      <c r="K10" s="404" t="n"/>
    </row>
    <row r="11" ht="34" customHeight="1" s="173">
      <c r="A11" s="404" t="n"/>
      <c r="B11" s="404" t="n"/>
      <c r="C11" s="404" t="n">
        <v>2</v>
      </c>
      <c r="D11" s="404" t="inlineStr">
        <is>
          <t>Verify the mandatory Controllers sub-folder under AssetManagement/Assets.</t>
        </is>
      </c>
      <c r="E11" s="404" t="inlineStr">
        <is>
          <t>AssetManagement/Assets accessible.</t>
        </is>
      </c>
      <c r="F11" s="404" t="inlineStr">
        <is>
          <t>The Controllers folder is present with TypeDefinition = the OPC UA FolderType.</t>
        </is>
      </c>
      <c r="G11" s="404" t="inlineStr">
        <is>
          <t>Good</t>
        </is>
      </c>
      <c r="H11" s="404" t="inlineStr">
        <is>
          <t>Good</t>
        </is>
      </c>
      <c r="I11" s="404" t="n"/>
      <c r="J11" s="404" t="inlineStr">
        <is>
          <t>OPC 40450-1 Section 7.2 Table 17</t>
        </is>
      </c>
      <c r="K11" s="404" t="n"/>
    </row>
    <row r="12" ht="79" customHeight="1" s="173">
      <c r="A12" s="404" t="n"/>
      <c r="B12" s="404" t="n"/>
      <c r="C12" s="404" t="n">
        <v>3</v>
      </c>
      <c r="D12" s="404" t="inlineStr">
        <is>
          <t>Verify the optional asset-type sub-folders under AssetManagement/Assets that are present.</t>
        </is>
      </c>
      <c r="E12" s="404" t="inlineStr">
        <is>
          <t>The optional components and properties described in the test case are supported. AssetManagement/Assets accessible.</t>
        </is>
      </c>
      <c r="F12" s="404" t="inlineStr">
        <is>
          <t>Each present optional folder (Tools, Servos, MemoryDevices, Sensors, Cables, Batteries, PowerSupplies, Feeders, Accessories, SubComponents, SoftwareComponents, VirtualStations) has TypeDefinition = the OPC UA FolderType.</t>
        </is>
      </c>
      <c r="G12" s="404" t="inlineStr">
        <is>
          <t>Good</t>
        </is>
      </c>
      <c r="H12" s="404" t="inlineStr">
        <is>
          <t>Good</t>
        </is>
      </c>
      <c r="I12" s="404" t="n"/>
      <c r="J12" s="404" t="inlineStr">
        <is>
          <t>OPC 40450-1 Section 7.2 Table 17</t>
        </is>
      </c>
      <c r="K12" s="404" t="n"/>
    </row>
    <row r="13" ht="34" customHeight="1" s="173">
      <c r="A13" s="404" t="n"/>
      <c r="B13" s="404" t="n"/>
      <c r="C13" s="404" t="n">
        <v>4</v>
      </c>
      <c r="D13" s="404" t="inlineStr">
        <is>
          <t>Verify the DI:MethodSet component required by the claimed IJT Asset Management CU.</t>
        </is>
      </c>
      <c r="E13" s="404" t="inlineStr">
        <is>
          <t>The Server claims the IJT Asset Management CU and exposes AssetManagement.</t>
        </is>
      </c>
      <c r="F13" s="404" t="inlineStr">
        <is>
          <t>DI:MethodSet is present with TypeDefinition = JoiningSystemAssetMethodSetType or a subtype.</t>
        </is>
      </c>
      <c r="G13" s="404" t="inlineStr">
        <is>
          <t>Good</t>
        </is>
      </c>
      <c r="H13" s="404" t="inlineStr">
        <is>
          <t>Good</t>
        </is>
      </c>
      <c r="I13" s="404" t="n"/>
      <c r="J13" s="404" t="inlineStr">
        <is>
          <t>OPC 40450-1 Section 7.2 Table 16</t>
        </is>
      </c>
      <c r="K13" s="404" t="n"/>
    </row>
    <row r="14" ht="34" customHeight="1" s="173">
      <c r="A14" s="278" t="inlineStr">
        <is>
          <t>y</t>
        </is>
      </c>
      <c r="B14" s="278" t="n">
        <v>3</v>
      </c>
      <c r="C14" s="278" t="n">
        <v>0</v>
      </c>
      <c r="D14" s="278" t="inlineStr">
        <is>
          <t>Verify each asset instance implements the correct asset interface</t>
        </is>
      </c>
      <c r="E14" s="278" t="n"/>
      <c r="F14" s="278" t="n"/>
      <c r="G14" s="278" t="n"/>
      <c r="H14" s="278" t="n"/>
      <c r="I14" s="278" t="inlineStr">
        <is>
          <t>n</t>
        </is>
      </c>
      <c r="J14" s="278" t="inlineStr">
        <is>
          <t>OPC 40450-1 Section 7.3 Table 19</t>
        </is>
      </c>
      <c r="K14" s="278" t="inlineStr">
        <is>
          <t>Per-asset-type detail is covered by the dedicated per-asset CUs.</t>
        </is>
      </c>
    </row>
    <row r="15" ht="90" customHeight="1" s="173">
      <c r="A15" s="307" t="n"/>
      <c r="B15" s="307" t="n"/>
      <c r="C15" s="307" t="n">
        <v>1</v>
      </c>
      <c r="D15" s="307" t="inlineStr">
        <is>
          <t>For each asset sub-folder that contains instances, verify the HasInterface References of each asset Object.</t>
        </is>
      </c>
      <c r="E15" s="307" t="inlineStr">
        <is>
          <t>At least one asset instance is accessible.</t>
        </is>
      </c>
      <c r="F15" s="307" t="inlineStr">
        <is>
          <t>Each asset instance implements IJoiningSystemAssetType and the interface matching its folder (Controllers -&gt; IControllerType, Tools -&gt; IToolType, Servos -&gt; IServoType, MemoryDevices -&gt; IMemoryDeviceType, Sensors -&gt; ISensorType, Cables -&gt; ICableType, Batteries -&gt; IBatteryType, PowerSupplies -&gt; IPowerSupplyType, Feeders -&gt; IFeederType, Accessories -&gt; IAccessoryType, SubComponents -&gt; ISubComponentType, SoftwareComponents -&gt; ISoftwareType, VirtualStations -&gt; IVirtualStationType).</t>
        </is>
      </c>
      <c r="G15" s="307" t="inlineStr">
        <is>
          <t>Good</t>
        </is>
      </c>
      <c r="H15" s="307" t="inlineStr">
        <is>
          <t>Good</t>
        </is>
      </c>
      <c r="I15" s="307" t="n"/>
      <c r="J15" s="307" t="inlineStr">
        <is>
          <t>OPC 40450-1 Section 7.3 Table 19</t>
        </is>
      </c>
      <c r="K15" s="307" t="n"/>
    </row>
    <row r="16" ht="64" customHeight="1" s="173"/>
    <row r="17" ht="34" customHeight="1" s="173"/>
    <row r="18" ht="34" customHeight="1" s="173"/>
    <row r="19" ht="79" customHeight="1" s="173"/>
    <row r="20" ht="34" customHeight="1" s="173"/>
    <row r="21" ht="49" customHeight="1" s="173"/>
    <row r="22" ht="64" customHeight="1" s="173"/>
    <row r="23" ht="34" customHeight="1" s="173"/>
    <row r="24" ht="90" customHeight="1" s="173"/>
    <row r="25" ht="20.05" customHeight="1" s="173"/>
    <row r="26" ht="49" customHeight="1" s="173"/>
    <row r="27" ht="79" customHeight="1" s="173"/>
    <row r="28" ht="64" customHeight="1" s="173"/>
    <row r="29" ht="51.6" customHeight="1" s="173"/>
    <row r="30" ht="20.05" customHeight="1" s="173"/>
    <row r="31" ht="38.7" customHeight="1" s="173"/>
    <row r="32" ht="38.7" customHeight="1" s="173"/>
    <row r="33" ht="20.05" customHeight="1" s="173"/>
    <row r="34" ht="38.7" customHeight="1" s="173"/>
    <row r="35" ht="20.05" customHeight="1" s="173"/>
    <row r="36" ht="38.7" customHeight="1" s="173"/>
    <row r="37" ht="20.05" customHeight="1" s="173"/>
    <row r="38" ht="90.3" customHeight="1" s="173"/>
  </sheetData>
  <mergeCells count="2">
    <mergeCell ref="A1:K1"/>
    <mergeCell ref="C2:J2"/>
  </mergeCells>
  <pageMargins left="0.7" right="0.7" top="0.75" bottom="0.75" header="0.3" footer="0.3"/>
</worksheet>
</file>

<file path=xl/worksheets/sheet8.xml><?xml version="1.0" encoding="utf-8"?>
<worksheet xmlns="http://schemas.openxmlformats.org/spreadsheetml/2006/main">
  <sheetPr codeName="Sheet2">
    <tabColor rgb="FF2E75B6"/>
    <outlinePr summaryBelow="1" summaryRight="1"/>
    <pageSetUpPr/>
  </sheetPr>
  <dimension ref="A1:K11"/>
  <sheetViews>
    <sheetView topLeftCell="E1" workbookViewId="0">
      <pane ySplit="2" topLeftCell="A3" activePane="bottomLeft" state="frozen"/>
      <selection pane="bottomLeft" activeCell="K4" sqref="K4"/>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CU-05: IJT Result Management</t>
        </is>
      </c>
      <c r="B1" s="167" t="n"/>
      <c r="C1" s="167" t="n"/>
      <c r="D1" s="167" t="n"/>
      <c r="E1" s="167" t="n"/>
      <c r="F1" s="167" t="n"/>
      <c r="G1" s="167" t="n"/>
      <c r="H1" s="167" t="n"/>
      <c r="I1" s="167" t="n"/>
      <c r="J1" s="167" t="n"/>
      <c r="K1" s="168" t="n"/>
    </row>
    <row r="2" ht="22" customHeight="1" s="173">
      <c r="A2" s="273">
        <f>HYPERLINK("#'Home'!A1","⌂ Home")</f>
        <v/>
      </c>
      <c r="C2" s="274" t="inlineStr">
        <is>
          <t>CU-05 — IJT Result Management</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JoiningSystemResultManagementType is present and correctly defined in the Server TypeSystem</t>
        </is>
      </c>
      <c r="E4" s="278" t="n"/>
      <c r="F4" s="278" t="n"/>
      <c r="G4" s="278" t="n"/>
      <c r="H4" s="278" t="n"/>
      <c r="I4" s="278" t="inlineStr">
        <is>
          <t>n</t>
        </is>
      </c>
      <c r="J4" s="278" t="inlineStr">
        <is>
          <t>OPC 40450-1 Section 7.5 Table 56</t>
        </is>
      </c>
      <c r="K4" s="278" t="n"/>
    </row>
    <row r="5" ht="49" customFormat="1" customHeight="1" s="2">
      <c r="A5" s="404" t="n"/>
      <c r="B5" s="404" t="n"/>
      <c r="C5" s="404" t="n">
        <v>1</v>
      </c>
      <c r="D5" s="404" t="inlineStr">
        <is>
          <t>Locate the JoiningSystemResultManagementType ObjectType in the Server TypeSystem and verify its Attributes conform to the type definition.</t>
        </is>
      </c>
      <c r="E5" s="404" t="inlineStr">
        <is>
          <t>OPC UA session established. Server reachable via endpoint.</t>
        </is>
      </c>
      <c r="F5" s="404" t="inlineStr">
        <is>
          <t>JoiningSystemResultManagementType is found in the IJT Base namespace as an ObjectType with IsAbstract = False.</t>
        </is>
      </c>
      <c r="G5" s="404" t="inlineStr">
        <is>
          <t>Good</t>
        </is>
      </c>
      <c r="H5" s="404" t="inlineStr">
        <is>
          <t>Good</t>
        </is>
      </c>
      <c r="I5" s="404" t="n"/>
      <c r="J5" s="404" t="inlineStr">
        <is>
          <t>OPC 40450-1 Section 7.5 Table 56</t>
        </is>
      </c>
      <c r="K5" s="404" t="n"/>
    </row>
    <row r="6" ht="34" customHeight="1" s="173">
      <c r="A6" s="404" t="n"/>
      <c r="B6" s="404" t="n"/>
      <c r="C6" s="404" t="n">
        <v>2</v>
      </c>
      <c r="D6" s="404" t="inlineStr">
        <is>
          <t>Follow the HasSubtype inverse Reference from JoiningSystemResultManagementType upward.</t>
        </is>
      </c>
      <c r="E6" s="404" t="inlineStr">
        <is>
          <t>JoiningSystemResultManagementType found.</t>
        </is>
      </c>
      <c r="F6" s="404" t="inlineStr">
        <is>
          <t>It is a direct or indirect subtype of MachineryResult:ResultManagementType (defined in OPC 40001-101).</t>
        </is>
      </c>
      <c r="G6" s="404" t="inlineStr">
        <is>
          <t>Good</t>
        </is>
      </c>
      <c r="H6" s="404" t="inlineStr">
        <is>
          <t>Good</t>
        </is>
      </c>
      <c r="I6" s="404" t="n"/>
      <c r="J6" s="404" t="inlineStr">
        <is>
          <t>OPC 40450-1 Section 7.5 Table 56</t>
        </is>
      </c>
      <c r="K6" s="404" t="n"/>
    </row>
    <row r="7" ht="90" customHeight="1" s="173">
      <c r="A7" s="404" t="n"/>
      <c r="B7" s="404" t="n"/>
      <c r="C7" s="404" t="n">
        <v>3</v>
      </c>
      <c r="D7" s="404" t="inlineStr">
        <is>
          <t>Verify the components declared by JoiningSystemResultManagementType.</t>
        </is>
      </c>
      <c r="E7" s="404" t="inlineStr">
        <is>
          <t>JoiningSystemResultManagementType found.</t>
        </is>
      </c>
      <c r="F7" s="404" t="inlineStr">
        <is>
          <t>The type declares MachineryResult:Results (OPCUA:FolderType, Optional), GeneratesEvent References to JoiningSystemResultReadyEventType and RequestedResultEventType, and the Methods RequestResults (Optional) and RequestUnacknowledgedResults (Optional). Inherited result-access methods come from MachineryResult:ResultManagementType and are validated in their dedicated CUs.</t>
        </is>
      </c>
      <c r="G7" s="404" t="inlineStr">
        <is>
          <t>Good</t>
        </is>
      </c>
      <c r="H7" s="404" t="inlineStr">
        <is>
          <t>Good</t>
        </is>
      </c>
      <c r="I7" s="404" t="n"/>
      <c r="J7" s="404" t="inlineStr">
        <is>
          <t>OPC 40450-1 Section 7.5 Table 56</t>
        </is>
      </c>
      <c r="K7" s="404" t="n"/>
    </row>
    <row r="8" ht="34" customHeight="1" s="173">
      <c r="A8" s="278" t="inlineStr">
        <is>
          <t>y</t>
        </is>
      </c>
      <c r="B8" s="278" t="n">
        <v>2</v>
      </c>
      <c r="C8" s="278" t="n">
        <v>0</v>
      </c>
      <c r="D8" s="278" t="inlineStr">
        <is>
          <t>Verify the MachineryResult:ResultManagement AddIn on JoiningSystem instances</t>
        </is>
      </c>
      <c r="E8" s="278" t="n"/>
      <c r="F8" s="278" t="n"/>
      <c r="G8" s="278" t="n"/>
      <c r="H8" s="278" t="n"/>
      <c r="I8" s="278" t="inlineStr">
        <is>
          <t>n</t>
        </is>
      </c>
      <c r="J8" s="278" t="inlineStr">
        <is>
          <t>OPC 40450-1 Section 7.1 Table 15</t>
        </is>
      </c>
      <c r="K8" s="278" t="n"/>
    </row>
    <row r="9" ht="49" customHeight="1" s="173">
      <c r="A9" s="404" t="n"/>
      <c r="B9" s="404" t="n"/>
      <c r="C9" s="404" t="n">
        <v>1</v>
      </c>
      <c r="D9" s="404" t="inlineStr">
        <is>
          <t>For each JoiningSystem instance, follow HasAddIn References and verify the MachineryResult:ResultManagement component.</t>
        </is>
      </c>
      <c r="E9" s="404" t="inlineStr">
        <is>
          <t>The optional components and properties described in the test case are supported. A JoiningSystem instance is accessible.</t>
        </is>
      </c>
      <c r="F9" s="404" t="inlineStr">
        <is>
          <t>MachineryResult:ResultManagement is present with TypeDefinition = JoiningSystemResultManagementType or a subtype.</t>
        </is>
      </c>
      <c r="G9" s="404" t="inlineStr">
        <is>
          <t>Good</t>
        </is>
      </c>
      <c r="H9" s="404" t="inlineStr">
        <is>
          <t>Good</t>
        </is>
      </c>
      <c r="I9" s="404" t="n"/>
      <c r="J9" s="404" t="inlineStr">
        <is>
          <t>OPC 40450-1 Section 7.1 Table 15</t>
        </is>
      </c>
      <c r="K9" s="404" t="n"/>
    </row>
    <row r="10" ht="34" customHeight="1" s="173">
      <c r="A10" s="278" t="inlineStr">
        <is>
          <t>y</t>
        </is>
      </c>
      <c r="B10" s="278" t="n">
        <v>3</v>
      </c>
      <c r="C10" s="278" t="n">
        <v>0</v>
      </c>
      <c r="D10" s="278" t="inlineStr">
        <is>
          <t>Verify the Results folder required by the IJT Result Management CU</t>
        </is>
      </c>
      <c r="E10" s="278" t="n"/>
      <c r="F10" s="278" t="n"/>
      <c r="G10" s="278" t="n"/>
      <c r="H10" s="278" t="n"/>
      <c r="I10" s="278" t="inlineStr">
        <is>
          <t>n</t>
        </is>
      </c>
      <c r="J10" s="278" t="inlineStr">
        <is>
          <t>OPC 40450-1 Section 7.5 Table 56</t>
        </is>
      </c>
      <c r="K10" s="278" t="inlineStr">
        <is>
          <t>Result payload/content is validated in detail by the Result CUs.</t>
        </is>
      </c>
    </row>
    <row r="11" ht="49" customHeight="1" s="173">
      <c r="A11" s="404" t="n"/>
      <c r="B11" s="404" t="n"/>
      <c r="C11" s="404" t="n">
        <v>1</v>
      </c>
      <c r="D11" s="404" t="inlineStr">
        <is>
          <t>From the MachineryResult:ResultManagement component, verify the MachineryResult:Results folder.</t>
        </is>
      </c>
      <c r="E11" s="404" t="inlineStr">
        <is>
          <t>The Server claims the IJT Result Management CU and exposes MachineryResult:ResultManagement.</t>
        </is>
      </c>
      <c r="F11" s="404" t="inlineStr">
        <is>
          <t>MachineryResult:Results is present with TypeDefinition = OPCUA:FolderType and contains zero or more stored results (JoiningSystemResultType or a subtype).</t>
        </is>
      </c>
      <c r="G11" s="404" t="inlineStr">
        <is>
          <t>Good</t>
        </is>
      </c>
      <c r="H11" s="404" t="inlineStr">
        <is>
          <t>Good</t>
        </is>
      </c>
      <c r="I11" s="404" t="n"/>
      <c r="J11" s="404" t="inlineStr">
        <is>
          <t>OPC 40450-1 Section 7.5 Table 56</t>
        </is>
      </c>
      <c r="K11" s="404" t="n"/>
    </row>
    <row r="12" ht="49" customHeight="1" s="173"/>
    <row r="13" ht="64" customHeight="1" s="173"/>
    <row r="14" ht="34" customHeight="1" s="173"/>
    <row r="15" ht="90" customHeight="1" s="173"/>
    <row r="16" ht="34" customHeight="1" s="173"/>
    <row r="17" ht="49" customHeight="1" s="173"/>
    <row r="18" ht="20.05" customHeight="1" s="173"/>
    <row r="19" ht="20.05" customHeight="1" s="173"/>
    <row r="20" ht="25.8" customHeight="1" s="173"/>
    <row r="21" ht="20.05" customHeight="1" s="173"/>
    <row r="22" ht="38.7" customHeight="1" s="173"/>
    <row r="23" ht="20.05" customHeight="1" s="173"/>
    <row r="24" ht="64.5" customHeight="1" s="173"/>
    <row r="25" ht="20.05" customHeight="1" s="173"/>
    <row r="26" ht="38.7" customHeight="1" s="173"/>
    <row r="27" ht="20.05" customHeight="1" s="173"/>
    <row r="28" ht="38.7" customHeight="1" s="173"/>
    <row r="29" ht="20.05" customHeight="1" s="173"/>
    <row r="30" ht="38.7" customHeight="1" s="173"/>
  </sheetData>
  <mergeCells count="2">
    <mergeCell ref="A1:K1"/>
    <mergeCell ref="C2:J2"/>
  </mergeCells>
  <pageMargins left="0.7" right="0.7" top="0.75" bottom="0.75" header="0.3" footer="0.3"/>
</worksheet>
</file>

<file path=xl/worksheets/sheet9.xml><?xml version="1.0" encoding="utf-8"?>
<worksheet xmlns="http://schemas.openxmlformats.org/spreadsheetml/2006/main">
  <sheetPr codeName="Sheet6">
    <tabColor rgb="FF2E75B6"/>
    <outlinePr summaryBelow="1" summaryRight="1"/>
    <pageSetUpPr/>
  </sheetPr>
  <dimension ref="A1:K11"/>
  <sheetViews>
    <sheetView workbookViewId="0">
      <pane ySplit="2" topLeftCell="A3" activePane="bottomLeft" state="frozen"/>
      <selection pane="bottomLeft" activeCell="F6" sqref="F6"/>
    </sheetView>
  </sheetViews>
  <sheetFormatPr baseColWidth="8" defaultColWidth="9.15625" defaultRowHeight="14.4"/>
  <cols>
    <col width="5" bestFit="1" customWidth="1" style="173" min="1" max="1"/>
    <col width="13" bestFit="1" customWidth="1" style="173" min="2" max="2"/>
    <col width="6" bestFit="1"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bestFit="1" customWidth="1" style="173" min="10" max="10"/>
    <col width="28" bestFit="1" customWidth="1" style="173" min="11" max="11"/>
    <col width="9.15625" customWidth="1" style="3" min="12" max="12"/>
  </cols>
  <sheetData>
    <row r="1" ht="22" customHeight="1" s="173">
      <c r="A1" s="272" t="inlineStr">
        <is>
          <t>OPC UA for Industrial Joining Technologies (OPC 40450-1) — CU-06: IJT Single Result</t>
        </is>
      </c>
      <c r="B1" s="167" t="n"/>
      <c r="C1" s="167" t="n"/>
      <c r="D1" s="167" t="n"/>
      <c r="E1" s="167" t="n"/>
      <c r="F1" s="167" t="n"/>
      <c r="G1" s="167" t="n"/>
      <c r="H1" s="167" t="n"/>
      <c r="I1" s="167" t="n"/>
      <c r="J1" s="167" t="n"/>
      <c r="K1" s="168" t="n"/>
    </row>
    <row r="2" ht="22" customHeight="1" s="173">
      <c r="A2" s="273">
        <f>HYPERLINK("#'Home'!A1","⌂ Home")</f>
        <v/>
      </c>
      <c r="C2" s="274" t="inlineStr">
        <is>
          <t>CU-06 — IJT Single Result</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the Classification field in JoiningResultMetaDataType</t>
        </is>
      </c>
      <c r="E4" s="278" t="n"/>
      <c r="F4" s="278" t="n"/>
      <c r="G4" s="278" t="n"/>
      <c r="H4" s="278" t="n"/>
      <c r="I4" s="278" t="inlineStr">
        <is>
          <t>n</t>
        </is>
      </c>
      <c r="J4" s="278" t="inlineStr">
        <is>
          <t>OPC 40450-1 Section 10.1 Table 208</t>
        </is>
      </c>
      <c r="K4" s="278" t="n"/>
    </row>
    <row r="5" ht="49" customFormat="1" customHeight="1" s="2">
      <c r="A5" s="404" t="n"/>
      <c r="B5" s="404" t="n"/>
      <c r="C5" s="404" t="n">
        <v>1</v>
      </c>
      <c r="D5" s="404" t="inlineStr">
        <is>
          <t>From JoiningResultMetaDataType in the TypeSystem, verify the Classification field.</t>
        </is>
      </c>
      <c r="E5" s="404" t="inlineStr">
        <is>
          <t>JoiningResultMetaDataType found in the TypeSystem.</t>
        </is>
      </c>
      <c r="F5" s="404" t="inlineStr">
        <is>
          <t>Classification is defined with DataType = Byte and the predefined value 1 = SINGLE_RESULT (0 = UNDEFINED ... 7 = TEXT_RESULT).</t>
        </is>
      </c>
      <c r="G5" s="404" t="inlineStr">
        <is>
          <t>Good</t>
        </is>
      </c>
      <c r="H5" s="404" t="inlineStr">
        <is>
          <t>Good</t>
        </is>
      </c>
      <c r="I5" s="404" t="n"/>
      <c r="J5" s="404" t="inlineStr">
        <is>
          <t>OPC 40450-1 Section 10.1 Table 208</t>
        </is>
      </c>
      <c r="K5" s="404" t="n"/>
    </row>
    <row r="6" ht="34" customHeight="1" s="173">
      <c r="A6" s="278" t="inlineStr">
        <is>
          <t>n</t>
        </is>
      </c>
      <c r="B6" s="278" t="n">
        <v>2</v>
      </c>
      <c r="C6" s="278" t="n">
        <v>0</v>
      </c>
      <c r="D6" s="278" t="inlineStr">
        <is>
          <t>Verify the server generates a result classified as SINGLE_RESULT</t>
        </is>
      </c>
      <c r="E6" s="278" t="n"/>
      <c r="F6" s="278" t="n"/>
      <c r="G6" s="278" t="n"/>
      <c r="H6" s="278" t="n"/>
      <c r="I6" s="278" t="inlineStr">
        <is>
          <t>n</t>
        </is>
      </c>
      <c r="J6" s="278" t="inlineStr">
        <is>
          <t>OPC 40450-1 Section 10.1 Table 208</t>
        </is>
      </c>
      <c r="K6" s="278" t="n"/>
    </row>
    <row r="7" ht="79" customHeight="1" s="173">
      <c r="A7" s="404" t="n"/>
      <c r="B7" s="404" t="n"/>
      <c r="C7" s="404" t="n">
        <v>1</v>
      </c>
      <c r="D7" s="404" t="inlineStr">
        <is>
          <t>Trigger a single joining operation and obtain the produced result using a supported result reporting mechanism.</t>
        </is>
      </c>
      <c r="E7" s="404" t="inlineStr">
        <is>
          <t>Server claims the IJT Single Result CU. A supported result reporting mechanism is available (event payload preferred, otherwise Result variable or another supported result-access path).</t>
        </is>
      </c>
      <c r="F7" s="404" t="inlineStr">
        <is>
          <t>A result is available via the supported result reporting mechanisms.</t>
        </is>
      </c>
      <c r="G7" s="404" t="inlineStr">
        <is>
          <t>Good</t>
        </is>
      </c>
      <c r="H7" s="404" t="inlineStr">
        <is>
          <t>Good</t>
        </is>
      </c>
      <c r="I7" s="404" t="n"/>
      <c r="J7" s="404" t="inlineStr">
        <is>
          <t>OPC 40450-1 Section 10.1 Table 208</t>
        </is>
      </c>
      <c r="K7" s="404" t="n"/>
    </row>
    <row r="8" ht="34" customHeight="1" s="173">
      <c r="A8" s="404" t="n"/>
      <c r="B8" s="404" t="n"/>
      <c r="C8" s="404" t="n">
        <v>2</v>
      </c>
      <c r="D8" s="404" t="inlineStr">
        <is>
          <t>From the obtained result, verify Result.ResultMetaData.Classification.</t>
        </is>
      </c>
      <c r="E8" s="404" t="inlineStr">
        <is>
          <t>A result is available via a supported result reporting mechanism.</t>
        </is>
      </c>
      <c r="F8" s="404" t="inlineStr">
        <is>
          <t>Result.ResultMetaData.Classification = 1 (SINGLE_RESULT).</t>
        </is>
      </c>
      <c r="G8" s="404" t="inlineStr">
        <is>
          <t>Good</t>
        </is>
      </c>
      <c r="H8" s="404" t="inlineStr">
        <is>
          <t>Good</t>
        </is>
      </c>
      <c r="I8" s="404" t="n"/>
      <c r="J8" s="404" t="inlineStr">
        <is>
          <t>OPC 40450-1 Section 10.1 Table 208</t>
        </is>
      </c>
      <c r="K8" s="404" t="n"/>
    </row>
    <row r="9" ht="34" customHeight="1" s="173">
      <c r="A9" s="278" t="inlineStr">
        <is>
          <t>n</t>
        </is>
      </c>
      <c r="B9" s="278" t="n">
        <v>3</v>
      </c>
      <c r="C9" s="278" t="n">
        <v>0</v>
      </c>
      <c r="D9" s="278" t="inlineStr">
        <is>
          <t>Verify the ResultContent of a SINGLE_RESULT</t>
        </is>
      </c>
      <c r="E9" s="278" t="n"/>
      <c r="F9" s="278" t="n"/>
      <c r="G9" s="278" t="n"/>
      <c r="H9" s="278" t="n"/>
      <c r="I9" s="278" t="inlineStr">
        <is>
          <t>n</t>
        </is>
      </c>
      <c r="J9" s="278" t="inlineStr">
        <is>
          <t>OPC 40450-1 Section 10.1 Table 208</t>
        </is>
      </c>
      <c r="K9" s="278" t="n"/>
    </row>
    <row r="10" ht="49" customHeight="1" s="173">
      <c r="A10" s="404" t="n"/>
      <c r="B10" s="404" t="n"/>
      <c r="C10" s="404" t="n">
        <v>1</v>
      </c>
      <c r="D10" s="404" t="inlineStr">
        <is>
          <t>For the SINGLE_RESULT, verify Result.ResultContent.</t>
        </is>
      </c>
      <c r="E10" s="404" t="inlineStr">
        <is>
          <t>A result with Classification = SINGLE_RESULT is available.</t>
        </is>
      </c>
      <c r="F10" s="404" t="inlineStr">
        <is>
          <t>Result.ResultContent contains exactly one element that is an instance of JoiningResultDataType (an ExtensionObject with TypeId = JoiningResultDataType).</t>
        </is>
      </c>
      <c r="G10" s="404" t="inlineStr">
        <is>
          <t>Good</t>
        </is>
      </c>
      <c r="H10" s="404" t="inlineStr">
        <is>
          <t>Good</t>
        </is>
      </c>
      <c r="I10" s="404" t="n"/>
      <c r="J10" s="404" t="inlineStr">
        <is>
          <t>OPC 40450-1 Section 10.1 Table 208</t>
        </is>
      </c>
      <c r="K10" s="404" t="n"/>
    </row>
    <row r="11" ht="49" customHeight="1" s="173">
      <c r="A11" s="404" t="n"/>
      <c r="B11" s="404" t="n"/>
      <c r="C11" s="404" t="n">
        <v>2</v>
      </c>
      <c r="D11" s="404" t="inlineStr">
        <is>
          <t>Decode the JoiningResultDataType and verify its mandatory content.</t>
        </is>
      </c>
      <c r="E11" s="404" t="inlineStr">
        <is>
          <t>The JoiningResultDataType from ResultContent is available.</t>
        </is>
      </c>
      <c r="F11" s="404" t="inlineStr">
        <is>
          <t>The mandatory field OverallResultValues[] is present (the array may be empty if the operation ended before any value was produced).</t>
        </is>
      </c>
      <c r="G11" s="404" t="inlineStr">
        <is>
          <t>Good</t>
        </is>
      </c>
      <c r="H11" s="404" t="inlineStr">
        <is>
          <t>Good</t>
        </is>
      </c>
      <c r="I11" s="404" t="n"/>
      <c r="J11" s="404" t="inlineStr">
        <is>
          <t>OPC 40450-1 Section 10.2 Table 210</t>
        </is>
      </c>
      <c r="K11" s="404" t="n"/>
    </row>
    <row r="12" ht="64" customHeight="1" s="173"/>
    <row r="13" ht="34" customHeight="1" s="173"/>
    <row r="14" ht="64" customHeight="1" s="173"/>
    <row r="15" ht="34" customHeight="1" s="173"/>
    <row r="16" ht="49" customHeight="1" s="173"/>
    <row r="17" ht="34" customHeight="1" s="173"/>
    <row r="18" ht="49" customHeight="1" s="173"/>
    <row r="19" ht="34" customHeight="1" s="173"/>
    <row r="20" ht="49" customHeight="1" s="173"/>
    <row r="21" ht="20.05" customHeight="1" s="173"/>
    <row r="22" ht="20.05" customHeight="1" s="173"/>
    <row r="23" ht="38.7" customHeight="1" s="173"/>
    <row r="24" ht="25.8" customHeight="1" s="173"/>
    <row r="25" ht="51.6" customHeight="1" s="173"/>
    <row r="26" ht="25.8" customHeight="1" s="173"/>
    <row r="27" ht="38.7" customHeight="1" s="173"/>
    <row r="28" ht="20.05" customHeight="1" s="173"/>
    <row r="29" ht="25.8" customHeight="1" s="173"/>
    <row r="30" ht="20.05" customHeight="1" s="173"/>
    <row r="31" ht="25.8" customHeight="1" s="173"/>
    <row r="32" ht="20.05" customHeight="1" s="173"/>
    <row r="33" ht="38.7" customHeight="1" s="173"/>
    <row r="34" ht="20.05" customHeight="1" s="173"/>
    <row r="35" ht="25.8" customHeight="1" s="173"/>
  </sheetData>
  <mergeCells count="2">
    <mergeCell ref="A1:K1"/>
    <mergeCell ref="C2:J2"/>
  </mergeCells>
  <pageMargins left="0.7" right="0.7" top="0.75" bottom="0.75" header="0.3" footer="0.3"/>
</worksheet>
</file>

<file path=xl/worksheets/sheet10.xml><?xml version="1.0" encoding="utf-8"?>
<worksheet xmlns="http://schemas.openxmlformats.org/spreadsheetml/2006/main">
  <sheetPr codeName="Sheet7">
    <tabColor rgb="FF2E75B6"/>
    <outlinePr summaryBelow="1" summaryRight="1"/>
    <pageSetUpPr/>
  </sheetPr>
  <dimension ref="A1:K12"/>
  <sheetViews>
    <sheetView workbookViewId="0">
      <pane ySplit="2" topLeftCell="A3" activePane="bottomLeft" state="frozen"/>
      <selection pane="bottomLeft" activeCell="A2" sqref="A2:B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CU-07: IJT Basic Result</t>
        </is>
      </c>
      <c r="B1" s="167" t="n"/>
      <c r="C1" s="167" t="n"/>
      <c r="D1" s="167" t="n"/>
      <c r="E1" s="167" t="n"/>
      <c r="F1" s="167" t="n"/>
      <c r="G1" s="167" t="n"/>
      <c r="H1" s="167" t="n"/>
      <c r="I1" s="167" t="n"/>
      <c r="J1" s="167" t="n"/>
      <c r="K1" s="168" t="n"/>
    </row>
    <row r="2" ht="22" customHeight="1" s="173">
      <c r="A2" s="273">
        <f>HYPERLINK("#'Home'!A1","⌂ Home")</f>
        <v/>
      </c>
      <c r="C2" s="274" t="inlineStr">
        <is>
          <t>CU-07 — IJT Basic Result</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JoiningResultMetaDataType in the TypeSystem</t>
        </is>
      </c>
      <c r="E4" s="278" t="n"/>
      <c r="F4" s="278" t="n"/>
      <c r="G4" s="278" t="n"/>
      <c r="H4" s="278" t="n"/>
      <c r="I4" s="278" t="inlineStr">
        <is>
          <t>n</t>
        </is>
      </c>
      <c r="J4" s="278" t="inlineStr">
        <is>
          <t>OPC 40450-1 Section 10.1 Table 208</t>
        </is>
      </c>
      <c r="K4" s="278" t="n"/>
    </row>
    <row r="5" ht="34" customFormat="1" customHeight="1" s="2">
      <c r="A5" s="404" t="n"/>
      <c r="B5" s="404" t="n"/>
      <c r="C5" s="404" t="n">
        <v>1</v>
      </c>
      <c r="D5" s="404" t="inlineStr">
        <is>
          <t>Browse the TypeSystem for JoiningResultMetaDataType.</t>
        </is>
      </c>
      <c r="E5" s="404" t="inlineStr">
        <is>
          <t>Server accessible.</t>
        </is>
      </c>
      <c r="F5" s="404" t="inlineStr">
        <is>
          <t>JoiningResultMetaDataType is found with NodeClass = DataType (a structure).</t>
        </is>
      </c>
      <c r="G5" s="404" t="inlineStr">
        <is>
          <t>Good</t>
        </is>
      </c>
      <c r="H5" s="404" t="inlineStr">
        <is>
          <t>Good</t>
        </is>
      </c>
      <c r="I5" s="404" t="n"/>
      <c r="J5" s="404" t="inlineStr">
        <is>
          <t>OPC 40450-1 Section 10.1 Table 208</t>
        </is>
      </c>
      <c r="K5" s="404" t="n"/>
    </row>
    <row r="6" ht="34" customHeight="1" s="173">
      <c r="A6" s="404" t="n"/>
      <c r="B6" s="404" t="n"/>
      <c r="C6" s="404" t="n">
        <v>2</v>
      </c>
      <c r="D6" s="404" t="inlineStr">
        <is>
          <t>Follow the HasSubtype inverse Reference to verify the supertype.</t>
        </is>
      </c>
      <c r="E6" s="404" t="inlineStr">
        <is>
          <t>JoiningResultMetaDataType found.</t>
        </is>
      </c>
      <c r="F6" s="404" t="inlineStr">
        <is>
          <t>It is a subtype of MachineryResult:ResultMetaDataType (OPC 40001-101).</t>
        </is>
      </c>
      <c r="G6" s="404" t="inlineStr">
        <is>
          <t>Good</t>
        </is>
      </c>
      <c r="H6" s="404" t="inlineStr">
        <is>
          <t>Good</t>
        </is>
      </c>
      <c r="I6" s="404" t="n"/>
      <c r="J6" s="404" t="inlineStr">
        <is>
          <t>OPC 40450-1 Section 10.1 Table 208</t>
        </is>
      </c>
      <c r="K6" s="404" t="n"/>
    </row>
    <row r="7" ht="34" customHeight="1" s="173">
      <c r="A7" s="278" t="inlineStr">
        <is>
          <t>n</t>
        </is>
      </c>
      <c r="B7" s="278" t="n">
        <v>2</v>
      </c>
      <c r="C7" s="278" t="n">
        <v>0</v>
      </c>
      <c r="D7" s="278" t="inlineStr">
        <is>
          <t>Verify the mandatory ResultId in a received result</t>
        </is>
      </c>
      <c r="E7" s="278" t="n"/>
      <c r="F7" s="278" t="n"/>
      <c r="G7" s="278" t="n"/>
      <c r="H7" s="278" t="n"/>
      <c r="I7" s="278" t="inlineStr">
        <is>
          <t>n</t>
        </is>
      </c>
      <c r="J7" s="278" t="inlineStr">
        <is>
          <t>OPC 40001-101 Table 29 (ResultMetaDataType)</t>
        </is>
      </c>
      <c r="K7" s="278" t="n"/>
    </row>
    <row r="8" ht="49" customHeight="1" s="173">
      <c r="A8" s="404" t="n"/>
      <c r="B8" s="404" t="n"/>
      <c r="C8" s="404" t="n">
        <v>1</v>
      </c>
      <c r="D8" s="404" t="inlineStr">
        <is>
          <t>Obtain a result via a supported result reporting mechanism and verify Result.ResultMetaData.ResultId.</t>
        </is>
      </c>
      <c r="E8" s="404" t="inlineStr">
        <is>
          <t>Server claims the IJT Basic Result CU and a result instance is available.</t>
        </is>
      </c>
      <c r="F8" s="404" t="inlineStr">
        <is>
          <t>ResultId is present and non-empty with DataType = TrimmedString (String). All partial results of one result share the same ResultId.</t>
        </is>
      </c>
      <c r="G8" s="404" t="inlineStr">
        <is>
          <t>Good</t>
        </is>
      </c>
      <c r="H8" s="404" t="inlineStr">
        <is>
          <t>Good</t>
        </is>
      </c>
      <c r="I8" s="404" t="n"/>
      <c r="J8" s="404" t="inlineStr">
        <is>
          <t>OPC 40001-101 Table 29 (ResultMetaDataType)</t>
        </is>
      </c>
      <c r="K8" s="404" t="n"/>
    </row>
    <row r="9" ht="34" customHeight="1" s="173">
      <c r="A9" s="278" t="inlineStr">
        <is>
          <t>n</t>
        </is>
      </c>
      <c r="B9" s="278" t="n">
        <v>3</v>
      </c>
      <c r="C9" s="278" t="n">
        <v>0</v>
      </c>
      <c r="D9" s="278" t="inlineStr">
        <is>
          <t>Verify the required classification and state fields for a Basic Result</t>
        </is>
      </c>
      <c r="E9" s="278" t="n"/>
      <c r="F9" s="278" t="n"/>
      <c r="G9" s="278" t="n"/>
      <c r="H9" s="278" t="n"/>
      <c r="I9" s="278" t="inlineStr">
        <is>
          <t>n</t>
        </is>
      </c>
      <c r="J9" s="278" t="inlineStr">
        <is>
          <t>OPC 40450-1 Section 10.1 Table 208</t>
        </is>
      </c>
      <c r="K9" s="278" t="n"/>
    </row>
    <row r="10" ht="64" customHeight="1" s="173">
      <c r="A10" s="404" t="n"/>
      <c r="B10" s="404" t="n"/>
      <c r="C10" s="404" t="n">
        <v>1</v>
      </c>
      <c r="D10" s="404" t="inlineStr">
        <is>
          <t>From the received result, verify the classification and state MetaData fields.</t>
        </is>
      </c>
      <c r="E10" s="404" t="inlineStr">
        <is>
          <t>A result instance is available under the claimed IJT Basic Result CU.</t>
        </is>
      </c>
      <c r="F10" s="404" t="inlineStr">
        <is>
          <t>All are present with the correct DataTypes: Classification (Byte, 0..7), ResultState (Int32; 0=Undefined, 1=Completed, 2=Processing, 3=Aborted, 4=Failed), IsPartial (Boolean), IsSimulated (Boolean).</t>
        </is>
      </c>
      <c r="G10" s="404" t="inlineStr">
        <is>
          <t>Good</t>
        </is>
      </c>
      <c r="H10" s="404" t="inlineStr">
        <is>
          <t>Good</t>
        </is>
      </c>
      <c r="I10" s="404" t="n"/>
      <c r="J10" s="404" t="inlineStr">
        <is>
          <t>OPC 40450-1 Section 10.1 Table 208</t>
        </is>
      </c>
      <c r="K10" s="404" t="n"/>
    </row>
    <row r="11" ht="34" customHeight="1" s="173">
      <c r="A11" s="278" t="inlineStr">
        <is>
          <t>n</t>
        </is>
      </c>
      <c r="B11" s="278" t="n">
        <v>4</v>
      </c>
      <c r="C11" s="278" t="n">
        <v>0</v>
      </c>
      <c r="D11" s="278" t="inlineStr">
        <is>
          <t>Verify the required evaluation and descriptive fields for a Basic Result</t>
        </is>
      </c>
      <c r="E11" s="278" t="n"/>
      <c r="F11" s="278" t="n"/>
      <c r="G11" s="278" t="n"/>
      <c r="H11" s="278" t="n"/>
      <c r="I11" s="278" t="inlineStr">
        <is>
          <t>n</t>
        </is>
      </c>
      <c r="J11" s="278" t="inlineStr">
        <is>
          <t>OPC 40450-1 Section 10.1 Table 208</t>
        </is>
      </c>
      <c r="K11" s="278" t="n"/>
    </row>
    <row r="12" ht="90" customHeight="1" s="173">
      <c r="A12" s="404" t="n"/>
      <c r="B12" s="404" t="n"/>
      <c r="C12" s="404" t="n">
        <v>1</v>
      </c>
      <c r="D12" s="404" t="inlineStr">
        <is>
          <t>From the received result, verify the evaluation and descriptive MetaData fields.</t>
        </is>
      </c>
      <c r="E12" s="404" t="inlineStr">
        <is>
          <t>A result instance is available under the claimed IJT Basic Result CU.</t>
        </is>
      </c>
      <c r="F12" s="404" t="inlineStr">
        <is>
          <t>All are present with the correct DataTypes: ResultEvaluation (MachineryResult:ResultEvaluationEnum, a value defined by that enumeration), JoiningTechnology (LocalizedText), SequenceNumber (UInt64, a cyclic counter that increments per joining operation), CreationTime (UtcTime).</t>
        </is>
      </c>
      <c r="G12" s="404" t="inlineStr">
        <is>
          <t>Good</t>
        </is>
      </c>
      <c r="H12" s="404" t="inlineStr">
        <is>
          <t>Good</t>
        </is>
      </c>
      <c r="I12" s="404" t="n"/>
      <c r="J12" s="404" t="inlineStr">
        <is>
          <t>OPC 40450-1 Section 10.1 Table 208</t>
        </is>
      </c>
      <c r="K12" s="404" t="n"/>
    </row>
    <row r="13" ht="49" customHeight="1" s="173"/>
    <row r="14" ht="34" customHeight="1" s="173"/>
    <row r="15" ht="34" customHeight="1" s="173"/>
    <row r="16" ht="34" customHeight="1" s="173"/>
    <row r="17" ht="64" customHeight="1" s="173"/>
    <row r="18" ht="64" customHeight="1" s="173"/>
    <row r="19" ht="34" customHeight="1" s="173"/>
    <row r="20" ht="64" customHeight="1" s="173"/>
    <row r="21" ht="34" customHeight="1" s="173"/>
    <row r="22" ht="49" customHeight="1" s="173"/>
    <row r="23" ht="49" customHeight="1" s="173"/>
    <row r="24" ht="34" customHeight="1" s="173"/>
    <row r="25" ht="34" customHeight="1" s="173"/>
    <row r="26" ht="34" customHeight="1" s="173"/>
    <row r="27" ht="64" customHeight="1" s="173"/>
    <row r="28" ht="49" customHeight="1" s="173"/>
    <row r="29" ht="20.05" customHeight="1" s="173"/>
    <row r="30" ht="20.05" customHeight="1" s="173"/>
    <row r="31" ht="77.40000000000001" customHeight="1" s="173"/>
    <row r="32" ht="20.05" customHeight="1" s="173"/>
    <row r="33" ht="20.05" customHeight="1" s="173"/>
    <row r="34" ht="25.8" customHeight="1" s="173"/>
    <row r="35" ht="20.05" customHeight="1" s="173"/>
    <row r="36" ht="38.7" customHeight="1" s="173"/>
    <row r="37" ht="20.05" customHeight="1" s="173"/>
    <row r="38" ht="38.7" customHeight="1" s="173"/>
    <row r="39" ht="20.05" customHeight="1" s="173"/>
    <row r="40" ht="38.7" customHeight="1" s="173"/>
    <row r="41" ht="20.05" customHeight="1" s="173"/>
    <row r="42" ht="38.7" customHeight="1" s="173"/>
    <row r="43" ht="20.05" customHeight="1" s="173"/>
    <row r="44" ht="38.7" customHeight="1" s="173"/>
  </sheetData>
  <mergeCells count="2">
    <mergeCell ref="A1:K1"/>
    <mergeCell ref="C2:J2"/>
  </mergeCells>
  <pageMargins left="0.7" right="0.7" top="0.75" bottom="0.75" header="0.3" footer="0.3"/>
</worksheet>
</file>

<file path=xl/worksheets/sheet11.xml><?xml version="1.0" encoding="utf-8"?>
<worksheet xmlns="http://schemas.openxmlformats.org/spreadsheetml/2006/main">
  <sheetPr codeName="Sheet8">
    <tabColor rgb="FF2E75B6"/>
    <outlinePr summaryBelow="1" summaryRight="1"/>
    <pageSetUpPr/>
  </sheetPr>
  <dimension ref="A1:K7"/>
  <sheetViews>
    <sheetView workbookViewId="0">
      <pane ySplit="2" topLeftCell="A10"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CU-08: IJT Result Additional Data</t>
        </is>
      </c>
      <c r="B1" s="167" t="n"/>
      <c r="C1" s="167" t="n"/>
      <c r="D1" s="167" t="n"/>
      <c r="E1" s="167" t="n"/>
      <c r="F1" s="167" t="n"/>
      <c r="G1" s="167" t="n"/>
      <c r="H1" s="167" t="n"/>
      <c r="I1" s="167" t="n"/>
      <c r="J1" s="167" t="n"/>
      <c r="K1" s="168" t="n"/>
    </row>
    <row r="2" ht="22" customHeight="1" s="173">
      <c r="A2" s="273">
        <f>HYPERLINK("#'Home'!A1","⌂ Home")</f>
        <v/>
      </c>
      <c r="C2" s="274" t="inlineStr">
        <is>
          <t>CU-08 — IJT Result Additional Data</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n</t>
        </is>
      </c>
      <c r="B4" s="278" t="n">
        <v>1</v>
      </c>
      <c r="C4" s="278" t="n">
        <v>0</v>
      </c>
      <c r="D4" s="278" t="inlineStr">
        <is>
          <t>Verify the descriptive additional-data fields required by the CU</t>
        </is>
      </c>
      <c r="E4" s="278" t="n"/>
      <c r="F4" s="278" t="n"/>
      <c r="G4" s="278" t="n"/>
      <c r="H4" s="278" t="n"/>
      <c r="I4" s="278" t="inlineStr">
        <is>
          <t>n</t>
        </is>
      </c>
      <c r="J4" s="278" t="inlineStr">
        <is>
          <t>OPC 40450-1 Section 10.1 Table 208</t>
        </is>
      </c>
      <c r="K4" s="278" t="n"/>
    </row>
    <row r="5" ht="64" customFormat="1" customHeight="1" s="2">
      <c r="A5" s="404" t="n"/>
      <c r="B5" s="404" t="n"/>
      <c r="C5" s="404" t="n">
        <v>1</v>
      </c>
      <c r="D5" s="404" t="inlineStr">
        <is>
          <t>From a received result, verify the descriptive MetaData fields.</t>
        </is>
      </c>
      <c r="E5" s="404" t="inlineStr">
        <is>
          <t>Server claims the IJT Result Additional Data CU and a result instance is available.</t>
        </is>
      </c>
      <c r="F5" s="404" t="inlineStr">
        <is>
          <t>All present with the correct DataTypes: Name (String), Description (LocalizedText), ResultEvaluationCode (Int64, a vendor-specific code), ResultEvaluationDetails (LocalizedText).</t>
        </is>
      </c>
      <c r="G5" s="404" t="inlineStr">
        <is>
          <t>Good</t>
        </is>
      </c>
      <c r="H5" s="404" t="inlineStr">
        <is>
          <t>Good</t>
        </is>
      </c>
      <c r="I5" s="404" t="n"/>
      <c r="J5" s="404" t="inlineStr">
        <is>
          <t>OPC 40450-1 Section 10.1 Table 208</t>
        </is>
      </c>
      <c r="K5" s="404" t="n"/>
    </row>
    <row r="6" ht="34" customHeight="1" s="173">
      <c r="A6" s="278" t="inlineStr">
        <is>
          <t>n</t>
        </is>
      </c>
      <c r="B6" s="278" t="n">
        <v>2</v>
      </c>
      <c r="C6" s="278" t="n">
        <v>0</v>
      </c>
      <c r="D6" s="278" t="inlineStr">
        <is>
          <t>Verify the AssemblyType and OperationMode fields required by the CU</t>
        </is>
      </c>
      <c r="E6" s="278" t="n"/>
      <c r="F6" s="278" t="n"/>
      <c r="G6" s="278" t="n"/>
      <c r="H6" s="278" t="n"/>
      <c r="I6" s="278" t="inlineStr">
        <is>
          <t>n</t>
        </is>
      </c>
      <c r="J6" s="278" t="inlineStr">
        <is>
          <t>OPC 40450-1 Section 10.1 Table 208</t>
        </is>
      </c>
      <c r="K6" s="278" t="n"/>
    </row>
    <row r="7" ht="64" customHeight="1" s="173">
      <c r="A7" s="404" t="n"/>
      <c r="B7" s="404" t="n"/>
      <c r="C7" s="404" t="n">
        <v>1</v>
      </c>
      <c r="D7" s="404" t="inlineStr">
        <is>
          <t>From a received result, verify the AssemblyType and OperationMode fields.</t>
        </is>
      </c>
      <c r="E7" s="404" t="inlineStr">
        <is>
          <t>A result instance is available under the claimed IJT Result Additional Data CU.</t>
        </is>
      </c>
      <c r="F7" s="404" t="inlineStr">
        <is>
          <t>AssemblyType (Byte) has a value of 0 (UNDEFINED), 1 (ASSEMBLED) or 2 (DISASSEMBLED); OperationMode (Byte) has a value of 0 (UNDEFINED), 1 (AUTOMATIC) or 2 (MANUAL).</t>
        </is>
      </c>
      <c r="G7" s="404" t="inlineStr">
        <is>
          <t>Good</t>
        </is>
      </c>
      <c r="H7" s="404" t="inlineStr">
        <is>
          <t>Good</t>
        </is>
      </c>
      <c r="I7" s="404" t="n"/>
      <c r="J7" s="404" t="inlineStr">
        <is>
          <t>OPC 40450-1 Section 10.1 Table 208</t>
        </is>
      </c>
      <c r="K7" s="404" t="n"/>
    </row>
    <row r="8" ht="34" customHeight="1" s="173"/>
    <row r="9" ht="64" customHeight="1" s="173"/>
    <row r="10" ht="34" customHeight="1" s="173"/>
    <row r="11" ht="49" customHeight="1" s="173"/>
    <row r="12" ht="34" customHeight="1" s="173"/>
    <row r="13" ht="49" customHeight="1" s="173"/>
    <row r="14" ht="49" customHeight="1" s="173"/>
    <row r="15" ht="34" customHeight="1" s="173"/>
    <row r="16" ht="49" customHeight="1" s="173"/>
    <row r="17" ht="49" customHeight="1" s="173"/>
    <row r="18" ht="49" customHeight="1" s="173"/>
    <row r="19" ht="64" customHeight="1" s="173"/>
    <row r="20" ht="34" customHeight="1" s="173"/>
    <row r="21" ht="64" customHeight="1" s="173"/>
    <row r="22" ht="20.05" customHeight="1" s="173"/>
    <row r="23" ht="34" customHeight="1" s="173"/>
    <row r="24" ht="49" customHeight="1" s="173"/>
    <row r="25" ht="20.05" customHeight="1" s="173"/>
    <row r="26" ht="38.7" customHeight="1" s="173"/>
    <row r="27" ht="20.05" customHeight="1" s="173"/>
    <row r="28" ht="25.8" customHeight="1" s="173"/>
    <row r="29" ht="51.6" customHeight="1" s="173"/>
    <row r="30" ht="20.05" customHeight="1" s="173"/>
    <row r="31" ht="51.6" customHeight="1" s="173"/>
    <row r="32" ht="20.05" customHeight="1" s="173"/>
    <row r="33" ht="51.6" customHeight="1" s="173"/>
    <row r="34" ht="20.05" customHeight="1" s="173"/>
    <row r="35" ht="38.7" customHeight="1" s="173"/>
  </sheetData>
  <mergeCells count="2">
    <mergeCell ref="A1:K1"/>
    <mergeCell ref="C2:J2"/>
  </mergeCells>
  <pageMargins left="0.7" right="0.7" top="0.75" bottom="0.75" header="0.3" footer="0.3"/>
</worksheet>
</file>

<file path=xl/worksheets/sheet12.xml><?xml version="1.0" encoding="utf-8"?>
<worksheet xmlns="http://schemas.openxmlformats.org/spreadsheetml/2006/main">
  <sheetPr codeName="Sheet30">
    <tabColor rgb="FF2E75B6"/>
    <outlinePr summaryBelow="1" summaryRight="1"/>
    <pageSetUpPr/>
  </sheetPr>
  <dimension ref="A1:K7"/>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CU-09: IJT Result Extended Meta Data</t>
        </is>
      </c>
      <c r="B1" s="167" t="n"/>
      <c r="C1" s="167" t="n"/>
      <c r="D1" s="167" t="n"/>
      <c r="E1" s="167" t="n"/>
      <c r="F1" s="167" t="n"/>
      <c r="G1" s="167" t="n"/>
      <c r="H1" s="167" t="n"/>
      <c r="I1" s="167" t="n"/>
      <c r="J1" s="167" t="n"/>
      <c r="K1" s="168" t="n"/>
    </row>
    <row r="2" ht="22" customHeight="1" s="173">
      <c r="A2" s="273">
        <f>HYPERLINK("#'Home'!A1","⌂ Home")</f>
        <v/>
      </c>
      <c r="C2" s="274" t="inlineStr">
        <is>
          <t>CU-09 — IJT Result Extended Meta Data</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the ExtendedMetaData field is declared in JoiningResultMetaDataType</t>
        </is>
      </c>
      <c r="E4" s="278" t="n"/>
      <c r="F4" s="278" t="n"/>
      <c r="G4" s="278" t="n"/>
      <c r="H4" s="278" t="n"/>
      <c r="I4" s="278" t="inlineStr">
        <is>
          <t>n</t>
        </is>
      </c>
      <c r="J4" s="278" t="inlineStr">
        <is>
          <t>OPC 40450-1 Section 10.1 Table 208</t>
        </is>
      </c>
      <c r="K4" s="278" t="n"/>
    </row>
    <row r="5" ht="34" customFormat="1" customHeight="1" s="2">
      <c r="A5" s="404" t="n"/>
      <c r="B5" s="404" t="n"/>
      <c r="C5" s="404" t="n">
        <v>1</v>
      </c>
      <c r="D5" s="404" t="inlineStr">
        <is>
          <t>From JoiningResultMetaDataType, verify the ExtendedMetaData field.</t>
        </is>
      </c>
      <c r="E5" s="404" t="inlineStr">
        <is>
          <t>JoiningResultMetaDataType found in the TypeSystem.</t>
        </is>
      </c>
      <c r="F5" s="404" t="inlineStr">
        <is>
          <t>ExtendedMetaData is declared with DataType = KeyValueDataType[] and ModellingRule = Optional.</t>
        </is>
      </c>
      <c r="G5" s="404" t="inlineStr">
        <is>
          <t>Good</t>
        </is>
      </c>
      <c r="H5" s="404" t="inlineStr">
        <is>
          <t>Good</t>
        </is>
      </c>
      <c r="I5" s="404" t="n"/>
      <c r="J5" s="404" t="inlineStr">
        <is>
          <t>OPC 40450-1 Section 10.1 Table 208</t>
        </is>
      </c>
      <c r="K5" s="404" t="n"/>
    </row>
    <row r="6" ht="34" customHeight="1" s="173">
      <c r="A6" s="278" t="inlineStr">
        <is>
          <t>n</t>
        </is>
      </c>
      <c r="B6" s="278" t="n">
        <v>2</v>
      </c>
      <c r="C6" s="278" t="n">
        <v>0</v>
      </c>
      <c r="D6" s="278" t="inlineStr">
        <is>
          <t>Verify ExtendedMetaData in a received result</t>
        </is>
      </c>
      <c r="E6" s="278" t="n"/>
      <c r="F6" s="278" t="n"/>
      <c r="G6" s="278" t="n"/>
      <c r="H6" s="278" t="n"/>
      <c r="I6" s="278" t="inlineStr">
        <is>
          <t>n</t>
        </is>
      </c>
      <c r="J6" s="278" t="inlineStr">
        <is>
          <t>OPC 40450-1 Section 10.1 Table 208</t>
        </is>
      </c>
      <c r="K6" s="278" t="n"/>
    </row>
    <row r="7" ht="49" customHeight="1" s="173">
      <c r="A7" s="404" t="n"/>
      <c r="B7" s="404" t="n"/>
      <c r="C7" s="404" t="n">
        <v>1</v>
      </c>
      <c r="D7" s="404" t="inlineStr">
        <is>
          <t>From a received result whose ExtendedMetaData is populated, verify the array contents.</t>
        </is>
      </c>
      <c r="E7" s="404" t="inlineStr">
        <is>
          <t>Server claims the IJT Result Extended Meta Data CU and a result with ExtendedMetaData is available.</t>
        </is>
      </c>
      <c r="F7" s="404" t="inlineStr">
        <is>
          <t>ExtendedMetaData is an array of KeyValueDataType; each element has a non-empty Key and a Value carried as a Variant with a defined DataType.</t>
        </is>
      </c>
      <c r="G7" s="404" t="inlineStr">
        <is>
          <t>Good</t>
        </is>
      </c>
      <c r="H7" s="404" t="inlineStr">
        <is>
          <t>Good</t>
        </is>
      </c>
      <c r="I7" s="404" t="n"/>
      <c r="J7" s="404" t="inlineStr">
        <is>
          <t>OPC 40450-1 Section 10.1 Table 208</t>
        </is>
      </c>
      <c r="K7" s="404" t="n"/>
    </row>
    <row r="8" ht="49" customHeight="1" s="173"/>
    <row r="9" ht="34" customHeight="1" s="173"/>
    <row r="10" ht="49" customHeight="1" s="173"/>
    <row r="11" ht="34" customHeight="1" s="173"/>
    <row r="12" ht="49" customHeight="1" s="173"/>
    <row r="13" ht="34" customHeight="1" s="173"/>
    <row r="14" ht="64" customHeight="1" s="173"/>
    <row r="15" ht="49" customHeight="1" s="173"/>
    <row r="16" ht="64" customHeight="1" s="173"/>
    <row r="17" ht="20.05" customHeight="1" s="173"/>
    <row r="18" ht="34" customHeight="1" s="173"/>
    <row r="19" ht="49" customHeight="1" s="173"/>
    <row r="20" ht="34" customHeight="1" s="173"/>
    <row r="21" ht="64" customHeight="1" s="173"/>
    <row r="22" ht="34" customHeight="1" s="173"/>
    <row r="23" ht="49" customHeight="1" s="173"/>
    <row r="24" ht="34" customHeight="1" s="173"/>
    <row r="25" ht="49" customHeight="1" s="173"/>
    <row r="26" ht="20.05" customHeight="1" s="173"/>
    <row r="27" ht="38.7" customHeight="1" s="173"/>
    <row r="28" ht="20.05" customHeight="1" s="173"/>
    <row r="29" ht="38.7" customHeight="1" s="173"/>
  </sheetData>
  <mergeCells count="2">
    <mergeCell ref="A1:K1"/>
    <mergeCell ref="C2:J2"/>
  </mergeCells>
  <pageMargins left="0.7" right="0.7" top="0.75" bottom="0.75" header="0.3" footer="0.3"/>
</worksheet>
</file>

<file path=xl/worksheets/sheet13.xml><?xml version="1.0" encoding="utf-8"?>
<worksheet xmlns="http://schemas.openxmlformats.org/spreadsheetml/2006/main">
  <sheetPr codeName="Sheet12">
    <tabColor rgb="FF2E75B6"/>
    <outlinePr summaryBelow="1" summaryRight="1"/>
    <pageSetUpPr/>
  </sheetPr>
  <dimension ref="A1:K7"/>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CU-10: IJT Result Processing Times</t>
        </is>
      </c>
      <c r="B1" s="167" t="n"/>
      <c r="C1" s="167" t="n"/>
      <c r="D1" s="167" t="n"/>
      <c r="E1" s="167" t="n"/>
      <c r="F1" s="167" t="n"/>
      <c r="G1" s="167" t="n"/>
      <c r="H1" s="167" t="n"/>
      <c r="I1" s="167" t="n"/>
      <c r="J1" s="167" t="n"/>
      <c r="K1" s="168" t="n"/>
    </row>
    <row r="2" ht="22" customHeight="1" s="173">
      <c r="A2" s="273">
        <f>HYPERLINK("#'Home'!A1","⌂ Home")</f>
        <v/>
      </c>
      <c r="C2" s="274" t="inlineStr">
        <is>
          <t>CU-10 — IJT Result Processing Times</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the ProcessingTimesDataType structure</t>
        </is>
      </c>
      <c r="E4" s="278" t="n"/>
      <c r="F4" s="278" t="n"/>
      <c r="G4" s="278" t="n"/>
      <c r="H4" s="278" t="n"/>
      <c r="I4" s="278" t="inlineStr">
        <is>
          <t>n</t>
        </is>
      </c>
      <c r="J4" s="278" t="inlineStr">
        <is>
          <t>OPC 40001-101 Table 25 (ProcessingTimesDataType)</t>
        </is>
      </c>
      <c r="K4" s="278" t="n"/>
    </row>
    <row r="5" ht="49" customFormat="1" customHeight="1" s="2">
      <c r="A5" s="404" t="n"/>
      <c r="B5" s="404" t="n"/>
      <c r="C5" s="404" t="n">
        <v>1</v>
      </c>
      <c r="D5" s="404" t="inlineStr">
        <is>
          <t>Browse the TypeSystem for ProcessingTimesDataType (OPC 40001-101, MachineryResult namespace) and verify its mandatory time fields.</t>
        </is>
      </c>
      <c r="E5" s="404" t="inlineStr">
        <is>
          <t>Server accessible.</t>
        </is>
      </c>
      <c r="F5" s="404" t="inlineStr">
        <is>
          <t>ProcessingTimesDataType is found as a DataType (structure) declaring StartTime (UtcTime, Mandatory) and EndTime (UtcTime, Mandatory).</t>
        </is>
      </c>
      <c r="G5" s="404" t="inlineStr">
        <is>
          <t>Good</t>
        </is>
      </c>
      <c r="H5" s="404" t="inlineStr">
        <is>
          <t>Good</t>
        </is>
      </c>
      <c r="I5" s="404" t="n"/>
      <c r="J5" s="404" t="inlineStr">
        <is>
          <t>OPC 40001-101 Table 25 (ProcessingTimesDataType)</t>
        </is>
      </c>
      <c r="K5" s="404" t="n"/>
    </row>
    <row r="6" ht="34" customHeight="1" s="173">
      <c r="A6" s="278" t="inlineStr">
        <is>
          <t>n</t>
        </is>
      </c>
      <c r="B6" s="278" t="n">
        <v>2</v>
      </c>
      <c r="C6" s="278" t="n">
        <v>0</v>
      </c>
      <c r="D6" s="278" t="inlineStr">
        <is>
          <t>Verify ProcessingTimes.StartTime and EndTime in a received result</t>
        </is>
      </c>
      <c r="E6" s="278" t="n"/>
      <c r="F6" s="278" t="n"/>
      <c r="G6" s="278" t="n"/>
      <c r="H6" s="278" t="n"/>
      <c r="I6" s="278" t="inlineStr">
        <is>
          <t>n</t>
        </is>
      </c>
      <c r="J6" s="278" t="inlineStr">
        <is>
          <t>OPC 40450-1 Section 10.1 Table 208</t>
        </is>
      </c>
      <c r="K6" s="278" t="n"/>
    </row>
    <row r="7" ht="49" customHeight="1" s="173">
      <c r="A7" s="404" t="n"/>
      <c r="B7" s="404" t="n"/>
      <c r="C7" s="404" t="n">
        <v>1</v>
      </c>
      <c r="D7" s="404" t="inlineStr">
        <is>
          <t>From a received result, verify Result.ResultMetaData.ProcessingTimes.StartTime and EndTime.</t>
        </is>
      </c>
      <c r="E7" s="404" t="inlineStr">
        <is>
          <t>Server claims the IJT Result Processing Times CU and a result instance is available.</t>
        </is>
      </c>
      <c r="F7" s="404" t="inlineStr">
        <is>
          <t>Both StartTime and EndTime are present with DataType = UtcTime, hold plausible non-null values, and EndTime &gt;= StartTime.</t>
        </is>
      </c>
      <c r="G7" s="404" t="inlineStr">
        <is>
          <t>Good</t>
        </is>
      </c>
      <c r="H7" s="404" t="inlineStr">
        <is>
          <t>Good</t>
        </is>
      </c>
      <c r="I7" s="404" t="n"/>
      <c r="J7" s="404" t="inlineStr">
        <is>
          <t>OPC 40001-101 Table 25 (ProcessingTimesDataType)</t>
        </is>
      </c>
      <c r="K7" s="404" t="n"/>
    </row>
    <row r="8" ht="64" customHeight="1" s="173"/>
    <row r="9" ht="49" customHeight="1" s="173"/>
    <row r="10" ht="34" customHeight="1" s="173"/>
    <row r="11" ht="49" customHeight="1" s="173"/>
    <row r="12" ht="49" customHeight="1" s="173"/>
    <row r="13" ht="34" customHeight="1" s="173"/>
    <row r="14" ht="79" customHeight="1" s="173"/>
    <row r="15" ht="49" customHeight="1" s="173"/>
    <row r="16" ht="64" customHeight="1" s="173"/>
    <row r="17" ht="34" customHeight="1" s="173"/>
    <row r="18" ht="64" customHeight="1" s="173"/>
    <row r="19" ht="34" customHeight="1" s="173"/>
    <row r="20" ht="49" customHeight="1" s="173"/>
    <row r="21" ht="20.05" customHeight="1" s="173"/>
    <row r="22" ht="34" customHeight="1" s="173"/>
    <row r="23" ht="49" customHeight="1" s="173"/>
    <row r="24" ht="34" customHeight="1" s="173"/>
    <row r="25" ht="49" customHeight="1" s="173"/>
    <row r="26" ht="34" customHeight="1" s="173"/>
    <row r="27" ht="49" customHeight="1" s="173"/>
    <row r="28" ht="34" customHeight="1" s="173"/>
    <row r="29" ht="49" customHeight="1" s="173"/>
    <row r="30" ht="20.05" customHeight="1" s="173"/>
    <row r="31" ht="38.7" customHeight="1" s="173"/>
    <row r="32" ht="20.05" customHeight="1" s="173"/>
    <row r="33" ht="38.7" customHeight="1" s="173"/>
  </sheetData>
  <mergeCells count="2">
    <mergeCell ref="A1:K1"/>
    <mergeCell ref="C2:J2"/>
  </mergeCells>
  <pageMargins left="0.7" right="0.7" top="0.75" bottom="0.75" header="0.3" footer="0.3"/>
</worksheet>
</file>

<file path=xl/worksheets/sheet14.xml><?xml version="1.0" encoding="utf-8"?>
<worksheet xmlns="http://schemas.openxmlformats.org/spreadsheetml/2006/main">
  <sheetPr codeName="Sheet2">
    <tabColor rgb="FF2E75B6"/>
    <outlinePr summaryBelow="1" summaryRight="1"/>
    <pageSetUpPr/>
  </sheetPr>
  <dimension ref="A1:K7"/>
  <sheetViews>
    <sheetView workbookViewId="0">
      <pane ySplit="2" topLeftCell="A3" activePane="bottomLeft" state="frozen"/>
      <selection pane="bottomLeft" activeCell="A1" sqref="A1"/>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CU-11: IJT Result Processing Times Durations</t>
        </is>
      </c>
      <c r="B1" s="167" t="n"/>
      <c r="C1" s="167" t="n"/>
      <c r="D1" s="167" t="n"/>
      <c r="E1" s="167" t="n"/>
      <c r="F1" s="167" t="n"/>
      <c r="G1" s="167" t="n"/>
      <c r="H1" s="167" t="n"/>
      <c r="I1" s="167" t="n"/>
      <c r="J1" s="167" t="n"/>
      <c r="K1" s="168" t="n"/>
    </row>
    <row r="2" ht="22" customHeight="1" s="173">
      <c r="A2" s="273">
        <f>HYPERLINK("#'Home'!A1","⌂ Home")</f>
        <v/>
      </c>
      <c r="C2" s="274" t="inlineStr">
        <is>
          <t>CU-11 — IJT Result Processing Times Durations</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AcquisitionDuration and ProcessingDuration are declared in ProcessingTimesDataType</t>
        </is>
      </c>
      <c r="E4" s="278" t="n"/>
      <c r="F4" s="278" t="n"/>
      <c r="G4" s="278" t="n"/>
      <c r="H4" s="278" t="n"/>
      <c r="I4" s="278" t="inlineStr">
        <is>
          <t>n</t>
        </is>
      </c>
      <c r="J4" s="278" t="inlineStr">
        <is>
          <t>OPC 40001-101 Table 25 (ProcessingTimesDataType)</t>
        </is>
      </c>
      <c r="K4" s="278" t="n"/>
    </row>
    <row r="5" ht="49" customFormat="1" customHeight="1" s="2">
      <c r="A5" s="404" t="n"/>
      <c r="B5" s="404" t="n"/>
      <c r="C5" s="404" t="n">
        <v>1</v>
      </c>
      <c r="D5" s="404" t="inlineStr">
        <is>
          <t>From ProcessingTimesDataType, verify the duration fields.</t>
        </is>
      </c>
      <c r="E5" s="404" t="inlineStr">
        <is>
          <t>ProcessingTimesDataType found in the TypeSystem.</t>
        </is>
      </c>
      <c r="F5" s="404" t="inlineStr">
        <is>
          <t>AcquisitionDuration and ProcessingDuration are declared with DataType = Duration (a Double in milliseconds) and ModellingRule = Optional.</t>
        </is>
      </c>
      <c r="G5" s="404" t="inlineStr">
        <is>
          <t>Good</t>
        </is>
      </c>
      <c r="H5" s="404" t="inlineStr">
        <is>
          <t>Good</t>
        </is>
      </c>
      <c r="I5" s="404" t="n"/>
      <c r="J5" s="404" t="inlineStr">
        <is>
          <t>OPC 40001-101 Table 25 (ProcessingTimesDataType)</t>
        </is>
      </c>
      <c r="K5" s="404" t="n"/>
    </row>
    <row r="6" ht="34" customHeight="1" s="173">
      <c r="A6" s="278" t="inlineStr">
        <is>
          <t>n</t>
        </is>
      </c>
      <c r="B6" s="278" t="n">
        <v>2</v>
      </c>
      <c r="C6" s="278" t="n">
        <v>0</v>
      </c>
      <c r="D6" s="278" t="inlineStr">
        <is>
          <t>Verify AcquisitionDuration and ProcessingDuration in a received result</t>
        </is>
      </c>
      <c r="E6" s="278" t="n"/>
      <c r="F6" s="278" t="n"/>
      <c r="G6" s="278" t="n"/>
      <c r="H6" s="278" t="n"/>
      <c r="I6" s="278" t="inlineStr">
        <is>
          <t>n</t>
        </is>
      </c>
      <c r="J6" s="278" t="inlineStr">
        <is>
          <t>OPC 40450-1 Section 10.1 Table 208</t>
        </is>
      </c>
      <c r="K6" s="278" t="n"/>
    </row>
    <row r="7" ht="49" customHeight="1" s="173">
      <c r="A7" s="404" t="n"/>
      <c r="B7" s="404" t="n"/>
      <c r="C7" s="404" t="n">
        <v>1</v>
      </c>
      <c r="D7" s="404" t="inlineStr">
        <is>
          <t>From a received result, verify Result.ResultMetaData.ProcessingTimes.AcquisitionDuration and ProcessingDuration.</t>
        </is>
      </c>
      <c r="E7" s="404" t="inlineStr">
        <is>
          <t>Server claims the IJT Result Processing Times Durations CU and a result instance is available.</t>
        </is>
      </c>
      <c r="F7" s="404" t="inlineStr">
        <is>
          <t>Both are present with DataType = Duration, hold values &gt;= 0, and neither exceeds the total operation window (EndTime - StartTime).</t>
        </is>
      </c>
      <c r="G7" s="404" t="inlineStr">
        <is>
          <t>Good</t>
        </is>
      </c>
      <c r="H7" s="404" t="inlineStr">
        <is>
          <t>Good</t>
        </is>
      </c>
      <c r="I7" s="404" t="n"/>
      <c r="J7" s="404" t="inlineStr">
        <is>
          <t>OPC 40001-101 Table 25 (ProcessingTimesDataType)</t>
        </is>
      </c>
      <c r="K7" s="404" t="n"/>
    </row>
    <row r="8" ht="34" customHeight="1" s="173"/>
    <row r="9" ht="34" customHeight="1" s="173"/>
    <row r="10" ht="64" customHeight="1" s="173"/>
    <row r="11" ht="34" customHeight="1" s="173"/>
    <row r="12" ht="34" customHeight="1" s="173"/>
    <row r="13" ht="64" customHeight="1" s="173"/>
    <row r="14" ht="34" customHeight="1" s="173"/>
    <row r="15" ht="49" customHeight="1" s="173"/>
    <row r="16" ht="34" customHeight="1" s="173"/>
    <row r="17" ht="49" customHeight="1" s="173"/>
    <row r="18" ht="49" customHeight="1" s="173"/>
    <row r="19" ht="49" customHeight="1" s="173"/>
    <row r="20" ht="20.05" customHeight="1" s="173"/>
    <row r="21" ht="34" customHeight="1" s="173"/>
    <row r="22" ht="34" customHeight="1" s="173"/>
    <row r="23" ht="49" customHeight="1" s="173"/>
    <row r="24" ht="34" customHeight="1" s="173"/>
    <row r="25" ht="49" customHeight="1" s="173"/>
    <row r="26" ht="34" customHeight="1" s="173"/>
    <row r="27" ht="49" customHeight="1" s="173"/>
    <row r="28" ht="34" customHeight="1" s="173"/>
    <row r="29" ht="64" customHeight="1" s="173"/>
    <row r="30" ht="20.05" customHeight="1" s="173"/>
    <row r="31" ht="38.7" customHeight="1" s="173"/>
    <row r="32" ht="20.05" customHeight="1" s="173"/>
    <row r="33" ht="38.7" customHeight="1" s="173"/>
  </sheetData>
  <mergeCells count="2">
    <mergeCell ref="A1:K1"/>
    <mergeCell ref="C2:J2"/>
  </mergeCells>
  <pageMargins left="0.7" right="0.7" top="0.75" bottom="0.75" header="0.3" footer="0.3"/>
</worksheet>
</file>

<file path=xl/worksheets/sheet15.xml><?xml version="1.0" encoding="utf-8"?>
<worksheet xmlns="http://schemas.openxmlformats.org/spreadsheetml/2006/main">
  <sheetPr codeName="Sheet13">
    <tabColor rgb="FF2E75B6"/>
    <outlinePr summaryBelow="1" summaryRight="1"/>
    <pageSetUpPr/>
  </sheetPr>
  <dimension ref="A1:K19"/>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CU-12: IJT Result Event Access</t>
        </is>
      </c>
      <c r="B1" s="167" t="n"/>
      <c r="C1" s="167" t="n"/>
      <c r="D1" s="167" t="n"/>
      <c r="E1" s="167" t="n"/>
      <c r="F1" s="167" t="n"/>
      <c r="G1" s="167" t="n"/>
      <c r="H1" s="167" t="n"/>
      <c r="I1" s="167" t="n"/>
      <c r="J1" s="167" t="n"/>
      <c r="K1" s="168" t="n"/>
    </row>
    <row r="2" ht="22" customHeight="1" s="173">
      <c r="A2" s="273">
        <f>HYPERLINK("#'Home'!A1","⌂ Home")</f>
        <v/>
      </c>
      <c r="C2" s="274" t="inlineStr">
        <is>
          <t>CU-12 — IJT Result Event Access</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49" customHeight="1" s="173">
      <c r="A4" s="278" t="inlineStr">
        <is>
          <t>y</t>
        </is>
      </c>
      <c r="B4" s="278" t="n">
        <v>1</v>
      </c>
      <c r="C4" s="278" t="n">
        <v>0</v>
      </c>
      <c r="D4" s="278" t="inlineStr">
        <is>
          <t>Verify JoiningSystemResultReadyEventType and its Result component</t>
        </is>
      </c>
      <c r="E4" s="278" t="n"/>
      <c r="F4" s="278" t="n"/>
      <c r="G4" s="278" t="n"/>
      <c r="H4" s="278" t="n"/>
      <c r="I4" s="278" t="inlineStr">
        <is>
          <t>n</t>
        </is>
      </c>
      <c r="J4" s="278" t="inlineStr">
        <is>
          <t>OPC 40450-1 Section 8 Table 162 (JoiningSystemResultReadyEventType)</t>
        </is>
      </c>
      <c r="K4" s="278" t="n"/>
    </row>
    <row r="5" ht="49" customHeight="1" s="173">
      <c r="A5" s="404" t="n"/>
      <c r="B5" s="404" t="n"/>
      <c r="C5" s="404" t="n">
        <v>1</v>
      </c>
      <c r="D5" s="404" t="inlineStr">
        <is>
          <t>Browse the TypeSystem for JoiningSystemResultReadyEventType in the IJT namespace and follow its HasSubtype inverse Reference.</t>
        </is>
      </c>
      <c r="E5" s="404" t="inlineStr">
        <is>
          <t>Server accessible.</t>
        </is>
      </c>
      <c r="F5" s="404" t="inlineStr">
        <is>
          <t>JoiningSystemResultReadyEventType is found (NodeClass = ObjectType) as a subtype of MachineryResult:ResultReadyEventType.</t>
        </is>
      </c>
      <c r="G5" s="404" t="inlineStr">
        <is>
          <t>Good</t>
        </is>
      </c>
      <c r="H5" s="404" t="inlineStr">
        <is>
          <t>Good</t>
        </is>
      </c>
      <c r="I5" s="404" t="n"/>
      <c r="J5" s="404" t="inlineStr">
        <is>
          <t>OPC 40450-1 Section 8 Table 162 (JoiningSystemResultReadyEventType)</t>
        </is>
      </c>
      <c r="K5" s="404" t="n"/>
    </row>
    <row r="6" ht="49" customHeight="1" s="173">
      <c r="A6" s="404" t="n"/>
      <c r="B6" s="404" t="n"/>
      <c r="C6" s="404" t="n">
        <v>2</v>
      </c>
      <c r="D6" s="404" t="inlineStr">
        <is>
          <t>Verify the Result component of JoiningSystemResultReadyEventType.</t>
        </is>
      </c>
      <c r="E6" s="404" t="inlineStr">
        <is>
          <t>JoiningSystemResultReadyEventType found.</t>
        </is>
      </c>
      <c r="F6" s="404" t="inlineStr">
        <is>
          <t>A HasComponent Reference to MachineryResult:Result exists with TypeDefinition = JoiningSystemResultType and ModellingRule = Mandatory.</t>
        </is>
      </c>
      <c r="G6" s="404" t="inlineStr">
        <is>
          <t>Good</t>
        </is>
      </c>
      <c r="H6" s="404" t="inlineStr">
        <is>
          <t>Good</t>
        </is>
      </c>
      <c r="I6" s="404" t="n"/>
      <c r="J6" s="404" t="inlineStr">
        <is>
          <t>OPC 40450-1 Section 8 Table 162 (JoiningSystemResultReadyEventType)</t>
        </is>
      </c>
      <c r="K6" s="404" t="n"/>
    </row>
    <row r="7" ht="49" customHeight="1" s="173">
      <c r="A7" s="278" t="inlineStr">
        <is>
          <t>y</t>
        </is>
      </c>
      <c r="B7" s="278" t="n">
        <v>2</v>
      </c>
      <c r="C7" s="278" t="n">
        <v>0</v>
      </c>
      <c r="D7" s="278" t="inlineStr">
        <is>
          <t>Verify the JoiningSystem instance is enabled as an event source</t>
        </is>
      </c>
      <c r="E7" s="278" t="n"/>
      <c r="F7" s="278" t="n"/>
      <c r="G7" s="278" t="n"/>
      <c r="H7" s="278" t="n"/>
      <c r="I7" s="278" t="inlineStr">
        <is>
          <t>n</t>
        </is>
      </c>
      <c r="J7" s="278" t="inlineStr">
        <is>
          <t>OPC 40450-1 Section 8 Table 162 (JoiningSystemResultReadyEventType)</t>
        </is>
      </c>
      <c r="K7" s="278" t="n"/>
    </row>
    <row r="8" ht="64" customHeight="1" s="173">
      <c r="A8" s="404" t="n"/>
      <c r="B8" s="404" t="n"/>
      <c r="C8" s="404" t="n">
        <v>1</v>
      </c>
      <c r="D8" s="404" t="inlineStr">
        <is>
          <t>Read the EventNotifier Attribute of the JoiningSystem instance and of the ResultManagement AddIn.</t>
        </is>
      </c>
      <c r="E8" s="404" t="inlineStr">
        <is>
          <t>JoiningSystem instance and ResultManagement accessible.</t>
        </is>
      </c>
      <c r="F8" s="404" t="inlineStr">
        <is>
          <t>The SubscribeToEvents bit (bit 0) of EventNotifier is set on at least the JoiningSystem instance or the ResultManagement AddIn, so result events can be subscribed to.</t>
        </is>
      </c>
      <c r="G8" s="404" t="inlineStr">
        <is>
          <t>Good</t>
        </is>
      </c>
      <c r="H8" s="404" t="inlineStr">
        <is>
          <t>Good</t>
        </is>
      </c>
      <c r="I8" s="404" t="n"/>
      <c r="J8" s="404" t="inlineStr">
        <is>
          <t>OPC 10000-3 Section 5.6.4</t>
        </is>
      </c>
      <c r="K8" s="404" t="n"/>
    </row>
    <row r="9" ht="49" customHeight="1" s="173">
      <c r="A9" s="278" t="inlineStr">
        <is>
          <t>n</t>
        </is>
      </c>
      <c r="B9" s="278" t="n">
        <v>3</v>
      </c>
      <c r="C9" s="278" t="n">
        <v>0</v>
      </c>
      <c r="D9" s="278" t="inlineStr">
        <is>
          <t>Verify a result event is received on an event subscription</t>
        </is>
      </c>
      <c r="E9" s="278" t="n"/>
      <c r="F9" s="278" t="n"/>
      <c r="G9" s="278" t="n"/>
      <c r="H9" s="278" t="n"/>
      <c r="I9" s="278" t="inlineStr">
        <is>
          <t>n</t>
        </is>
      </c>
      <c r="J9" s="278" t="inlineStr">
        <is>
          <t>OPC 40450-1 Section 8 Table 162 (JoiningSystemResultReadyEventType)</t>
        </is>
      </c>
      <c r="K9" s="278" t="n"/>
    </row>
    <row r="10" ht="49" customHeight="1" s="173">
      <c r="A10" s="404" t="n"/>
      <c r="B10" s="404" t="n"/>
      <c r="C10" s="404" t="n">
        <v>1</v>
      </c>
      <c r="D10" s="404" t="inlineStr">
        <is>
          <t>Create a Subscription and add an EventNotifications MonitoredItem on the JoiningSystem node selecting JoiningSystemResultReadyEventType.</t>
        </is>
      </c>
      <c r="E10" s="404" t="inlineStr">
        <is>
          <t>OPC UA session established.</t>
        </is>
      </c>
      <c r="F10" s="404" t="inlineStr">
        <is>
          <t>CreateSubscription and CreateMonitoredItems return Good; the MonitoredItem is created with StatusCode = Good.</t>
        </is>
      </c>
      <c r="G10" s="404" t="inlineStr">
        <is>
          <t>Good</t>
        </is>
      </c>
      <c r="H10" s="404" t="inlineStr">
        <is>
          <t>Good</t>
        </is>
      </c>
      <c r="I10" s="404" t="n"/>
      <c r="J10" s="404" t="inlineStr">
        <is>
          <t>OPC 10000-4 Section 5.12 / 5.13</t>
        </is>
      </c>
      <c r="K10" s="404" t="n"/>
    </row>
    <row r="11" ht="64" customHeight="1" s="173">
      <c r="A11" s="404" t="n"/>
      <c r="B11" s="404" t="n"/>
      <c r="C11" s="404" t="n">
        <v>2</v>
      </c>
      <c r="D11" s="404" t="inlineStr">
        <is>
          <t>Trigger a single joining operation on the device.</t>
        </is>
      </c>
      <c r="E11" s="404" t="inlineStr">
        <is>
          <t>Subscription active; device operational.</t>
        </is>
      </c>
      <c r="F11" s="404" t="inlineStr">
        <is>
          <t>A NotificationMessage is received whose EventTypeId is JoiningSystemResultReadyEventType (or a subtype). The MachineryResult:Result field is non-null and carries a ResultMetaData with a non-empty ResultId.</t>
        </is>
      </c>
      <c r="G11" s="404" t="inlineStr">
        <is>
          <t>Good</t>
        </is>
      </c>
      <c r="H11" s="404" t="inlineStr">
        <is>
          <t>Good</t>
        </is>
      </c>
      <c r="I11" s="404" t="n"/>
      <c r="J11" s="404" t="inlineStr">
        <is>
          <t>OPC 40450-1 Section 8 Table 162 (JoiningSystemResultReadyEventType)</t>
        </is>
      </c>
      <c r="K11" s="404" t="n"/>
    </row>
    <row r="12" ht="49" customHeight="1" s="173">
      <c r="A12" s="278" t="inlineStr">
        <is>
          <t>n</t>
        </is>
      </c>
      <c r="B12" s="278" t="n">
        <v>4</v>
      </c>
      <c r="C12" s="278" t="n">
        <v>0</v>
      </c>
      <c r="D12" s="278" t="inlineStr">
        <is>
          <t>Verify the standard event header fields in the result event</t>
        </is>
      </c>
      <c r="E12" s="278" t="n"/>
      <c r="F12" s="278" t="n"/>
      <c r="G12" s="278" t="n"/>
      <c r="H12" s="278" t="n"/>
      <c r="I12" s="278" t="inlineStr">
        <is>
          <t>n</t>
        </is>
      </c>
      <c r="J12" s="278" t="inlineStr">
        <is>
          <t>OPC 40450-1 Section 8 Table 162 (JoiningSystemResultReadyEventType)</t>
        </is>
      </c>
      <c r="K12" s="278" t="n"/>
    </row>
    <row r="13" ht="90" customHeight="1" s="173">
      <c r="A13" s="404" t="n"/>
      <c r="B13" s="404" t="n"/>
      <c r="C13" s="404" t="n">
        <v>1</v>
      </c>
      <c r="D13" s="404" t="inlineStr">
        <is>
          <t>From the received event, verify the BaseEventType fields.</t>
        </is>
      </c>
      <c r="E13" s="404" t="inlineStr">
        <is>
          <t>Event received.</t>
        </is>
      </c>
      <c r="F13" s="404" t="inlineStr">
        <is>
          <t>EventId is a non-null unique ByteString; EventType resolves to JoiningSystemResultReadyEventType (or a subtype); SourceNode points to the JoiningSystem instance or a component; Time is a valid recent UtcTime; Severity is in range 1-1000; SourceName is present and non-empty.</t>
        </is>
      </c>
      <c r="G13" s="404" t="inlineStr">
        <is>
          <t>Good</t>
        </is>
      </c>
      <c r="H13" s="404" t="inlineStr">
        <is>
          <t>Good</t>
        </is>
      </c>
      <c r="I13" s="404" t="n"/>
      <c r="J13" s="404" t="inlineStr">
        <is>
          <t>OPC 10000-5 Section 6.4.2</t>
        </is>
      </c>
      <c r="K13" s="404" t="n"/>
    </row>
    <row r="14" ht="49" customHeight="1" s="173">
      <c r="A14" s="278" t="inlineStr">
        <is>
          <t>n</t>
        </is>
      </c>
      <c r="B14" s="278" t="n">
        <v>5</v>
      </c>
      <c r="C14" s="278" t="n">
        <v>0</v>
      </c>
      <c r="D14" s="278" t="inlineStr">
        <is>
          <t>Verify IJT result fields are deliverable in the event payload</t>
        </is>
      </c>
      <c r="E14" s="278" t="n"/>
      <c r="F14" s="278" t="n"/>
      <c r="G14" s="278" t="n"/>
      <c r="H14" s="278" t="n"/>
      <c r="I14" s="278" t="inlineStr">
        <is>
          <t>n</t>
        </is>
      </c>
      <c r="J14" s="278" t="inlineStr">
        <is>
          <t>OPC 40450-1 Section 9.2 Table 205 (JoiningSystemResultType)</t>
        </is>
      </c>
      <c r="K14" s="278" t="n"/>
    </row>
    <row r="15" ht="49" customHeight="1" s="173">
      <c r="A15" s="404" t="n"/>
      <c r="B15" s="404" t="n"/>
      <c r="C15" s="404" t="n">
        <v>1</v>
      </c>
      <c r="D15" s="404" t="inlineStr">
        <is>
          <t>In the EventFilter SelectClauses, individually select Result/ResultMetaData/ResultId, Result/ResultMetaData/Classification and Result/ResultMetaData/CreationTime as SimpleAttributeOperands.</t>
        </is>
      </c>
      <c r="E15" s="404" t="inlineStr">
        <is>
          <t>Subscription active.</t>
        </is>
      </c>
      <c r="F15" s="404" t="inlineStr">
        <is>
          <t>The event delivers ResultId, Classification and CreationTime in the notification fields, correctly mapped to the selected structured paths.</t>
        </is>
      </c>
      <c r="G15" s="404" t="inlineStr">
        <is>
          <t>Good</t>
        </is>
      </c>
      <c r="H15" s="404" t="inlineStr">
        <is>
          <t>Good</t>
        </is>
      </c>
      <c r="I15" s="404" t="n"/>
      <c r="J15" s="404" t="inlineStr">
        <is>
          <t>OPC 40450-1 Section 9.2 Table 205 (JoiningSystemResultType)</t>
        </is>
      </c>
      <c r="K15" s="404" t="n"/>
    </row>
    <row r="16" ht="34" customHeight="1" s="173">
      <c r="A16" s="278" t="inlineStr">
        <is>
          <t>n</t>
        </is>
      </c>
      <c r="B16" s="278" t="n">
        <v>6</v>
      </c>
      <c r="C16" s="278" t="n">
        <v>0</v>
      </c>
      <c r="D16" s="278" t="inlineStr">
        <is>
          <t>Verify partial vs. complete results are flagged in result events</t>
        </is>
      </c>
      <c r="E16" s="278" t="n"/>
      <c r="F16" s="278" t="n"/>
      <c r="G16" s="278" t="n"/>
      <c r="H16" s="278" t="n"/>
      <c r="I16" s="278" t="inlineStr">
        <is>
          <t>n</t>
        </is>
      </c>
      <c r="J16" s="278" t="inlineStr">
        <is>
          <t>OPC 40450-1 Section 10.1 Table 208</t>
        </is>
      </c>
      <c r="K16" s="278" t="n"/>
    </row>
    <row r="17" ht="64" customFormat="1" customHeight="1" s="2">
      <c r="A17" s="404" t="n"/>
      <c r="B17" s="404" t="n"/>
      <c r="C17" s="404" t="n">
        <v>1</v>
      </c>
      <c r="D17" s="404" t="inlineStr">
        <is>
          <t>For a device that produces partial results (batch/sync processing), subscribe to result events and inspect Result.ResultMetaData.IsPartial across the intermediate and final events of one operation.</t>
        </is>
      </c>
      <c r="E17" s="404" t="inlineStr">
        <is>
          <t>A device with batch or sync processing is configured and produces partial results.</t>
        </is>
      </c>
      <c r="F17" s="404" t="inlineStr">
        <is>
          <t>Intermediate result events carry IsPartial = True; the final result event for the same operation carries IsPartial = False.</t>
        </is>
      </c>
      <c r="G17" s="404" t="inlineStr">
        <is>
          <t>Good</t>
        </is>
      </c>
      <c r="H17" s="404" t="inlineStr">
        <is>
          <t>Good</t>
        </is>
      </c>
      <c r="I17" s="404" t="n"/>
      <c r="J17" s="404" t="inlineStr">
        <is>
          <t>OPC 40450-1 Section 10.1 Table 208</t>
        </is>
      </c>
      <c r="K17" s="404" t="n"/>
    </row>
    <row r="18" ht="49" customHeight="1" s="173">
      <c r="A18" s="278" t="inlineStr">
        <is>
          <t>n</t>
        </is>
      </c>
      <c r="B18" s="278" t="n">
        <v>7</v>
      </c>
      <c r="C18" s="278" t="n">
        <v>0</v>
      </c>
      <c r="D18" s="278" t="inlineStr">
        <is>
          <t>Cross-check event payload and Result variable when both access CUs are claimed</t>
        </is>
      </c>
      <c r="E18" s="278" t="n"/>
      <c r="F18" s="278" t="n"/>
      <c r="G18" s="278" t="n"/>
      <c r="H18" s="278" t="n"/>
      <c r="I18" s="278" t="inlineStr">
        <is>
          <t>n</t>
        </is>
      </c>
      <c r="J18" s="278" t="inlineStr">
        <is>
          <t>OPC 40450-1 Section 8 Table 162 (JoiningSystemResultReadyEventType)</t>
        </is>
      </c>
      <c r="K18" s="278" t="n"/>
    </row>
    <row r="19" ht="64" customHeight="1" s="173">
      <c r="A19" s="404" t="n"/>
      <c r="B19" s="404" t="n"/>
      <c r="C19" s="404" t="n">
        <v>1</v>
      </c>
      <c r="D19" s="404" t="inlineStr">
        <is>
          <t>Subscribe to JoiningSystemResultReadyEventType, trigger one joining operation, capture the event Result payload, then read the Result variable under ResultManagement/Results for the same produced result.</t>
        </is>
      </c>
      <c r="E19" s="404" t="inlineStr">
        <is>
          <t>The Server claims both IJT Result Event Access and IJT Result Variable Access; subscription active; device operational.</t>
        </is>
      </c>
      <c r="F19" s="404" t="inlineStr">
        <is>
          <t>ResultMetaData.ResultId, Classification and CreationTime match exactly between the event payload and the Result variable.</t>
        </is>
      </c>
      <c r="G19" s="404" t="inlineStr">
        <is>
          <t>Good</t>
        </is>
      </c>
      <c r="H19" s="404" t="inlineStr">
        <is>
          <t>Good</t>
        </is>
      </c>
      <c r="I19" s="404" t="n"/>
      <c r="J19" s="404" t="inlineStr">
        <is>
          <t>OPC 40450-1 Section 9.2 Table 205 (JoiningSystemResultType)</t>
        </is>
      </c>
      <c r="K19" s="404" t="inlineStr">
        <is>
          <t>Single designated cross-path consistency check to avoid duplication in other CUs.</t>
        </is>
      </c>
    </row>
    <row r="20" ht="34" customHeight="1" s="173"/>
    <row r="21" ht="34" customHeight="1" s="173"/>
    <row r="22" ht="79" customHeight="1" s="173"/>
    <row r="23" ht="34" customHeight="1" s="173"/>
    <row r="24" ht="64" customHeight="1" s="173"/>
    <row r="25" ht="34" customHeight="1" s="173"/>
    <row r="26" ht="64" customHeight="1" s="173"/>
    <row r="27" ht="34" customHeight="1" s="173"/>
    <row r="28" ht="49" customHeight="1" s="173"/>
    <row r="29" ht="49" customHeight="1" s="173"/>
    <row r="30" ht="49" customHeight="1" s="173"/>
    <row r="31" ht="34" customHeight="1" s="173"/>
    <row r="32" ht="20.05" customHeight="1" s="173"/>
    <row r="33" ht="34" customHeight="1" s="173"/>
    <row r="34" ht="49" customHeight="1" s="173"/>
    <row r="35" ht="34" customHeight="1" s="173"/>
    <row r="36" ht="49" customHeight="1" s="173"/>
    <row r="37" ht="34" customHeight="1" s="173"/>
    <row r="38" ht="49" customHeight="1" s="173"/>
    <row r="39" ht="38.7" customHeight="1" s="173"/>
    <row r="40" ht="20.05" customHeight="1" s="173"/>
    <row r="41" ht="38.7" customHeight="1" s="173"/>
  </sheetData>
  <mergeCells count="2">
    <mergeCell ref="A1:K1"/>
    <mergeCell ref="C2:J2"/>
  </mergeCells>
  <pageMargins left="0.7" right="0.7" top="0.75" bottom="0.75" header="0.3" footer="0.3"/>
</worksheet>
</file>

<file path=xl/worksheets/sheet16.xml><?xml version="1.0" encoding="utf-8"?>
<worksheet xmlns="http://schemas.openxmlformats.org/spreadsheetml/2006/main">
  <sheetPr codeName="Sheet15">
    <tabColor rgb="FF2E75B6"/>
    <outlinePr summaryBelow="1" summaryRight="1"/>
    <pageSetUpPr/>
  </sheetPr>
  <dimension ref="A1:K13"/>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CU-13: IJT Get Latest Result</t>
        </is>
      </c>
      <c r="B1" s="167" t="n"/>
      <c r="C1" s="167" t="n"/>
      <c r="D1" s="167" t="n"/>
      <c r="E1" s="167" t="n"/>
      <c r="F1" s="167" t="n"/>
      <c r="G1" s="167" t="n"/>
      <c r="H1" s="167" t="n"/>
      <c r="I1" s="167" t="n"/>
      <c r="J1" s="167" t="n"/>
      <c r="K1" s="168" t="n"/>
    </row>
    <row r="2" ht="22" customHeight="1" s="173">
      <c r="A2" s="273">
        <f>HYPERLINK("#'Home'!A1","⌂ Home")</f>
        <v/>
      </c>
      <c r="C2" s="274" t="inlineStr">
        <is>
          <t>CU-13 — IJT Get Latest Result</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the GetLatestResult method signature</t>
        </is>
      </c>
      <c r="E4" s="278" t="n"/>
      <c r="F4" s="278" t="n"/>
      <c r="G4" s="278" t="n"/>
      <c r="H4" s="278" t="n"/>
      <c r="I4" s="278" t="inlineStr">
        <is>
          <t>n</t>
        </is>
      </c>
      <c r="J4" s="278" t="inlineStr">
        <is>
          <t>OPC 40001-101 Table 10 (GetLatestResult)</t>
        </is>
      </c>
      <c r="K4" s="278" t="n"/>
    </row>
    <row r="5" ht="64" customHeight="1" s="173">
      <c r="A5" s="404" t="n"/>
      <c r="B5" s="404" t="n"/>
      <c r="C5" s="404" t="n">
        <v>1</v>
      </c>
      <c r="D5" s="404" t="inlineStr">
        <is>
          <t>Browse JoiningSystemResultManagementType (or its base ResultManagementType) for the GetLatestResult method and read its InputArguments and OutputArguments.</t>
        </is>
      </c>
      <c r="E5" s="404" t="inlineStr">
        <is>
          <t>JoiningSystemResultManagementType found in the TypeSystem.</t>
        </is>
      </c>
      <c r="F5" s="404" t="inlineStr">
        <is>
          <t>GetLatestResult is a Method. InputArguments = one Argument Timeout (Int32). OutputArguments = ResultHandle (Handle, a UInt32 subtype), Result (ResultDataType), Error (Int32).</t>
        </is>
      </c>
      <c r="G5" s="404" t="inlineStr">
        <is>
          <t>Good</t>
        </is>
      </c>
      <c r="H5" s="404" t="inlineStr">
        <is>
          <t>Good</t>
        </is>
      </c>
      <c r="I5" s="404" t="n"/>
      <c r="J5" s="404" t="inlineStr">
        <is>
          <t>OPC 40001-101 Table 10 (GetLatestResult)</t>
        </is>
      </c>
      <c r="K5" s="404" t="n"/>
    </row>
    <row r="6" ht="34" customHeight="1" s="173">
      <c r="A6" s="278" t="inlineStr">
        <is>
          <t>n</t>
        </is>
      </c>
      <c r="B6" s="278" t="n">
        <v>2</v>
      </c>
      <c r="C6" s="278" t="n">
        <v>0</v>
      </c>
      <c r="D6" s="278" t="inlineStr">
        <is>
          <t>Call GetLatestResult and verify the returned result</t>
        </is>
      </c>
      <c r="E6" s="278" t="n"/>
      <c r="F6" s="278" t="n"/>
      <c r="G6" s="278" t="n"/>
      <c r="H6" s="278" t="n"/>
      <c r="I6" s="278" t="inlineStr">
        <is>
          <t>n</t>
        </is>
      </c>
      <c r="J6" s="278" t="inlineStr">
        <is>
          <t>OPC 40001-101 Table 10 (GetLatestResult)</t>
        </is>
      </c>
      <c r="K6" s="278" t="n"/>
    </row>
    <row r="7" ht="64" customHeight="1" s="173">
      <c r="A7" s="404" t="n"/>
      <c r="B7" s="404" t="n"/>
      <c r="C7" s="404" t="n">
        <v>1</v>
      </c>
      <c r="D7" s="404" t="inlineStr">
        <is>
          <t>Invoke GetLatestResult with Timeout = 5000 on the ResultManagement instance after a joining operation has been performed.</t>
        </is>
      </c>
      <c r="E7" s="404" t="inlineStr">
        <is>
          <t>A joining operation has been performed.</t>
        </is>
      </c>
      <c r="F7" s="404" t="inlineStr">
        <is>
          <t>The Call Service returns Good. Error = 0. Result is a non-null ResultDataType; ResultHandle is a UInt32 (non-zero when ReleaseResultHandle is implemented, otherwise 0).</t>
        </is>
      </c>
      <c r="G7" s="404" t="inlineStr">
        <is>
          <t>Good</t>
        </is>
      </c>
      <c r="H7" s="404" t="inlineStr">
        <is>
          <t>Good</t>
        </is>
      </c>
      <c r="I7" s="404" t="n"/>
      <c r="J7" s="404" t="inlineStr">
        <is>
          <t>OPC 40001-101 Table 10 (GetLatestResult)</t>
        </is>
      </c>
      <c r="K7" s="404" t="n"/>
    </row>
    <row r="8" ht="49" customHeight="1" s="173">
      <c r="A8" s="404" t="n"/>
      <c r="B8" s="404" t="n"/>
      <c r="C8" s="404" t="n">
        <v>2</v>
      </c>
      <c r="D8" s="404" t="inlineStr">
        <is>
          <t>Decode the returned result and verify its identity fields.</t>
        </is>
      </c>
      <c r="E8" s="404" t="inlineStr">
        <is>
          <t>Call returned Good in step 1.</t>
        </is>
      </c>
      <c r="F8" s="404" t="inlineStr">
        <is>
          <t>Result.ResultMetaData.ResultId is a non-empty TrimmedString and CreationTime corresponds to the most recently completed joining operation.</t>
        </is>
      </c>
      <c r="G8" s="404" t="inlineStr">
        <is>
          <t>Good</t>
        </is>
      </c>
      <c r="H8" s="404" t="inlineStr">
        <is>
          <t>Good</t>
        </is>
      </c>
      <c r="I8" s="404" t="n"/>
      <c r="J8" s="404" t="inlineStr">
        <is>
          <t>OPC 40450-1 Section 10.1 Table 208</t>
        </is>
      </c>
      <c r="K8" s="404" t="n"/>
    </row>
    <row r="9" ht="34" customHeight="1" s="173">
      <c r="A9" s="278" t="inlineStr">
        <is>
          <t>n</t>
        </is>
      </c>
      <c r="B9" s="278" t="n">
        <v>3</v>
      </c>
      <c r="C9" s="278" t="n">
        <v>0</v>
      </c>
      <c r="D9" s="278" t="inlineStr">
        <is>
          <t>Verify GetLatestResult returns the newest result after a new operation</t>
        </is>
      </c>
      <c r="E9" s="278" t="n"/>
      <c r="F9" s="278" t="n"/>
      <c r="G9" s="278" t="n"/>
      <c r="H9" s="278" t="n"/>
      <c r="I9" s="278" t="inlineStr">
        <is>
          <t>n</t>
        </is>
      </c>
      <c r="J9" s="278" t="inlineStr">
        <is>
          <t>OPC 40001-101 Table 10 (GetLatestResult)</t>
        </is>
      </c>
      <c r="K9" s="278" t="n"/>
    </row>
    <row r="10" ht="49" customHeight="1" s="173">
      <c r="A10" s="404" t="n"/>
      <c r="B10" s="404" t="n"/>
      <c r="C10" s="404" t="n">
        <v>1</v>
      </c>
      <c r="D10" s="404" t="inlineStr">
        <is>
          <t>Call GetLatestResult and record ResultId R1 and CreationTime T1; trigger a new joining operation; call GetLatestResult again and record ResultId R2 and CreationTime T2.</t>
        </is>
      </c>
      <c r="E10" s="404" t="inlineStr">
        <is>
          <t>GetLatestResult callable; device operational.</t>
        </is>
      </c>
      <c r="F10" s="404" t="inlineStr">
        <is>
          <t>Both calls return Good. R2 != R1 and T2 &gt;= T1: GetLatestResult always returns the latest result.</t>
        </is>
      </c>
      <c r="G10" s="404" t="inlineStr">
        <is>
          <t>Good</t>
        </is>
      </c>
      <c r="H10" s="404" t="inlineStr">
        <is>
          <t>Good</t>
        </is>
      </c>
      <c r="I10" s="404" t="n"/>
      <c r="J10" s="404" t="inlineStr">
        <is>
          <t>OPC 40001-101 Table 10 (GetLatestResult)</t>
        </is>
      </c>
      <c r="K10" s="404" t="n"/>
    </row>
    <row r="11" ht="20.05" customHeight="1" s="173">
      <c r="A11" s="384" t="inlineStr">
        <is>
          <t>Error Test Cases</t>
        </is>
      </c>
      <c r="B11" s="384" t="n"/>
      <c r="C11" s="384" t="n"/>
      <c r="D11" s="384" t="n"/>
      <c r="E11" s="384" t="n"/>
      <c r="F11" s="384" t="n"/>
      <c r="G11" s="384" t="n"/>
      <c r="H11" s="384" t="n"/>
      <c r="I11" s="384" t="n"/>
      <c r="J11" s="384" t="n"/>
      <c r="K11" s="384" t="n"/>
    </row>
    <row r="12" ht="34" customHeight="1" s="173">
      <c r="A12" s="385" t="inlineStr">
        <is>
          <t>y</t>
        </is>
      </c>
      <c r="B12" s="385" t="n">
        <v>4</v>
      </c>
      <c r="C12" s="385" t="n">
        <v>0</v>
      </c>
      <c r="D12" s="385" t="inlineStr">
        <is>
          <t>Verify GetLatestResult behaviour when no result is available</t>
        </is>
      </c>
      <c r="E12" s="385" t="n"/>
      <c r="F12" s="385" t="n"/>
      <c r="G12" s="385" t="n"/>
      <c r="H12" s="385" t="n"/>
      <c r="I12" s="385" t="inlineStr">
        <is>
          <t>n</t>
        </is>
      </c>
      <c r="J12" s="385" t="inlineStr">
        <is>
          <t>OPC 40001-101 Table 10 (GetLatestResult)</t>
        </is>
      </c>
      <c r="K12" s="385" t="n"/>
    </row>
    <row r="13" ht="79" customHeight="1" s="173">
      <c r="A13" s="404" t="n"/>
      <c r="B13" s="404" t="n"/>
      <c r="C13" s="404" t="n">
        <v>1</v>
      </c>
      <c r="D13" s="404" t="inlineStr">
        <is>
          <t>On a server with no joining result yet produced, call GetLatestResult with Timeout = 0 (no wait).</t>
        </is>
      </c>
      <c r="E13" s="404" t="inlineStr">
        <is>
          <t>Server accessible; no result has been produced.</t>
        </is>
      </c>
      <c r="F13" s="404" t="inlineStr">
        <is>
          <t>The Call Service returns Good (not a service-level Bad). The method reports the no-result condition through its outputs: Result is Null and Error is non-zero (or ResultHandle = 0 with a Null result). The method does not block.</t>
        </is>
      </c>
      <c r="G13" s="404" t="inlineStr">
        <is>
          <t>Good</t>
        </is>
      </c>
      <c r="H13" s="404" t="inlineStr">
        <is>
          <t>Null Result with non-zero Error output</t>
        </is>
      </c>
      <c r="I13" s="404" t="n"/>
      <c r="J13" s="404" t="inlineStr">
        <is>
          <t>OPC 40001-101 Table 10 (GetLatestResult)</t>
        </is>
      </c>
      <c r="K13" s="404" t="inlineStr">
        <is>
          <t>No-result is a normal method-level outcome, not a Call Service failure.</t>
        </is>
      </c>
    </row>
    <row r="14" ht="34" customHeight="1" s="173"/>
    <row r="15" ht="79" customHeight="1" s="173"/>
    <row r="16" ht="90" customHeight="1" s="173"/>
    <row r="17" ht="34" customHeight="1" s="173"/>
    <row r="18" ht="34" customHeight="1" s="173"/>
    <row r="19" ht="34" customFormat="1" customHeight="1" s="2"/>
    <row r="20" ht="34" customHeight="1" s="173"/>
    <row r="21" ht="34" customHeight="1" s="173"/>
    <row r="22" ht="49" customHeight="1" s="173"/>
    <row r="23" ht="34" customHeight="1" s="173"/>
    <row r="24" ht="49" customHeight="1" s="173"/>
    <row r="25" ht="34" customHeight="1" s="173"/>
    <row r="26" ht="34" customHeight="1" s="173"/>
    <row r="27" ht="20.05" customHeight="1" s="173"/>
    <row r="28" ht="49" customHeight="1" s="173"/>
    <row r="29" ht="64" customHeight="1" s="173"/>
    <row r="30" ht="64" customHeight="1" s="173"/>
    <row r="31" ht="34" customHeight="1" s="173"/>
    <row r="32" ht="79" customHeight="1" s="173"/>
    <row r="33" ht="34" customHeight="1" s="173"/>
    <row r="34" ht="49" customHeight="1" s="173"/>
    <row r="35" ht="34" customHeight="1" s="173"/>
    <row r="36" ht="49" customHeight="1" s="173"/>
    <row r="37" ht="34" customHeight="1" s="173"/>
    <row r="38" ht="49" customHeight="1" s="173"/>
    <row r="39" ht="20.05" customHeight="1" s="173"/>
    <row r="40" ht="38.7" customHeight="1" s="173"/>
    <row r="41" ht="20.05" customHeight="1" s="173"/>
    <row r="42" ht="38.7" customHeight="1" s="173"/>
  </sheetData>
  <mergeCells count="2">
    <mergeCell ref="A1:K1"/>
    <mergeCell ref="C2:J2"/>
  </mergeCells>
  <pageMargins left="0.7" right="0.7" top="0.75" bottom="0.75" header="0.3" footer="0.3"/>
</worksheet>
</file>

<file path=xl/worksheets/sheet17.xml><?xml version="1.0" encoding="utf-8"?>
<worksheet xmlns="http://schemas.openxmlformats.org/spreadsheetml/2006/main">
  <sheetPr codeName="Sheet16">
    <tabColor rgb="FF2E75B6"/>
    <outlinePr summaryBelow="1" summaryRight="1"/>
    <pageSetUpPr/>
  </sheetPr>
  <dimension ref="A1:K13"/>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CU-14: IJT Get Result by Id</t>
        </is>
      </c>
      <c r="B1" s="167" t="n"/>
      <c r="C1" s="167" t="n"/>
      <c r="D1" s="167" t="n"/>
      <c r="E1" s="167" t="n"/>
      <c r="F1" s="167" t="n"/>
      <c r="G1" s="167" t="n"/>
      <c r="H1" s="167" t="n"/>
      <c r="I1" s="167" t="n"/>
      <c r="J1" s="167" t="n"/>
      <c r="K1" s="168" t="n"/>
    </row>
    <row r="2" ht="22" customHeight="1" s="173">
      <c r="A2" s="273">
        <f>HYPERLINK("#'Home'!A1","⌂ Home")</f>
        <v/>
      </c>
      <c r="C2" s="274" t="inlineStr">
        <is>
          <t>CU-14 — IJT Get Result by Id</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the GetResultById method signature</t>
        </is>
      </c>
      <c r="E4" s="278" t="n"/>
      <c r="F4" s="278" t="n"/>
      <c r="G4" s="278" t="n"/>
      <c r="H4" s="278" t="n"/>
      <c r="I4" s="278" t="inlineStr">
        <is>
          <t>n</t>
        </is>
      </c>
      <c r="J4" s="278" t="inlineStr">
        <is>
          <t>OPC 40001-101 Table 4 (GetResultById)</t>
        </is>
      </c>
      <c r="K4" s="278" t="n"/>
    </row>
    <row r="5" ht="64" customHeight="1" s="173">
      <c r="A5" s="404" t="n"/>
      <c r="B5" s="404" t="n"/>
      <c r="C5" s="404" t="n">
        <v>1</v>
      </c>
      <c r="D5" s="404" t="inlineStr">
        <is>
          <t>Browse JoiningSystemResultManagementType (or base ResultManagementType) for GetResultById and read its InputArguments and OutputArguments.</t>
        </is>
      </c>
      <c r="E5" s="404" t="inlineStr">
        <is>
          <t>JoiningSystemResultManagementType found.</t>
        </is>
      </c>
      <c r="F5" s="404" t="inlineStr">
        <is>
          <t>GetResultById is a Method. InputArguments = ResultId (TrimmedString), Timeout (Int32). OutputArguments = ResultHandle (UInt32 subtype Handle), Result (ResultDataType), Error (Int32).</t>
        </is>
      </c>
      <c r="G5" s="404" t="inlineStr">
        <is>
          <t>Good</t>
        </is>
      </c>
      <c r="H5" s="404" t="inlineStr">
        <is>
          <t>Good</t>
        </is>
      </c>
      <c r="I5" s="404" t="n"/>
      <c r="J5" s="404" t="inlineStr">
        <is>
          <t>OPC 40001-101 Table 4 (GetResultById)</t>
        </is>
      </c>
      <c r="K5" s="404" t="n"/>
    </row>
    <row r="6" ht="34" customHeight="1" s="173">
      <c r="A6" s="278" t="inlineStr">
        <is>
          <t>n</t>
        </is>
      </c>
      <c r="B6" s="278" t="n">
        <v>2</v>
      </c>
      <c r="C6" s="278" t="n">
        <v>0</v>
      </c>
      <c r="D6" s="278" t="inlineStr">
        <is>
          <t>Call GetResultById with a known ResultId and verify the correct result</t>
        </is>
      </c>
      <c r="E6" s="278" t="n"/>
      <c r="F6" s="278" t="n"/>
      <c r="G6" s="278" t="n"/>
      <c r="H6" s="278" t="n"/>
      <c r="I6" s="278" t="inlineStr">
        <is>
          <t>n</t>
        </is>
      </c>
      <c r="J6" s="278" t="inlineStr">
        <is>
          <t>OPC 40001-101 Table 4 (GetResultById)</t>
        </is>
      </c>
      <c r="K6" s="278" t="n"/>
    </row>
    <row r="7" ht="49" customHeight="1" s="173">
      <c r="A7" s="404" t="n"/>
      <c r="B7" s="404" t="n"/>
      <c r="C7" s="404" t="n">
        <v>1</v>
      </c>
      <c r="D7" s="404" t="inlineStr">
        <is>
          <t>Obtain a ResultId R1 (from GetLatestResult or a result event), then invoke GetResultById with ResultId = R1 and Timeout = 5000.</t>
        </is>
      </c>
      <c r="E7" s="404" t="inlineStr">
        <is>
          <t>At least one result exists and its ResultId is known.</t>
        </is>
      </c>
      <c r="F7" s="404" t="inlineStr">
        <is>
          <t>The Call Service returns Good; Error = 0; Result is a non-null ResultDataType and Result.ResultMetaData.ResultId == R1 (the requested result is returned).</t>
        </is>
      </c>
      <c r="G7" s="404" t="inlineStr">
        <is>
          <t>Good</t>
        </is>
      </c>
      <c r="H7" s="404" t="inlineStr">
        <is>
          <t>Good</t>
        </is>
      </c>
      <c r="I7" s="404" t="n"/>
      <c r="J7" s="404" t="inlineStr">
        <is>
          <t>OPC 40001-101 Table 4 (GetResultById)</t>
        </is>
      </c>
      <c r="K7" s="404" t="n"/>
    </row>
    <row r="8" ht="79" customHeight="1" s="173">
      <c r="A8" s="404" t="n"/>
      <c r="B8" s="404" t="n"/>
      <c r="C8" s="404" t="n">
        <v>2</v>
      </c>
      <c r="D8" s="404" t="inlineStr">
        <is>
          <t>Verify GetResultById returns the full result content, not only the metadata.</t>
        </is>
      </c>
      <c r="E8" s="404" t="inlineStr">
        <is>
          <t>GetResultById returned Good.</t>
        </is>
      </c>
      <c r="F8" s="404" t="inlineStr">
        <is>
          <t>Result.ResultContent is present and decodes according to Classification (e.g. one JoiningResultDataType for SINGLE_RESULT). The complete stored content is returned without imposing fields owned by separate optional Result CUs.</t>
        </is>
      </c>
      <c r="G8" s="404" t="inlineStr">
        <is>
          <t>Good</t>
        </is>
      </c>
      <c r="H8" s="404" t="inlineStr">
        <is>
          <t>Good</t>
        </is>
      </c>
      <c r="I8" s="404" t="n"/>
      <c r="J8" s="404" t="inlineStr">
        <is>
          <t>OPC 40450-1 Section 10.2 Table 210</t>
        </is>
      </c>
      <c r="K8" s="404" t="n"/>
    </row>
    <row r="9" ht="34" customHeight="1" s="173">
      <c r="A9" s="278" t="inlineStr">
        <is>
          <t>n</t>
        </is>
      </c>
      <c r="B9" s="278" t="n">
        <v>3</v>
      </c>
      <c r="C9" s="278" t="n">
        <v>0</v>
      </c>
      <c r="D9" s="278" t="inlineStr">
        <is>
          <t>Verify GetResultById retrieves a non-latest result by its Id</t>
        </is>
      </c>
      <c r="E9" s="278" t="n"/>
      <c r="F9" s="278" t="n"/>
      <c r="G9" s="278" t="n"/>
      <c r="H9" s="278" t="n"/>
      <c r="I9" s="278" t="inlineStr">
        <is>
          <t>n</t>
        </is>
      </c>
      <c r="J9" s="278" t="inlineStr">
        <is>
          <t>OPC 40001-101 Table 4 (GetResultById)</t>
        </is>
      </c>
      <c r="K9" s="278" t="n"/>
    </row>
    <row r="10" ht="64" customHeight="1" s="173">
      <c r="A10" s="404" t="n"/>
      <c r="B10" s="404" t="n"/>
      <c r="C10" s="404" t="n">
        <v>1</v>
      </c>
      <c r="D10" s="404" t="inlineStr">
        <is>
          <t>Trigger three joining operations and capture their ResultIds (R1 oldest .. R3 newest). Invoke GetResultById with ResultId = R1.</t>
        </is>
      </c>
      <c r="E10" s="404" t="inlineStr">
        <is>
          <t>Three results are available; R1 is the oldest.</t>
        </is>
      </c>
      <c r="F10" s="404" t="inlineStr">
        <is>
          <t>The Call returns Good and the returned Result.ResultMetaData.ResultId = R1 (not R2 or R3): the Server stores multiple results and retrieves any by its specific Id.</t>
        </is>
      </c>
      <c r="G10" s="404" t="inlineStr">
        <is>
          <t>Good</t>
        </is>
      </c>
      <c r="H10" s="404" t="inlineStr">
        <is>
          <t>Good</t>
        </is>
      </c>
      <c r="I10" s="404" t="n"/>
      <c r="J10" s="404" t="inlineStr">
        <is>
          <t>OPC 40001-101 Table 4 (GetResultById)</t>
        </is>
      </c>
      <c r="K10" s="404" t="n"/>
    </row>
    <row r="11" ht="20.05" customHeight="1" s="173">
      <c r="A11" s="384" t="inlineStr">
        <is>
          <t>Error Test Cases</t>
        </is>
      </c>
      <c r="B11" s="384" t="n"/>
      <c r="C11" s="384" t="n"/>
      <c r="D11" s="384" t="n"/>
      <c r="E11" s="384" t="n"/>
      <c r="F11" s="384" t="n"/>
      <c r="G11" s="384" t="n"/>
      <c r="H11" s="384" t="n"/>
      <c r="I11" s="384" t="n"/>
      <c r="J11" s="384" t="n"/>
      <c r="K11" s="384" t="n"/>
    </row>
    <row r="12" ht="34" customHeight="1" s="173">
      <c r="A12" s="385" t="inlineStr">
        <is>
          <t>y</t>
        </is>
      </c>
      <c r="B12" s="385" t="n">
        <v>4</v>
      </c>
      <c r="C12" s="385" t="n">
        <v>0</v>
      </c>
      <c r="D12" s="385" t="inlineStr">
        <is>
          <t>Verify GetResultById behaviour for an unknown ResultId</t>
        </is>
      </c>
      <c r="E12" s="385" t="n"/>
      <c r="F12" s="385" t="n"/>
      <c r="G12" s="385" t="n"/>
      <c r="H12" s="385" t="n"/>
      <c r="I12" s="385" t="inlineStr">
        <is>
          <t>n</t>
        </is>
      </c>
      <c r="J12" s="385" t="inlineStr">
        <is>
          <t>OPC 40001-101 Table 4 (GetResultById)</t>
        </is>
      </c>
      <c r="K12" s="385" t="n"/>
    </row>
    <row r="13" ht="90" customHeight="1" s="173">
      <c r="A13" s="404" t="n"/>
      <c r="B13" s="404" t="n"/>
      <c r="C13" s="404" t="n">
        <v>1</v>
      </c>
      <c r="D13" s="404" t="inlineStr">
        <is>
          <t>Invoke GetResultById with a syntactically valid but non-existent ResultId (e.g. "NONEXISTENT-RESULT-ID-0001"), Timeout = 5000.</t>
        </is>
      </c>
      <c r="E13" s="404" t="inlineStr">
        <is>
          <t>GetResultById available.</t>
        </is>
      </c>
      <c r="F13" s="404" t="inlineStr">
        <is>
          <t>The Call Service returns Good (the argument decodes correctly). The lookup failure is reported through the method outputs: Result is Null and Error is non-zero. A fixed OPC UA Bad_* StatusCode is NOT required because the ResultId is an application identifier, not a NodeId.</t>
        </is>
      </c>
      <c r="G13" s="404" t="inlineStr">
        <is>
          <t>Good</t>
        </is>
      </c>
      <c r="H13" s="404" t="inlineStr">
        <is>
          <t>Null Result with non-zero Error output</t>
        </is>
      </c>
      <c r="I13" s="404" t="n"/>
      <c r="J13" s="404" t="inlineStr">
        <is>
          <t>OPC 40001-101 Table 4 (GetResultById)</t>
        </is>
      </c>
      <c r="K13" s="404" t="inlineStr">
        <is>
          <t>Domain lookup failures belong in the method error output, not the Call Service StatusCode.</t>
        </is>
      </c>
    </row>
    <row r="14" ht="34" customHeight="1" s="173"/>
    <row r="15" ht="90" customHeight="1" s="173"/>
    <row r="16" ht="34" customHeight="1" s="173"/>
    <row r="17" ht="49" customHeight="1" s="173"/>
    <row r="18" ht="34" customHeight="1" s="173"/>
    <row r="19" ht="64" customFormat="1" customHeight="1" s="2"/>
    <row r="20" ht="34" customHeight="1" s="173"/>
    <row r="21" ht="64" customHeight="1" s="173"/>
    <row r="22" ht="20.05" customHeight="1" s="173"/>
    <row r="23" ht="34" customHeight="1" s="173"/>
    <row r="24" ht="90" customHeight="1" s="173"/>
    <row r="25" ht="49" customHeight="1" s="173"/>
    <row r="26" ht="34" customHeight="1" s="173"/>
    <row r="27" ht="79" customHeight="1" s="173"/>
    <row r="28" ht="34" customHeight="1" s="173"/>
    <row r="29" ht="79" customHeight="1" s="173"/>
    <row r="30" ht="34" customHeight="1" s="173"/>
    <row r="31" ht="90" customHeight="1" s="173"/>
    <row r="32" ht="38.7" customHeight="1" s="173"/>
    <row r="33" ht="20.05" customHeight="1" s="173"/>
    <row r="34" ht="38.7" customHeight="1" s="173"/>
    <row r="35" ht="20.05" customHeight="1" s="173"/>
    <row r="36" ht="38.7" customHeight="1" s="173"/>
  </sheetData>
  <mergeCells count="2">
    <mergeCell ref="A1:K1"/>
    <mergeCell ref="C2:J2"/>
  </mergeCells>
  <pageMargins left="0.7" right="0.7" top="0.75" bottom="0.75" header="0.3" footer="0.3"/>
</worksheet>
</file>

<file path=xl/worksheets/sheet18.xml><?xml version="1.0" encoding="utf-8"?>
<worksheet xmlns="http://schemas.openxmlformats.org/spreadsheetml/2006/main">
  <sheetPr codeName="Sheet17">
    <tabColor rgb="FF2E75B6"/>
    <outlinePr summaryBelow="1" summaryRight="1"/>
    <pageSetUpPr/>
  </sheetPr>
  <dimension ref="A1:K18"/>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CU-15: IJT Get Result with Filter Criteria</t>
        </is>
      </c>
      <c r="B1" s="167" t="n"/>
      <c r="C1" s="167" t="n"/>
      <c r="D1" s="167" t="n"/>
      <c r="E1" s="167" t="n"/>
      <c r="F1" s="167" t="n"/>
      <c r="G1" s="167" t="n"/>
      <c r="H1" s="167" t="n"/>
      <c r="I1" s="167" t="n"/>
      <c r="J1" s="167" t="n"/>
      <c r="K1" s="168" t="n"/>
    </row>
    <row r="2" ht="22" customHeight="1" s="173">
      <c r="A2" s="273">
        <f>HYPERLINK("#'Home'!A1","⌂ Home")</f>
        <v/>
      </c>
      <c r="C2" s="274" t="inlineStr">
        <is>
          <t>CU-15 — IJT Get Result with Filter Criteria</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the GetResultIdListFiltered method signature</t>
        </is>
      </c>
      <c r="E4" s="278" t="n"/>
      <c r="F4" s="278" t="n"/>
      <c r="G4" s="278" t="n"/>
      <c r="H4" s="278" t="n"/>
      <c r="I4" s="278" t="inlineStr">
        <is>
          <t>n</t>
        </is>
      </c>
      <c r="J4" s="278" t="inlineStr">
        <is>
          <t>OPC 40001-101 Table 6 (GetResultIdListFiltered)</t>
        </is>
      </c>
      <c r="K4" s="278" t="n"/>
    </row>
    <row r="5" ht="79" customHeight="1" s="173">
      <c r="A5" s="404" t="n"/>
      <c r="B5" s="404" t="n"/>
      <c r="C5" s="404" t="n">
        <v>1</v>
      </c>
      <c r="D5" s="404" t="inlineStr">
        <is>
          <t>Browse JoiningSystemResultManagementType (or base ResultManagementType) for GetResultIdListFiltered and read its InputArguments and OutputArguments.</t>
        </is>
      </c>
      <c r="E5" s="404" t="inlineStr">
        <is>
          <t>JoiningSystemResultManagementType found.</t>
        </is>
      </c>
      <c r="F5" s="404" t="inlineStr">
        <is>
          <t>GetResultIdListFiltered is a Method. InputArguments = Filter (ContentFilter), OrderedBy (RelativePath[]), MaxResults (UInt32), Timeout (Int32). OutputArguments = ResultHandle (UInt32 subtype Handle), ResultIdList (TrimmedString[]), Error (Int32).</t>
        </is>
      </c>
      <c r="G5" s="404" t="inlineStr">
        <is>
          <t>Good</t>
        </is>
      </c>
      <c r="H5" s="404" t="inlineStr">
        <is>
          <t>Good</t>
        </is>
      </c>
      <c r="I5" s="404" t="n"/>
      <c r="J5" s="404" t="inlineStr">
        <is>
          <t>OPC 40001-101 Table 6 (GetResultIdListFiltered)</t>
        </is>
      </c>
      <c r="K5" s="404" t="n"/>
    </row>
    <row r="6" ht="34" customHeight="1" s="173">
      <c r="A6" s="278" t="inlineStr">
        <is>
          <t>n</t>
        </is>
      </c>
      <c r="B6" s="278" t="n">
        <v>2</v>
      </c>
      <c r="C6" s="278" t="n">
        <v>0</v>
      </c>
      <c r="D6" s="278" t="inlineStr">
        <is>
          <t>Filter results by a minimum contract criterion</t>
        </is>
      </c>
      <c r="E6" s="278" t="n"/>
      <c r="F6" s="278" t="n"/>
      <c r="G6" s="278" t="n"/>
      <c r="H6" s="278" t="n"/>
      <c r="I6" s="278" t="inlineStr">
        <is>
          <t>n</t>
        </is>
      </c>
      <c r="J6" s="278" t="inlineStr">
        <is>
          <t>OPC 40001-101 Table 6 (GetResultIdListFiltered)</t>
        </is>
      </c>
      <c r="K6" s="278" t="n"/>
    </row>
    <row r="7" ht="64" customHeight="1" s="173">
      <c r="A7" s="404" t="n"/>
      <c r="B7" s="404" t="n"/>
      <c r="C7" s="404" t="n">
        <v>1</v>
      </c>
      <c r="D7" s="404" t="inlineStr">
        <is>
          <t>Determine whether the Server supports filtering by Result.ResultMetaData.SequenceNumber, CreationTime, or both. Build a ContentFilter over one supported field selecting a known range and invoke GetResultIdListFiltered.</t>
        </is>
      </c>
      <c r="E7" s="404" t="inlineStr">
        <is>
          <t>Several stored results have known SequenceNumber and CreationTime values; the Server claims the IJT Get Result with Filter Criteria CU.</t>
        </is>
      </c>
      <c r="F7" s="404" t="inlineStr">
        <is>
          <t>The Server supports at least one of SequenceNumber or CreationTime as a filter field, and ResultIdList contains exactly the ResultIds matching the selected range.</t>
        </is>
      </c>
      <c r="G7" s="404" t="inlineStr">
        <is>
          <t>Good</t>
        </is>
      </c>
      <c r="H7" s="404" t="inlineStr">
        <is>
          <t>Good</t>
        </is>
      </c>
      <c r="I7" s="404" t="n"/>
      <c r="J7" s="404" t="inlineStr">
        <is>
          <t>OPC 40001-101 Table 6 (GetResultIdListFiltered)</t>
        </is>
      </c>
      <c r="K7" s="404" t="n"/>
    </row>
    <row r="8" ht="34" customHeight="1" s="173">
      <c r="A8" s="278" t="inlineStr">
        <is>
          <t>n</t>
        </is>
      </c>
      <c r="B8" s="278" t="n">
        <v>3</v>
      </c>
      <c r="C8" s="278" t="n">
        <v>0</v>
      </c>
      <c r="D8" s="278" t="inlineStr">
        <is>
          <t>Cross-check returned ResultIds when GetResultById is also claimed</t>
        </is>
      </c>
      <c r="E8" s="278" t="n"/>
      <c r="F8" s="278" t="n"/>
      <c r="G8" s="278" t="n"/>
      <c r="H8" s="278" t="n"/>
      <c r="I8" s="278" t="inlineStr">
        <is>
          <t>n</t>
        </is>
      </c>
      <c r="J8" s="278" t="inlineStr">
        <is>
          <t>OPC 40001-101 Table 6 (GetResultIdListFiltered)</t>
        </is>
      </c>
      <c r="K8" s="278" t="n"/>
    </row>
    <row r="9" ht="49" customHeight="1" s="173">
      <c r="A9" s="404" t="n"/>
      <c r="B9" s="404" t="n"/>
      <c r="C9" s="404" t="n">
        <v>1</v>
      </c>
      <c r="D9" s="404" t="inlineStr">
        <is>
          <t>Invoke GetResultIdListFiltered with a filter returning at least two ResultIds, then call GetResultById for each returned ResultId.</t>
        </is>
      </c>
      <c r="E9" s="404" t="inlineStr">
        <is>
          <t>The Server claims both IJT Get Result with Filter Criteria and IJT Get Result by Id; at least two results match the filter.</t>
        </is>
      </c>
      <c r="F9" s="404" t="inlineStr">
        <is>
          <t>Every ResultId returned by GetResultIdListFiltered is successfully retrieved by GetResultById (Error = 0 for each).</t>
        </is>
      </c>
      <c r="G9" s="404" t="inlineStr">
        <is>
          <t>Good</t>
        </is>
      </c>
      <c r="H9" s="404" t="inlineStr">
        <is>
          <t>Good</t>
        </is>
      </c>
      <c r="I9" s="404" t="n"/>
      <c r="J9" s="404" t="inlineStr">
        <is>
          <t>OPC 40001-101 Table 6 (GetResultIdListFiltered)</t>
        </is>
      </c>
      <c r="K9" s="404" t="n"/>
    </row>
    <row r="10" ht="34" customHeight="1" s="173">
      <c r="A10" s="278" t="inlineStr">
        <is>
          <t>y</t>
        </is>
      </c>
      <c r="B10" s="278" t="n">
        <v>4</v>
      </c>
      <c r="C10" s="278" t="n">
        <v>0</v>
      </c>
      <c r="D10" s="278" t="inlineStr">
        <is>
          <t>Verify an empty result list when nothing matches the filter</t>
        </is>
      </c>
      <c r="E10" s="278" t="n"/>
      <c r="F10" s="278" t="n"/>
      <c r="G10" s="278" t="n"/>
      <c r="H10" s="278" t="n"/>
      <c r="I10" s="278" t="inlineStr">
        <is>
          <t>n</t>
        </is>
      </c>
      <c r="J10" s="278" t="inlineStr">
        <is>
          <t>OPC 40001-101 Table 6 (GetResultIdListFiltered)</t>
        </is>
      </c>
      <c r="K10" s="278" t="n"/>
    </row>
    <row r="11" ht="49" customHeight="1" s="173">
      <c r="A11" s="404" t="n"/>
      <c r="B11" s="404" t="n"/>
      <c r="C11" s="404" t="n">
        <v>1</v>
      </c>
      <c r="D11" s="404" t="inlineStr">
        <is>
          <t>Invoke GetResultIdListFiltered with a ContentFilter over CreationTime selecting a far-past window that contains no results.</t>
        </is>
      </c>
      <c r="E11" s="404" t="inlineStr">
        <is>
          <t>No results exist in the selected window.</t>
        </is>
      </c>
      <c r="F11" s="404" t="inlineStr">
        <is>
          <t>The Call returns Good and ResultIdList is an empty array. An empty match set is a valid outcome, not an error.</t>
        </is>
      </c>
      <c r="G11" s="404" t="inlineStr">
        <is>
          <t>Good</t>
        </is>
      </c>
      <c r="H11" s="404" t="inlineStr">
        <is>
          <t>Good</t>
        </is>
      </c>
      <c r="I11" s="404" t="n"/>
      <c r="J11" s="404" t="inlineStr">
        <is>
          <t>OPC 40001-101 Table 6 (GetResultIdListFiltered)</t>
        </is>
      </c>
      <c r="K11" s="404" t="n"/>
    </row>
    <row r="12" ht="34" customHeight="1" s="173">
      <c r="A12" s="278" t="inlineStr">
        <is>
          <t>n</t>
        </is>
      </c>
      <c r="B12" s="278" t="n">
        <v>5</v>
      </c>
      <c r="C12" s="278" t="n">
        <v>0</v>
      </c>
      <c r="D12" s="278" t="inlineStr">
        <is>
          <t>Verify the MaxResults limit is honoured</t>
        </is>
      </c>
      <c r="E12" s="278" t="n"/>
      <c r="F12" s="278" t="n"/>
      <c r="G12" s="278" t="n"/>
      <c r="H12" s="278" t="n"/>
      <c r="I12" s="278" t="inlineStr">
        <is>
          <t>n</t>
        </is>
      </c>
      <c r="J12" s="278" t="inlineStr">
        <is>
          <t>OPC 40001-101 Table 6 (GetResultIdListFiltered)</t>
        </is>
      </c>
      <c r="K12" s="278" t="n"/>
    </row>
    <row r="13" ht="34" customHeight="1" s="173">
      <c r="A13" s="404" t="n"/>
      <c r="B13" s="404" t="n"/>
      <c r="C13" s="404" t="n">
        <v>1</v>
      </c>
      <c r="D13" s="404" t="inlineStr">
        <is>
          <t>With at least three results stored, invoke GetResultIdListFiltered with filter = null (all), MaxResults = 2, Timeout = 5000.</t>
        </is>
      </c>
      <c r="E13" s="404" t="inlineStr">
        <is>
          <t>At least three results are stored.</t>
        </is>
      </c>
      <c r="F13" s="404" t="inlineStr">
        <is>
          <t>The Call returns Good and ResultIdList contains at most two ResultIds.</t>
        </is>
      </c>
      <c r="G13" s="404" t="inlineStr">
        <is>
          <t>Good</t>
        </is>
      </c>
      <c r="H13" s="404" t="inlineStr">
        <is>
          <t>Good</t>
        </is>
      </c>
      <c r="I13" s="404" t="n"/>
      <c r="J13" s="404" t="inlineStr">
        <is>
          <t>OPC 40001-101 Table 6 (GetResultIdListFiltered)</t>
        </is>
      </c>
      <c r="K13" s="404" t="n"/>
    </row>
    <row r="14" ht="34" customHeight="1" s="173">
      <c r="A14" s="278" t="inlineStr">
        <is>
          <t>n</t>
        </is>
      </c>
      <c r="B14" s="278" t="n">
        <v>6</v>
      </c>
      <c r="C14" s="278" t="n">
        <v>0</v>
      </c>
      <c r="D14" s="278" t="inlineStr">
        <is>
          <t>Filter by Classification or ResultEvaluation (extended criteria)</t>
        </is>
      </c>
      <c r="E14" s="278" t="n"/>
      <c r="F14" s="278" t="n"/>
      <c r="G14" s="278" t="n"/>
      <c r="H14" s="278" t="n"/>
      <c r="I14" s="278" t="inlineStr">
        <is>
          <t>n</t>
        </is>
      </c>
      <c r="J14" s="278" t="inlineStr">
        <is>
          <t>OPC 40001-101 Table 6 (GetResultIdListFiltered)</t>
        </is>
      </c>
      <c r="K14" s="278" t="n"/>
    </row>
    <row r="15" ht="64" customHeight="1" s="173">
      <c r="A15" s="404" t="n"/>
      <c r="B15" s="404" t="n"/>
      <c r="C15" s="404" t="n">
        <v>1</v>
      </c>
      <c r="D15" s="404" t="inlineStr">
        <is>
          <t>Build a ContentFilter over Result.ResultMetaData.Classification (or ResultEvaluation) selecting a single value and invoke GetResultIdListFiltered.</t>
        </is>
      </c>
      <c r="E15" s="404" t="inlineStr">
        <is>
          <t>Results of differing Classification (or ResultEvaluation) exist and the Server supports filtering on that field.</t>
        </is>
      </c>
      <c r="F15" s="404" t="inlineStr">
        <is>
          <t>The Call returns Good and every returned ResultId corresponds to a result matching the selected Classification (or ResultEvaluation).</t>
        </is>
      </c>
      <c r="G15" s="404" t="inlineStr">
        <is>
          <t>Good</t>
        </is>
      </c>
      <c r="H15" s="404" t="inlineStr">
        <is>
          <t>Good</t>
        </is>
      </c>
      <c r="I15" s="404" t="n"/>
      <c r="J15" s="404" t="inlineStr">
        <is>
          <t>OPC 40001-101 Table 6 (GetResultIdListFiltered)</t>
        </is>
      </c>
      <c r="K15" s="404" t="inlineStr">
        <is>
          <t>Extended coverage beyond the minimum SequenceNumber-or-CreationTime contract; the support precondition controls applicability.</t>
        </is>
      </c>
    </row>
    <row r="16" ht="20.05" customHeight="1" s="173">
      <c r="A16" s="384" t="inlineStr">
        <is>
          <t>Error Test Cases</t>
        </is>
      </c>
      <c r="B16" s="384" t="n"/>
      <c r="C16" s="384" t="n"/>
      <c r="D16" s="384" t="n"/>
      <c r="E16" s="384" t="n"/>
      <c r="F16" s="384" t="n"/>
      <c r="G16" s="384" t="n"/>
      <c r="H16" s="384" t="n"/>
      <c r="I16" s="384" t="n"/>
      <c r="J16" s="384" t="n"/>
      <c r="K16" s="384" t="n"/>
    </row>
    <row r="17" ht="34" customHeight="1" s="173">
      <c r="A17" s="385" t="inlineStr">
        <is>
          <t>y</t>
        </is>
      </c>
      <c r="B17" s="385" t="n">
        <v>7</v>
      </c>
      <c r="C17" s="385" t="n">
        <v>0</v>
      </c>
      <c r="D17" s="385" t="inlineStr">
        <is>
          <t>Verify graceful handling of an unsatisfiable filter range</t>
        </is>
      </c>
      <c r="E17" s="385" t="n"/>
      <c r="F17" s="385" t="n"/>
      <c r="G17" s="385" t="n"/>
      <c r="H17" s="385" t="n"/>
      <c r="I17" s="385" t="inlineStr">
        <is>
          <t>n</t>
        </is>
      </c>
      <c r="J17" s="385" t="inlineStr">
        <is>
          <t>OPC 40001-101 Table 6 (GetResultIdListFiltered)</t>
        </is>
      </c>
      <c r="K17" s="385" t="n"/>
    </row>
    <row r="18" ht="64" customHeight="1" s="173">
      <c r="A18" s="404" t="n"/>
      <c r="B18" s="404" t="n"/>
      <c r="C18" s="404" t="n">
        <v>1</v>
      </c>
      <c r="D18" s="404" t="inlineStr">
        <is>
          <t>Invoke GetResultIdListFiltered with a ContentFilter whose range is inverted/unsatisfiable (e.g. CreationTime &gt;= now AND CreationTime &lt;= now - 1 hour).</t>
        </is>
      </c>
      <c r="E18" s="404" t="inlineStr">
        <is>
          <t>GetResultIdListFiltered available.</t>
        </is>
      </c>
      <c r="F18" s="404" t="inlineStr">
        <is>
          <t>For a syntactically valid ContentFilter the Call Service returns Good; the Server either returns an empty ResultIdList or a non-zero error output, and does not crash. No fixed Bad_* StatusCode is required.</t>
        </is>
      </c>
      <c r="G18" s="404" t="inlineStr">
        <is>
          <t>Good</t>
        </is>
      </c>
      <c r="H18" s="404" t="inlineStr">
        <is>
          <t>Empty ResultIdList or non-zero error output</t>
        </is>
      </c>
      <c r="I18" s="404" t="n"/>
      <c r="J18" s="404" t="inlineStr">
        <is>
          <t>OPC 40001-101 Table 6 (GetResultIdListFiltered)</t>
        </is>
      </c>
      <c r="K18" s="404" t="inlineStr">
        <is>
          <t>Unsatisfiable filter criteria are a method-level outcome, not a Call Service failure.</t>
        </is>
      </c>
    </row>
    <row r="19" ht="79" customHeight="1" s="173"/>
    <row r="20" ht="20.05" customHeight="1" s="173"/>
    <row r="21" ht="34" customHeight="1" s="173"/>
    <row r="22" ht="64" customHeight="1" s="173"/>
    <row r="23" ht="49" customHeight="1" s="173"/>
    <row r="24" ht="34" customHeight="1" s="173"/>
    <row r="25" ht="49" customHeight="1" s="173"/>
    <row r="26" ht="34" customHeight="1" s="173"/>
    <row r="27" ht="79" customHeight="1" s="173"/>
    <row r="28" ht="34" customHeight="1" s="173"/>
    <row r="29" ht="79" customHeight="1" s="173"/>
    <row r="30" ht="34" customHeight="1" s="173"/>
    <row r="31" ht="49" customHeight="1" s="173"/>
    <row r="32" ht="20.05" customHeight="1" s="173"/>
    <row r="33" ht="34" customFormat="1" customHeight="1" s="2"/>
    <row r="34" ht="90" customHeight="1" s="173"/>
    <row r="35" ht="34" customHeight="1" s="173"/>
    <row r="36" ht="49" customHeight="1" s="173"/>
    <row r="37" ht="34" customHeight="1" s="173"/>
    <row r="38" ht="90" customHeight="1" s="173"/>
    <row r="39" ht="34" customHeight="1" s="173"/>
    <row r="40" ht="90" customHeight="1" s="173"/>
    <row r="41" ht="34" customHeight="1" s="173"/>
    <row r="42" ht="90" customHeight="1" s="173"/>
    <row r="43" ht="34" customHeight="1" s="173"/>
    <row r="44" ht="90" customHeight="1" s="173"/>
    <row r="45" ht="38.7" customHeight="1" s="173"/>
    <row r="46" ht="20.05" customHeight="1" s="173"/>
    <row r="47" ht="25.8" customHeight="1" s="173"/>
  </sheetData>
  <mergeCells count="2">
    <mergeCell ref="A1:K1"/>
    <mergeCell ref="C2:J2"/>
  </mergeCells>
  <pageMargins left="0.7" right="0.7" top="0.75" bottom="0.75" header="0.3" footer="0.3"/>
</worksheet>
</file>

<file path=xl/worksheets/sheet19.xml><?xml version="1.0" encoding="utf-8"?>
<worksheet xmlns="http://schemas.openxmlformats.org/spreadsheetml/2006/main">
  <sheetPr codeName="Sheet18">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CU-16: IJT Result Variable Access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CU-16 — IJT Result Variable Access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ResultVariable exists with the correct type</t>
        </is>
      </c>
      <c r="E4" s="304" t="n"/>
      <c r="F4" s="304" t="n"/>
      <c r="G4" s="304" t="n"/>
      <c r="H4" s="304" t="n"/>
      <c r="I4" s="304" t="inlineStr">
        <is>
          <t>n</t>
        </is>
      </c>
      <c r="J4" s="304" t="inlineStr">
        <is>
          <t>OPC 40450-1 Section 9.2 Table 205 (JoiningSystemResultType)</t>
        </is>
      </c>
      <c r="K4" s="305" t="n"/>
    </row>
    <row r="5" ht="49" customFormat="1" customHeight="1" s="2">
      <c r="A5" s="329" t="n"/>
      <c r="B5" s="307" t="n"/>
      <c r="C5" s="307" t="n">
        <v>1</v>
      </c>
      <c r="D5" s="307" t="inlineStr">
        <is>
          <t>Browse the JoiningSystem instance for a Variable of TypeDefinition JoiningSystemResultType and read its NodeClass.</t>
        </is>
      </c>
      <c r="E5" s="307" t="inlineStr">
        <is>
          <t>JoiningSystem instance accessible.</t>
        </is>
      </c>
      <c r="F5" s="307" t="inlineStr">
        <is>
          <t>At least one Variable of TypeDefinition JoiningSystemResultType is present (NodeClass = Variable).</t>
        </is>
      </c>
      <c r="G5" s="307" t="inlineStr">
        <is>
          <t>Good</t>
        </is>
      </c>
      <c r="H5" s="307" t="inlineStr">
        <is>
          <t>Good</t>
        </is>
      </c>
      <c r="I5" s="307" t="n"/>
      <c r="J5" s="307" t="inlineStr">
        <is>
          <t>OPC 40450-1 Section 9.2 Table 205 (JoiningSystemResultType)</t>
        </is>
      </c>
      <c r="K5" s="332" t="n"/>
    </row>
    <row r="6" ht="49" customHeight="1" s="173">
      <c r="A6" s="309" t="n"/>
      <c r="B6" s="310" t="n"/>
      <c r="C6" s="311" t="n">
        <v>2</v>
      </c>
      <c r="D6" s="311" t="inlineStr">
        <is>
          <t>Read the DataType and ValueRank Attributes of the ResultVariable.</t>
        </is>
      </c>
      <c r="E6" s="311" t="inlineStr">
        <is>
          <t>ResultVariable NodeId known.</t>
        </is>
      </c>
      <c r="F6" s="311" t="inlineStr">
        <is>
          <t>DataType resolves to MachineryResult:ResultDataType and ValueRank = Scalar (-1) or Any (-2): the Variable holds a single result ExtensionObject.</t>
        </is>
      </c>
      <c r="G6" s="311" t="inlineStr">
        <is>
          <t>Good</t>
        </is>
      </c>
      <c r="H6" s="311" t="inlineStr">
        <is>
          <t>Good</t>
        </is>
      </c>
      <c r="I6" s="311" t="n"/>
      <c r="J6" s="311" t="inlineStr">
        <is>
          <t>OPC 40450-1 Section 9.2 Table 205 (JoiningSystemResultType)</t>
        </is>
      </c>
      <c r="K6" s="312" t="n"/>
    </row>
    <row r="7" ht="49" customHeight="1" s="173">
      <c r="A7" s="313" t="inlineStr">
        <is>
          <t>n</t>
        </is>
      </c>
      <c r="B7" s="313" t="n">
        <v>2</v>
      </c>
      <c r="C7" s="313" t="n">
        <v>0</v>
      </c>
      <c r="D7" s="313" t="inlineStr">
        <is>
          <t>Verify the ResultVariable value carries valid ResultMetaData</t>
        </is>
      </c>
      <c r="E7" s="313" t="n"/>
      <c r="F7" s="313" t="n"/>
      <c r="G7" s="313" t="n"/>
      <c r="H7" s="313" t="n"/>
      <c r="I7" s="313" t="inlineStr">
        <is>
          <t>n</t>
        </is>
      </c>
      <c r="J7" s="313" t="inlineStr">
        <is>
          <t>OPC 40450-1 Section 9.2 Table 205 (JoiningSystemResultType)</t>
        </is>
      </c>
      <c r="K7" s="313" t="n"/>
    </row>
    <row r="8" ht="64" customHeight="1" s="173">
      <c r="A8" s="307" t="n"/>
      <c r="B8" s="307" t="n"/>
      <c r="C8" s="307" t="n">
        <v>1</v>
      </c>
      <c r="D8" s="307" t="inlineStr">
        <is>
          <t>Read the ResultVariable Value, decode the ResultDataType ExtensionObject and inspect ResultMetaData.</t>
        </is>
      </c>
      <c r="E8" s="307" t="inlineStr">
        <is>
          <t>At least one joining operation completed; the ResultVariable is updated.</t>
        </is>
      </c>
      <c r="F8" s="307" t="inlineStr">
        <is>
          <t>ResultMetaData is a JoiningResultMetaDataType (subtype of MachineryResult:ResultMetaDataType) with a non-empty ResultId and a valid Classification (Byte 1-7).</t>
        </is>
      </c>
      <c r="G8" s="307" t="inlineStr">
        <is>
          <t>Good</t>
        </is>
      </c>
      <c r="H8" s="307" t="inlineStr">
        <is>
          <t>Good</t>
        </is>
      </c>
      <c r="I8" s="307" t="n"/>
      <c r="J8" s="307" t="inlineStr">
        <is>
          <t>OPC 40450-1 Section 10.1 Table 208</t>
        </is>
      </c>
      <c r="K8" s="307" t="n"/>
    </row>
    <row r="9" ht="34" customHeight="1" s="173">
      <c r="A9" s="313" t="inlineStr">
        <is>
          <t>n</t>
        </is>
      </c>
      <c r="B9" s="313" t="n">
        <v>3</v>
      </c>
      <c r="C9" s="313" t="n">
        <v>0</v>
      </c>
      <c r="D9" s="313" t="inlineStr">
        <is>
          <t>Verify the ResultVariable value carries non-null ResultContent</t>
        </is>
      </c>
      <c r="E9" s="313" t="n"/>
      <c r="F9" s="313" t="n"/>
      <c r="G9" s="313" t="n"/>
      <c r="H9" s="313" t="n"/>
      <c r="I9" s="313" t="inlineStr">
        <is>
          <t>n</t>
        </is>
      </c>
      <c r="J9" s="313" t="inlineStr">
        <is>
          <t>OPC 40450-1 Section 10.2 Table 210</t>
        </is>
      </c>
      <c r="K9" s="313" t="n"/>
    </row>
    <row r="10" ht="49" customHeight="1" s="173">
      <c r="A10" s="307" t="n"/>
      <c r="B10" s="307" t="n"/>
      <c r="C10" s="307" t="n">
        <v>1</v>
      </c>
      <c r="D10" s="307" t="inlineStr">
        <is>
          <t>Decode the ResultVariable value and access its ResultContent field.</t>
        </is>
      </c>
      <c r="E10" s="307" t="inlineStr">
        <is>
          <t>At least one SINGLE_RESULT is available.</t>
        </is>
      </c>
      <c r="F10" s="307" t="inlineStr">
        <is>
          <t>ResultContent is non-null; for Classification = SINGLE_RESULT it decodes as a JoiningResultDataType with non-null OverallResultValues.</t>
        </is>
      </c>
      <c r="G10" s="307" t="inlineStr">
        <is>
          <t>Good</t>
        </is>
      </c>
      <c r="H10" s="307" t="inlineStr">
        <is>
          <t>Good</t>
        </is>
      </c>
      <c r="I10" s="307" t="n"/>
      <c r="J10" s="307" t="inlineStr">
        <is>
          <t>OPC 40450-1 Section 10.2 Table 210</t>
        </is>
      </c>
      <c r="K10" s="307" t="n"/>
    </row>
    <row r="11" ht="49" customHeight="1" s="173">
      <c r="A11" s="313" t="inlineStr">
        <is>
          <t>n</t>
        </is>
      </c>
      <c r="B11" s="313" t="n">
        <v>4</v>
      </c>
      <c r="C11" s="313" t="n">
        <v>0</v>
      </c>
      <c r="D11" s="313" t="inlineStr">
        <is>
          <t>Verify the ResultVariable updates to the latest result</t>
        </is>
      </c>
      <c r="E11" s="313" t="n"/>
      <c r="F11" s="313" t="n"/>
      <c r="G11" s="313" t="n"/>
      <c r="H11" s="313" t="n"/>
      <c r="I11" s="313" t="inlineStr">
        <is>
          <t>n</t>
        </is>
      </c>
      <c r="J11" s="313" t="inlineStr">
        <is>
          <t>OPC 40450-1 Section 9.2 Table 205 (JoiningSystemResultType)</t>
        </is>
      </c>
      <c r="K11" s="313" t="n"/>
    </row>
    <row r="12" ht="49" customHeight="1" s="173">
      <c r="A12" s="307" t="n"/>
      <c r="B12" s="307" t="n"/>
      <c r="C12" s="307" t="n">
        <v>1</v>
      </c>
      <c r="D12" s="307" t="inlineStr">
        <is>
          <t>Read the ResultVariable and record ResultId and SequenceNumber (T1). Trigger a new joining operation, wait for completion, then read the ResultVariable again (T2).</t>
        </is>
      </c>
      <c r="E12" s="307" t="inlineStr">
        <is>
          <t>Device operational; at least one result already present.</t>
        </is>
      </c>
      <c r="F12" s="307" t="inlineStr">
        <is>
          <t>Both reads return Good; the ResultId at T2 differs from T1 and SequenceNumber at T2 &gt; SequenceNumber at T1: the ResultVariable reflects the latest result.</t>
        </is>
      </c>
      <c r="G12" s="307" t="inlineStr">
        <is>
          <t>Good</t>
        </is>
      </c>
      <c r="H12" s="307" t="inlineStr">
        <is>
          <t>Good</t>
        </is>
      </c>
      <c r="I12" s="307" t="n"/>
      <c r="J12" s="307" t="inlineStr">
        <is>
          <t>OPC 40450-1 Section 9.2 Table 205 (JoiningSystemResultType)</t>
        </is>
      </c>
      <c r="K12" s="307" t="n"/>
    </row>
    <row r="13" ht="34" customHeight="1" s="173"/>
    <row r="14" ht="34" customHeight="1" s="173"/>
    <row r="15" ht="49" customHeight="1" s="173"/>
    <row r="16" ht="34" customHeight="1" s="173"/>
    <row r="17" ht="49" customHeight="1" s="173"/>
    <row r="18" ht="49" customHeight="1" s="173"/>
    <row r="19" ht="34" customHeight="1" s="173"/>
    <row r="20" ht="64" customHeight="1" s="173"/>
    <row r="21" ht="34" customHeight="1" s="173"/>
    <row r="22" ht="90" customHeight="1" s="173"/>
    <row r="23" ht="20.05" customHeight="1" s="173"/>
    <row r="24" ht="25.8" customHeight="1" s="173"/>
    <row r="25" ht="38.7" customHeight="1" s="173"/>
    <row r="26" ht="25.8" customHeight="1" s="173"/>
    <row r="27" ht="38.7" customHeight="1" s="173"/>
    <row r="28" ht="25.8" customHeight="1" s="173"/>
    <row r="29" ht="25.8" customHeight="1" s="173"/>
    <row r="31" ht="25.8" customHeight="1" s="173"/>
    <row r="33" ht="25.8" customHeight="1" s="173"/>
  </sheetData>
  <mergeCells count="2">
    <mergeCell ref="A1:K1"/>
    <mergeCell ref="C2:J2"/>
  </mergeCells>
  <pageMargins left="0.7" right="0.7" top="0.75" bottom="0.75" header="0.3" footer="0.3"/>
</worksheet>
</file>

<file path=xl/worksheets/sheet20.xml><?xml version="1.0" encoding="utf-8"?>
<worksheet xmlns="http://schemas.openxmlformats.org/spreadsheetml/2006/main">
  <sheetPr codeName="Sheet19">
    <tabColor rgb="FF2E75B6"/>
    <outlinePr summaryBelow="1" summaryRight="1"/>
    <pageSetUpPr/>
  </sheetPr>
  <dimension ref="A1:N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CU-17: IJT Result Internal Identifiers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CU-17 — IJT Result Internal Identifiers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n</t>
        </is>
      </c>
      <c r="B4" s="303" t="n">
        <v>1</v>
      </c>
      <c r="C4" s="304" t="n">
        <v>0</v>
      </c>
      <c r="D4" s="304" t="inlineStr">
        <is>
          <t>Verify the internal asset identifiers in AssociatedEntities</t>
        </is>
      </c>
      <c r="E4" s="304" t="n"/>
      <c r="F4" s="304" t="n"/>
      <c r="G4" s="304" t="n"/>
      <c r="H4" s="304" t="n"/>
      <c r="I4" s="304" t="inlineStr">
        <is>
          <t>n</t>
        </is>
      </c>
      <c r="J4" s="304" t="inlineStr">
        <is>
          <t>OPC 40450-1 Section 10.10 Table 226 (EntityDataType)</t>
        </is>
      </c>
      <c r="K4" s="305" t="n"/>
    </row>
    <row r="5" ht="79" customFormat="1" customHeight="1" s="2">
      <c r="A5" s="329" t="n"/>
      <c r="B5" s="307" t="n"/>
      <c r="C5" s="307" t="n">
        <v>1</v>
      </c>
      <c r="D5" s="307" t="inlineStr">
        <is>
          <t>From a received result, inspect ResultMetaData.AssociatedEntities (EntityDataType[]) for the internal asset entities.</t>
        </is>
      </c>
      <c r="E5" s="307" t="inlineStr">
        <is>
          <t>Server claims the IJT Result Internal Identifiers CU and a result instance is available.</t>
        </is>
      </c>
      <c r="F5" s="307" t="inlineStr">
        <is>
          <t>AssociatedEntities contains an entity with EntityType = 3 (CONTROLLER, the asset running the Server) and an entity with EntityType = 4 (TOOL, the asset that performed the operation). Each entity has a non-empty EntityId.</t>
        </is>
      </c>
      <c r="G5" s="307" t="inlineStr">
        <is>
          <t>Good</t>
        </is>
      </c>
      <c r="H5" s="307" t="inlineStr">
        <is>
          <t>Good</t>
        </is>
      </c>
      <c r="I5" s="307" t="n"/>
      <c r="J5" s="307" t="inlineStr">
        <is>
          <t>OPC 40450-1 Section 10.10 Table 226 (EntityDataType)</t>
        </is>
      </c>
      <c r="K5" s="332" t="n"/>
    </row>
    <row r="6" ht="49" customHeight="1" s="173">
      <c r="A6" s="309" t="n"/>
      <c r="B6" s="310" t="n"/>
      <c r="C6" s="311" t="n">
        <v>2</v>
      </c>
      <c r="D6" s="311" t="inlineStr">
        <is>
          <t>If the joining system exposes and associates a memory device or servo with the result, verify their entities.</t>
        </is>
      </c>
      <c r="E6" s="311" t="inlineStr">
        <is>
          <t>The optional components and properties described in the test case are supported.</t>
        </is>
      </c>
      <c r="F6" s="311" t="inlineStr">
        <is>
          <t>AssociatedEntities additionally contains entities with EntityType = 6 (MEMORY_DEVICE) and/or 5 (SERVO), each with a non-empty EntityId.</t>
        </is>
      </c>
      <c r="G6" s="311" t="inlineStr">
        <is>
          <t>Good</t>
        </is>
      </c>
      <c r="H6" s="311" t="inlineStr">
        <is>
          <t>Good</t>
        </is>
      </c>
      <c r="I6" s="311" t="n"/>
      <c r="J6" s="311" t="inlineStr">
        <is>
          <t>OPC 40450-1 Section 10.10 Table 226 (EntityDataType)</t>
        </is>
      </c>
      <c r="K6" s="312" t="n"/>
    </row>
    <row r="7" ht="49" customHeight="1" s="173">
      <c r="A7" s="313" t="inlineStr">
        <is>
          <t>n</t>
        </is>
      </c>
      <c r="B7" s="313" t="n">
        <v>2</v>
      </c>
      <c r="C7" s="313" t="n">
        <v>0</v>
      </c>
      <c r="D7" s="313" t="inlineStr">
        <is>
          <t>Verify the associated joining-process identifier matches the Classification</t>
        </is>
      </c>
      <c r="E7" s="313" t="n"/>
      <c r="F7" s="313" t="n"/>
      <c r="G7" s="313" t="n"/>
      <c r="H7" s="313" t="n"/>
      <c r="I7" s="313" t="inlineStr">
        <is>
          <t>n</t>
        </is>
      </c>
      <c r="J7" s="313" t="inlineStr">
        <is>
          <t>OPC 40450-1 Section 10.10 Table 226 (EntityDataType)</t>
        </is>
      </c>
      <c r="K7" s="313" t="n"/>
    </row>
    <row r="8" ht="64" customHeight="1" s="173">
      <c r="A8" s="307" t="n"/>
      <c r="B8" s="307" t="n"/>
      <c r="C8" s="307" t="n">
        <v>1</v>
      </c>
      <c r="D8" s="307" t="inlineStr">
        <is>
          <t>Read ResultMetaData.Classification and locate the joining-process entity in AssociatedEntities.</t>
        </is>
      </c>
      <c r="E8" s="307" t="inlineStr">
        <is>
          <t>A result instance is available.</t>
        </is>
      </c>
      <c r="F8" s="307" t="inlineStr">
        <is>
          <t>The joining-process identifier in AssociatedEntities matches the Classification: for SINGLE_RESULT the Program identifier (EntityType = 27 PROGRAM); for JOB_RESULT the Job identifier (EntityType = 28 JOB).</t>
        </is>
      </c>
      <c r="G8" s="307" t="inlineStr">
        <is>
          <t>Good</t>
        </is>
      </c>
      <c r="H8" s="307" t="inlineStr">
        <is>
          <t>Good</t>
        </is>
      </c>
      <c r="I8" s="307" t="n"/>
      <c r="J8" s="307" t="inlineStr">
        <is>
          <t>OPC 40450-1 Section 10.10 Table 226 (EntityDataType)</t>
        </is>
      </c>
      <c r="K8" s="307" t="n"/>
    </row>
    <row r="9" ht="49" customHeight="1" s="173"/>
    <row r="10" ht="34" customHeight="1" s="173"/>
    <row r="11" ht="49" customHeight="1" s="173"/>
    <row r="12" ht="34" customHeight="1" s="173"/>
    <row r="13" ht="64" customHeight="1" s="173"/>
    <row r="14" ht="34" customHeight="1" s="173"/>
    <row r="15" ht="49" customHeight="1" s="173"/>
    <row r="16" ht="34" customHeight="1" s="173"/>
    <row r="17" ht="64" customHeight="1" s="173"/>
    <row r="18" ht="20.05" customHeight="1" s="173"/>
    <row r="19" ht="34" customHeight="1" s="173"/>
    <row r="20" ht="64" customHeight="1" s="173"/>
    <row r="21" ht="34" customHeight="1" s="173"/>
    <row r="22" ht="79" customHeight="1" s="173"/>
    <row r="23" ht="60" customHeight="1" s="173"/>
    <row r="24" ht="49" customHeight="1" s="173"/>
    <row r="25" ht="34" customHeight="1" s="173"/>
    <row r="26" ht="49" customHeight="1" s="173"/>
    <row r="27" ht="34" customHeight="1" s="173"/>
    <row r="28" ht="64" customHeight="1" s="173"/>
  </sheetData>
  <mergeCells count="2">
    <mergeCell ref="A1:K1"/>
    <mergeCell ref="C2:J2"/>
  </mergeCells>
  <pageMargins left="0.7" right="0.7" top="0.75" bottom="0.75" header="0.3" footer="0.3"/>
</worksheet>
</file>

<file path=xl/worksheets/sheet21.xml><?xml version="1.0" encoding="utf-8"?>
<worksheet xmlns="http://schemas.openxmlformats.org/spreadsheetml/2006/main">
  <sheetPr codeName="Sheet27">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CU-18: IJT Result External Identifiers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CU-18 — IJT Result External Identifiers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n</t>
        </is>
      </c>
      <c r="B4" s="303" t="n">
        <v>1</v>
      </c>
      <c r="C4" s="304" t="n">
        <v>0</v>
      </c>
      <c r="D4" s="304" t="inlineStr">
        <is>
          <t>Verify at least one external identifier in AssociatedEntities</t>
        </is>
      </c>
      <c r="E4" s="304" t="n"/>
      <c r="F4" s="304" t="n"/>
      <c r="G4" s="304" t="n"/>
      <c r="H4" s="304" t="n"/>
      <c r="I4" s="304" t="inlineStr">
        <is>
          <t>n</t>
        </is>
      </c>
      <c r="J4" s="304" t="inlineStr">
        <is>
          <t>OPC 40450-1 Section 10.10 Table 226 (EntityDataType)</t>
        </is>
      </c>
      <c r="K4" s="305" t="n"/>
    </row>
    <row r="5" ht="64" customFormat="1" customHeight="1" s="2">
      <c r="A5" s="329" t="n"/>
      <c r="B5" s="307" t="n"/>
      <c r="C5" s="307" t="n">
        <v>1</v>
      </c>
      <c r="D5" s="307" t="inlineStr">
        <is>
          <t>From a received result, inspect ResultMetaData.AssociatedEntities (EntityDataType[]) for external entities.</t>
        </is>
      </c>
      <c r="E5" s="307" t="inlineStr">
        <is>
          <t>Server claims the IJT Result External Identifiers CU and a result instance is available.</t>
        </is>
      </c>
      <c r="F5" s="307" t="inlineStr">
        <is>
          <t>At least one entity has EntityType in {20 VEHICLE, 21 PRODUCT, 22 PART, 23 JOINT, 24 MODEL, 25 ORDER} with a non-empty EntityId. For externally supplied identifiers (e.g. a VIN) IsExternal is True.</t>
        </is>
      </c>
      <c r="G5" s="307" t="inlineStr">
        <is>
          <t>Good</t>
        </is>
      </c>
      <c r="H5" s="307" t="inlineStr">
        <is>
          <t>Good</t>
        </is>
      </c>
      <c r="I5" s="307" t="n"/>
      <c r="J5" s="307" t="inlineStr">
        <is>
          <t>OPC 40450-1 Section 10.10 Table 226 (EntityDataType)</t>
        </is>
      </c>
      <c r="K5" s="332" t="n"/>
    </row>
    <row r="6" ht="34" customHeight="1" s="173"/>
    <row r="7" ht="64" customHeight="1" s="173"/>
    <row r="8" ht="34" customHeight="1" s="173"/>
    <row r="9" ht="49" customHeight="1" s="173"/>
    <row r="10" ht="34" customHeight="1" s="173"/>
    <row r="11" ht="64" customHeight="1" s="173"/>
    <row r="12" ht="34" customHeight="1" s="173"/>
    <row r="13" ht="49" customHeight="1" s="173"/>
    <row r="14" ht="34" customHeight="1" s="173"/>
    <row r="15" ht="79" customHeight="1" s="173"/>
    <row r="16" ht="20.05" customHeight="1" s="173"/>
    <row r="17" ht="34" customHeight="1" s="173"/>
    <row r="18" ht="64" customHeight="1" s="173"/>
    <row r="19" ht="34" customHeight="1" s="173"/>
    <row r="20" ht="79" customHeight="1" s="173"/>
    <row r="21" ht="34" customHeight="1" s="173"/>
    <row r="22" ht="64" customHeight="1" s="173"/>
    <row r="23" ht="34" customHeight="1" s="173"/>
    <row r="24" ht="49" customHeight="1" s="173"/>
    <row r="25" ht="34" customHeight="1" s="173"/>
    <row r="26" ht="49" customHeight="1" s="173"/>
  </sheetData>
  <mergeCells count="2">
    <mergeCell ref="A1:K1"/>
    <mergeCell ref="C2:J2"/>
  </mergeCells>
  <pageMargins left="0.7" right="0.7" top="0.75" bottom="0.75" header="0.3" footer="0.3"/>
</worksheet>
</file>

<file path=xl/worksheets/sheet22.xml><?xml version="1.0" encoding="utf-8"?>
<worksheet xmlns="http://schemas.openxmlformats.org/spreadsheetml/2006/main">
  <sheetPr codeName="Sheet20">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CU-19: IJT Joining Result Failure Reason</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CU-19 — IJT Joining Result Failure Reason</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FailureReason is declared in JoiningResultDataType</t>
        </is>
      </c>
      <c r="E4" s="304" t="n"/>
      <c r="F4" s="304" t="n"/>
      <c r="G4" s="304" t="n"/>
      <c r="H4" s="304" t="n"/>
      <c r="I4" s="304" t="inlineStr">
        <is>
          <t>n</t>
        </is>
      </c>
      <c r="J4" s="304" t="inlineStr">
        <is>
          <t>OPC 40450-1 Section 10.2 Table 210</t>
        </is>
      </c>
      <c r="K4" s="305" t="n"/>
    </row>
    <row r="5" ht="49" customFormat="1" customHeight="1" s="2">
      <c r="A5" s="329" t="n"/>
      <c r="B5" s="307" t="n"/>
      <c r="C5" s="307" t="n">
        <v>1</v>
      </c>
      <c r="D5" s="307" t="inlineStr">
        <is>
          <t>Inspect the JoiningResultDataType structure and verify the FailureReason field.</t>
        </is>
      </c>
      <c r="E5" s="307" t="inlineStr">
        <is>
          <t>JoiningResultDataType found in the TypeSystem.</t>
        </is>
      </c>
      <c r="F5" s="307" t="inlineStr">
        <is>
          <t>FailureReason is declared (Byte, Optional) with values 0 NOT_OK_REASON_UNDEFINED, 1 NOT_OK_REASON_PROGRAM, 2 NOT_OK_REASON_STEP, 3 NOT_OK_REASON_ERROR.</t>
        </is>
      </c>
      <c r="G5" s="307" t="inlineStr">
        <is>
          <t>Good</t>
        </is>
      </c>
      <c r="H5" s="307" t="inlineStr">
        <is>
          <t>Good</t>
        </is>
      </c>
      <c r="I5" s="307" t="n"/>
      <c r="J5" s="307" t="inlineStr">
        <is>
          <t>OPC 40450-1 Section 10.2 Table 210</t>
        </is>
      </c>
      <c r="K5" s="332" t="n"/>
    </row>
    <row r="6" ht="34" customHeight="1" s="173">
      <c r="A6" s="323" t="inlineStr">
        <is>
          <t>n</t>
        </is>
      </c>
      <c r="B6" s="324" t="n">
        <v>2</v>
      </c>
      <c r="C6" s="325" t="n">
        <v>0</v>
      </c>
      <c r="D6" s="325" t="inlineStr">
        <is>
          <t>Verify FailureReason is provided for a NotOK single result</t>
        </is>
      </c>
      <c r="E6" s="325" t="n"/>
      <c r="F6" s="325" t="n"/>
      <c r="G6" s="325" t="n"/>
      <c r="H6" s="325" t="n"/>
      <c r="I6" s="325" t="inlineStr">
        <is>
          <t>n</t>
        </is>
      </c>
      <c r="J6" s="325" t="inlineStr">
        <is>
          <t>OPC 40450-1 Section 10.2 Table 210</t>
        </is>
      </c>
      <c r="K6" s="326" t="n"/>
    </row>
    <row r="7" ht="64" customHeight="1" s="173">
      <c r="A7" s="307" t="n"/>
      <c r="B7" s="307" t="n"/>
      <c r="C7" s="307" t="n">
        <v>1</v>
      </c>
      <c r="D7" s="307" t="inlineStr">
        <is>
          <t>Obtain a Single Result whose ResultMetaData.ResultEvaluation = NotOK and whose ResultContent is a JoiningResultDataType, then inspect FailureReason.</t>
        </is>
      </c>
      <c r="E7" s="307" t="inlineStr">
        <is>
          <t>A NotOK single result is available.</t>
        </is>
      </c>
      <c r="F7" s="307" t="inlineStr">
        <is>
          <t>FailureReason is present and set to the primary cause: 1 (PROGRAM, refer OverallResultValues), 2 (STEP, refer StepResults) or 3 (ERROR, refer Errors) rather than 0 UNDEFINED.</t>
        </is>
      </c>
      <c r="G7" s="307" t="inlineStr">
        <is>
          <t>Good</t>
        </is>
      </c>
      <c r="H7" s="307" t="inlineStr">
        <is>
          <t>Good</t>
        </is>
      </c>
      <c r="I7" s="307" t="n"/>
      <c r="J7" s="307" t="inlineStr">
        <is>
          <t>OPC 40450-1 Section 10.2 Table 210</t>
        </is>
      </c>
      <c r="K7" s="307" t="n"/>
    </row>
    <row r="8" ht="34" customHeight="1" s="173"/>
    <row r="9" ht="79" customHeight="1" s="173"/>
    <row r="10" ht="34" customHeight="1" s="173"/>
    <row r="11" ht="79" customHeight="1" s="173"/>
    <row r="12" ht="34" customHeight="1" s="173"/>
    <row r="13" ht="49" customHeight="1" s="173"/>
    <row r="14" ht="34" customHeight="1" s="173"/>
    <row r="15" ht="49" customHeight="1" s="173"/>
    <row r="16" ht="20.05" customHeight="1" s="173"/>
    <row r="17" ht="34" customHeight="1" s="173"/>
    <row r="18" ht="49" customHeight="1" s="173"/>
    <row r="19" ht="34" customHeight="1" s="173"/>
    <row r="20" ht="49" customHeight="1" s="173"/>
    <row r="21" ht="34" customHeight="1" s="173"/>
    <row r="22" ht="49" customHeight="1" s="173"/>
    <row r="23" ht="34" customHeight="1" s="173"/>
    <row r="24" ht="49" customHeight="1" s="173"/>
    <row r="26" ht="25.8" customHeight="1" s="173"/>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21">
    <tabColor rgb="FF2E75B6"/>
    <outlinePr summaryBelow="1" summaryRight="1"/>
    <pageSetUpPr/>
  </sheetPr>
  <dimension ref="A1:N9"/>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CU-20: IJT Joining Result Overall Result Values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CU-20 — IJT Joining Result Overall Result Values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OverallResultValues is a mandatory array in JoiningResultDataType</t>
        </is>
      </c>
      <c r="E4" s="304" t="n"/>
      <c r="F4" s="304" t="n"/>
      <c r="G4" s="304" t="n"/>
      <c r="H4" s="304" t="n"/>
      <c r="I4" s="304" t="inlineStr">
        <is>
          <t>n</t>
        </is>
      </c>
      <c r="J4" s="304" t="inlineStr">
        <is>
          <t>OPC 40450-1 Section 10.2 Table 210</t>
        </is>
      </c>
      <c r="K4" s="305" t="n"/>
    </row>
    <row r="5" ht="49" customFormat="1" customHeight="1" s="2">
      <c r="A5" s="329" t="n"/>
      <c r="B5" s="307" t="n"/>
      <c r="C5" s="307" t="n">
        <v>1</v>
      </c>
      <c r="D5" s="307" t="inlineStr">
        <is>
          <t>Inspect JoiningResultDataType and verify the OverallResultValues field.</t>
        </is>
      </c>
      <c r="E5" s="307" t="inlineStr">
        <is>
          <t>JoiningResultDataType found in the TypeSystem.</t>
        </is>
      </c>
      <c r="F5" s="307" t="inlineStr">
        <is>
          <t>OverallResultValues (ResultValueDataType[]) is declared mandatory; it may be empty only when the operation terminated before any value was measured.</t>
        </is>
      </c>
      <c r="G5" s="307" t="inlineStr">
        <is>
          <t>Good</t>
        </is>
      </c>
      <c r="H5" s="307" t="inlineStr">
        <is>
          <t>Good</t>
        </is>
      </c>
      <c r="I5" s="307" t="n"/>
      <c r="J5" s="307" t="inlineStr">
        <is>
          <t>OPC 40450-1 Section 10.2 Table 210</t>
        </is>
      </c>
      <c r="K5" s="332" t="n"/>
    </row>
    <row r="6" ht="49" customHeight="1" s="173">
      <c r="A6" s="323" t="inlineStr">
        <is>
          <t>n</t>
        </is>
      </c>
      <c r="B6" s="324" t="n">
        <v>2</v>
      </c>
      <c r="C6" s="325" t="n">
        <v>0</v>
      </c>
      <c r="D6" s="325" t="inlineStr">
        <is>
          <t>Verify each overall result value carries the required fields</t>
        </is>
      </c>
      <c r="E6" s="325" t="n"/>
      <c r="F6" s="325" t="n"/>
      <c r="G6" s="325" t="n"/>
      <c r="H6" s="325" t="n"/>
      <c r="I6" s="325" t="inlineStr">
        <is>
          <t>n</t>
        </is>
      </c>
      <c r="J6" s="325" t="inlineStr">
        <is>
          <t>OPC 40450-1 Section 10.3 Table 212 (ResultValueDataType)</t>
        </is>
      </c>
      <c r="K6" s="326" t="n"/>
    </row>
    <row r="7" ht="49" customHeight="1" s="173">
      <c r="A7" s="307" t="n"/>
      <c r="B7" s="307" t="n"/>
      <c r="C7" s="307" t="n">
        <v>1</v>
      </c>
      <c r="D7" s="307" t="inlineStr">
        <is>
          <t>For a received single result, inspect each element of ResultContent.OverallResultValues.</t>
        </is>
      </c>
      <c r="E7" s="307" t="inlineStr">
        <is>
          <t>A single result with overall values is available.</t>
        </is>
      </c>
      <c r="F7" s="307" t="inlineStr">
        <is>
          <t>Each ResultValueDataType element carries MeasuredValue (Double), PhysicalQuantity, Name and ResultEvaluation.</t>
        </is>
      </c>
      <c r="G7" s="307" t="inlineStr">
        <is>
          <t>Good</t>
        </is>
      </c>
      <c r="H7" s="307" t="inlineStr">
        <is>
          <t>Good</t>
        </is>
      </c>
      <c r="I7" s="307" t="n"/>
      <c r="J7" s="307" t="inlineStr">
        <is>
          <t>OPC 40450-1 Section 10.3 Table 212 (ResultValueDataType)</t>
        </is>
      </c>
      <c r="K7" s="307" t="n"/>
    </row>
    <row r="8" ht="49" customHeight="1" s="173">
      <c r="A8" s="313" t="inlineStr">
        <is>
          <t>n</t>
        </is>
      </c>
      <c r="B8" s="313" t="n">
        <v>3</v>
      </c>
      <c r="C8" s="313" t="n">
        <v>0</v>
      </c>
      <c r="D8" s="313" t="inlineStr">
        <is>
          <t>Verify violation fields are present on NotOK overall values</t>
        </is>
      </c>
      <c r="E8" s="313" t="n"/>
      <c r="F8" s="313" t="n"/>
      <c r="G8" s="313" t="n"/>
      <c r="H8" s="313" t="n"/>
      <c r="I8" s="313" t="inlineStr">
        <is>
          <t>n</t>
        </is>
      </c>
      <c r="J8" s="313" t="inlineStr">
        <is>
          <t>OPC 40450-1 Section 10.3 Table 212 (ResultValueDataType)</t>
        </is>
      </c>
      <c r="K8" s="313" t="n"/>
    </row>
    <row r="9" ht="64" customHeight="1" s="173">
      <c r="A9" s="307" t="n"/>
      <c r="B9" s="307" t="n"/>
      <c r="C9" s="307" t="n">
        <v>1</v>
      </c>
      <c r="D9" s="307" t="inlineStr">
        <is>
          <t>For an overall result value whose ResultEvaluation = NotOK, inspect ViolationType and ViolationConsequence.</t>
        </is>
      </c>
      <c r="E9" s="307" t="inlineStr">
        <is>
          <t>An overall result value with ResultEvaluation = NotOK is available.</t>
        </is>
      </c>
      <c r="F9" s="307" t="inlineStr">
        <is>
          <t>ViolationType (1 ABOVE_LIMIT, 2 BELOW_LIMIT, 3 NOT_DECIDABLE) and ViolationConsequence (1 ABORT, 2 NORMAL_STEP_TRANSITION, 3 REPAIR_STEP_TRANSITION, 4 WARNING) are present.</t>
        </is>
      </c>
      <c r="G9" s="307" t="inlineStr">
        <is>
          <t>Good</t>
        </is>
      </c>
      <c r="H9" s="307" t="inlineStr">
        <is>
          <t>Good</t>
        </is>
      </c>
      <c r="I9" s="307" t="n"/>
      <c r="J9" s="307" t="inlineStr">
        <is>
          <t>OPC 40450-1 Section 10.3 Table 212 (ResultValueDataType)</t>
        </is>
      </c>
      <c r="K9" s="307" t="inlineStr">
        <is>
          <t>Applies only when a NotOK overall value is present.</t>
        </is>
      </c>
    </row>
    <row r="10" ht="34" customHeight="1" s="173"/>
    <row r="11" ht="49" customHeight="1" s="173"/>
    <row r="12" ht="49" customHeight="1" s="173"/>
    <row r="13" ht="34" customHeight="1" s="173"/>
    <row r="14" ht="79" customHeight="1" s="173"/>
    <row r="15" ht="34" customHeight="1" s="173"/>
    <row r="16" ht="49" customHeight="1" s="173"/>
    <row r="17" ht="34" customHeight="1" s="173"/>
    <row r="18" ht="64" customHeight="1" s="173"/>
    <row r="19" ht="20.05" customHeight="1" s="173"/>
    <row r="20" ht="34" customHeight="1" s="173"/>
    <row r="21" ht="64" customHeight="1" s="173"/>
    <row r="22" ht="34" customHeight="1" s="173"/>
    <row r="23" ht="49" customHeight="1" s="173"/>
    <row r="24" ht="60" customHeight="1" s="173"/>
    <row r="25" ht="49" customHeight="1" s="173"/>
    <row r="26" ht="34" customHeight="1" s="173"/>
    <row r="27" ht="49" customHeight="1" s="173"/>
    <row r="29" ht="25.8" customHeight="1" s="173"/>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2">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CU-21: IJT Joining Result Step Results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CU-21 — IJT Joining Result Step Results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n</t>
        </is>
      </c>
      <c r="B4" s="303" t="n">
        <v>1</v>
      </c>
      <c r="C4" s="304" t="n">
        <v>0</v>
      </c>
      <c r="D4" s="304" t="inlineStr">
        <is>
          <t>Verify the StepResults array in JoiningResultDataType</t>
        </is>
      </c>
      <c r="E4" s="304" t="n"/>
      <c r="F4" s="304" t="n"/>
      <c r="G4" s="304" t="n"/>
      <c r="H4" s="304" t="n"/>
      <c r="I4" s="304" t="inlineStr">
        <is>
          <t>n</t>
        </is>
      </c>
      <c r="J4" s="304" t="inlineStr">
        <is>
          <t>OPC 40450-1 Section 10.2 Table 210</t>
        </is>
      </c>
      <c r="K4" s="305" t="n"/>
    </row>
    <row r="5" ht="49" customFormat="1" customHeight="1" s="2">
      <c r="A5" s="329" t="n"/>
      <c r="B5" s="307" t="n"/>
      <c r="C5" s="307" t="n">
        <v>1</v>
      </c>
      <c r="D5" s="307" t="inlineStr">
        <is>
          <t>Inspect a received single result from a stepped program and verify ResultContent.StepResults.</t>
        </is>
      </c>
      <c r="E5" s="307" t="inlineStr">
        <is>
          <t>A single result from a stepped program is available.</t>
        </is>
      </c>
      <c r="F5" s="307" t="inlineStr">
        <is>
          <t>StepResults (StepResultDataType[]) is present with at least one element.</t>
        </is>
      </c>
      <c r="G5" s="307" t="inlineStr">
        <is>
          <t>Good</t>
        </is>
      </c>
      <c r="H5" s="307" t="inlineStr">
        <is>
          <t>Good</t>
        </is>
      </c>
      <c r="I5" s="307" t="n"/>
      <c r="J5" s="307" t="inlineStr">
        <is>
          <t>OPC 40450-1 Section 10.4 Table 214 (StepResultDataType)</t>
        </is>
      </c>
      <c r="K5" s="332" t="n"/>
    </row>
    <row r="6" ht="49" customHeight="1" s="173">
      <c r="A6" s="323" t="inlineStr">
        <is>
          <t>n</t>
        </is>
      </c>
      <c r="B6" s="324" t="n">
        <v>2</v>
      </c>
      <c r="C6" s="325" t="n">
        <v>0</v>
      </c>
      <c r="D6" s="325" t="inlineStr">
        <is>
          <t>Verify each step result carries the required fields</t>
        </is>
      </c>
      <c r="E6" s="325" t="n"/>
      <c r="F6" s="325" t="n"/>
      <c r="G6" s="325" t="n"/>
      <c r="H6" s="325" t="n"/>
      <c r="I6" s="325" t="inlineStr">
        <is>
          <t>n</t>
        </is>
      </c>
      <c r="J6" s="325" t="inlineStr">
        <is>
          <t>OPC 40450-1 Section 10.4 Table 214 (StepResultDataType)</t>
        </is>
      </c>
      <c r="K6" s="326" t="n"/>
    </row>
    <row r="7" ht="49" customHeight="1" s="173">
      <c r="A7" s="307" t="n"/>
      <c r="B7" s="307" t="n"/>
      <c r="C7" s="307" t="n">
        <v>1</v>
      </c>
      <c r="D7" s="307" t="inlineStr">
        <is>
          <t>For each StepResults[] element, inspect its identity and evaluation fields.</t>
        </is>
      </c>
      <c r="E7" s="307" t="inlineStr">
        <is>
          <t>A single result with step results is available.</t>
        </is>
      </c>
      <c r="F7" s="307" t="inlineStr">
        <is>
          <t>Each StepResultDataType carries StepResultId (TrimmedString), one of ProgramStepId or ProgramStep, Name and ResultEvaluation.</t>
        </is>
      </c>
      <c r="G7" s="307" t="inlineStr">
        <is>
          <t>Good</t>
        </is>
      </c>
      <c r="H7" s="307" t="inlineStr">
        <is>
          <t>Good</t>
        </is>
      </c>
      <c r="I7" s="307" t="n"/>
      <c r="J7" s="307" t="inlineStr">
        <is>
          <t>OPC 40450-1 Section 10.4 Table 214 (StepResultDataType)</t>
        </is>
      </c>
      <c r="K7" s="307" t="n"/>
    </row>
    <row r="8" ht="49" customHeight="1" s="173">
      <c r="A8" s="307" t="n"/>
      <c r="B8" s="307" t="n"/>
      <c r="C8" s="307" t="n">
        <v>2</v>
      </c>
      <c r="D8" s="307" t="inlineStr">
        <is>
          <t>If traces are sent as part of the JoiningResult, verify the trace-linking fields on the step result.</t>
        </is>
      </c>
      <c r="E8" s="307" t="inlineStr">
        <is>
          <t>The optional components and properties described in the test case are supported.</t>
        </is>
      </c>
      <c r="F8" s="307" t="inlineStr">
        <is>
          <t>StepTraceId and StartTimeOffset are present, linking the step result to its StepTrace.</t>
        </is>
      </c>
      <c r="G8" s="307" t="inlineStr">
        <is>
          <t>Good</t>
        </is>
      </c>
      <c r="H8" s="307" t="inlineStr">
        <is>
          <t>Good</t>
        </is>
      </c>
      <c r="I8" s="307" t="n"/>
      <c r="J8" s="307" t="inlineStr">
        <is>
          <t>OPC 40450-1 Section 10.4 Table 214 (StepResultDataType)</t>
        </is>
      </c>
      <c r="K8" s="307" t="n"/>
    </row>
    <row r="9" ht="49" customHeight="1" s="173">
      <c r="A9" s="313" t="inlineStr">
        <is>
          <t>n</t>
        </is>
      </c>
      <c r="B9" s="313" t="n">
        <v>3</v>
      </c>
      <c r="C9" s="313" t="n">
        <v>0</v>
      </c>
      <c r="D9" s="313" t="inlineStr">
        <is>
          <t>Verify each step result value carries the required fields</t>
        </is>
      </c>
      <c r="E9" s="313" t="n"/>
      <c r="F9" s="313" t="n"/>
      <c r="G9" s="313" t="n"/>
      <c r="H9" s="313" t="n"/>
      <c r="I9" s="313" t="inlineStr">
        <is>
          <t>n</t>
        </is>
      </c>
      <c r="J9" s="313" t="inlineStr">
        <is>
          <t>OPC 40450-1 Section 10.3 Table 212 (ResultValueDataType)</t>
        </is>
      </c>
      <c r="K9" s="313" t="n"/>
    </row>
    <row r="10" ht="49" customHeight="1" s="173">
      <c r="A10" s="307" t="n"/>
      <c r="B10" s="307" t="n"/>
      <c r="C10" s="307" t="n">
        <v>1</v>
      </c>
      <c r="D10" s="307" t="inlineStr">
        <is>
          <t>For each StepResults[].StepResultValues[] element, inspect its measurement fields.</t>
        </is>
      </c>
      <c r="E10" s="307" t="inlineStr">
        <is>
          <t>A step result with values is available.</t>
        </is>
      </c>
      <c r="F10" s="307" t="inlineStr">
        <is>
          <t>Each ResultValueDataType carries MeasuredValue (Double), PhysicalQuantity, Name and ResultEvaluation.</t>
        </is>
      </c>
      <c r="G10" s="307" t="inlineStr">
        <is>
          <t>Good</t>
        </is>
      </c>
      <c r="H10" s="307" t="inlineStr">
        <is>
          <t>Good</t>
        </is>
      </c>
      <c r="I10" s="307" t="n"/>
      <c r="J10" s="307" t="inlineStr">
        <is>
          <t>OPC 40450-1 Section 10.3 Table 212 (ResultValueDataType)</t>
        </is>
      </c>
      <c r="K10" s="307" t="n"/>
    </row>
    <row r="11" ht="49" customHeight="1" s="173">
      <c r="A11" s="313" t="inlineStr">
        <is>
          <t>n</t>
        </is>
      </c>
      <c r="B11" s="313" t="n">
        <v>4</v>
      </c>
      <c r="C11" s="313" t="n">
        <v>0</v>
      </c>
      <c r="D11" s="313" t="inlineStr">
        <is>
          <t>Verify violation fields are present on NotOK step values</t>
        </is>
      </c>
      <c r="E11" s="313" t="n"/>
      <c r="F11" s="313" t="n"/>
      <c r="G11" s="313" t="n"/>
      <c r="H11" s="313" t="n"/>
      <c r="I11" s="313" t="inlineStr">
        <is>
          <t>n</t>
        </is>
      </c>
      <c r="J11" s="313" t="inlineStr">
        <is>
          <t>OPC 40450-1 Section 10.3 Table 212 (ResultValueDataType)</t>
        </is>
      </c>
      <c r="K11" s="313" t="n"/>
    </row>
    <row r="12" ht="64" customHeight="1" s="173">
      <c r="A12" s="307" t="n"/>
      <c r="B12" s="307" t="n"/>
      <c r="C12" s="307" t="n">
        <v>1</v>
      </c>
      <c r="D12" s="307" t="inlineStr">
        <is>
          <t>For a step result value whose ResultEvaluation = NotOK, inspect ViolationType and ViolationConsequence.</t>
        </is>
      </c>
      <c r="E12" s="307" t="inlineStr">
        <is>
          <t>A step result value with ResultEvaluation = NotOK is available.</t>
        </is>
      </c>
      <c r="F12" s="307" t="inlineStr">
        <is>
          <t>ViolationType (1 ABOVE_LIMIT, 2 BELOW_LIMIT, 3 NOT_DECIDABLE) and ViolationConsequence (1 ABORT, 2 NORMAL_STEP_TRANSITION, 3 REPAIR_STEP_TRANSITION, 4 WARNING) are present.</t>
        </is>
      </c>
      <c r="G12" s="307" t="inlineStr">
        <is>
          <t>Good</t>
        </is>
      </c>
      <c r="H12" s="307" t="inlineStr">
        <is>
          <t>Good</t>
        </is>
      </c>
      <c r="I12" s="307" t="n"/>
      <c r="J12" s="307" t="inlineStr">
        <is>
          <t>OPC 40450-1 Section 10.3 Table 212 (ResultValueDataType)</t>
        </is>
      </c>
      <c r="K12" s="307" t="inlineStr">
        <is>
          <t>Applies only when a NotOK step value is present.</t>
        </is>
      </c>
    </row>
    <row r="13" ht="79" customHeight="1" s="173"/>
    <row r="14" ht="34" customHeight="1" s="173"/>
    <row r="15" ht="79" customHeight="1" s="173"/>
    <row r="16" ht="34" customHeight="1" s="173"/>
    <row r="17" ht="64" customHeight="1" s="173"/>
    <row r="18" ht="20.05" customHeight="1" s="173"/>
    <row r="19" ht="34" customHeight="1" s="173"/>
    <row r="20" ht="49" customHeight="1" s="173"/>
    <row r="21" ht="34" customHeight="1" s="173"/>
    <row r="22" ht="64" customHeight="1" s="173"/>
    <row r="23" ht="34" customHeight="1" s="173"/>
    <row r="24" ht="49" customHeight="1" s="173"/>
    <row r="25" ht="60" customHeight="1" s="173"/>
    <row r="26" ht="49" customHeight="1" s="173"/>
    <row r="27" ht="34" customHeight="1" s="173"/>
    <row r="28" ht="64" customHeight="1" s="173"/>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3">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CU-22: IJT Joining Result Errors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CU-22 — IJT Joining Result Errors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the Errors array in JoiningResultDataType</t>
        </is>
      </c>
      <c r="E4" s="304" t="n"/>
      <c r="F4" s="304" t="n"/>
      <c r="G4" s="304" t="n"/>
      <c r="H4" s="304" t="n"/>
      <c r="I4" s="304" t="inlineStr">
        <is>
          <t>n</t>
        </is>
      </c>
      <c r="J4" s="304" t="inlineStr">
        <is>
          <t>OPC 40450-1 Section 10.2 Table 210</t>
        </is>
      </c>
      <c r="K4" s="305" t="n"/>
    </row>
    <row r="5" ht="49" customFormat="1" customHeight="1" s="2">
      <c r="A5" s="329" t="n"/>
      <c r="B5" s="307" t="n"/>
      <c r="C5" s="307" t="n">
        <v>1</v>
      </c>
      <c r="D5" s="307" t="inlineStr">
        <is>
          <t>Inspect JoiningResultDataType and verify the Errors field.</t>
        </is>
      </c>
      <c r="E5" s="307" t="inlineStr">
        <is>
          <t>JoiningResultDataType found in the TypeSystem.</t>
        </is>
      </c>
      <c r="F5" s="307" t="inlineStr">
        <is>
          <t>Errors (ErrorInformationDataType[]) is declared Optional and captures failures outside the program boundary.</t>
        </is>
      </c>
      <c r="G5" s="307" t="inlineStr">
        <is>
          <t>Good</t>
        </is>
      </c>
      <c r="H5" s="307" t="inlineStr">
        <is>
          <t>Good</t>
        </is>
      </c>
      <c r="I5" s="307" t="n"/>
      <c r="J5" s="307" t="inlineStr">
        <is>
          <t>OPC 40450-1 Section 10.5 Table 216 (ErrorInformationDataType)</t>
        </is>
      </c>
      <c r="K5" s="332" t="n"/>
    </row>
    <row r="6" ht="49" customHeight="1" s="173">
      <c r="A6" s="323" t="inlineStr">
        <is>
          <t>n</t>
        </is>
      </c>
      <c r="B6" s="324" t="n">
        <v>2</v>
      </c>
      <c r="C6" s="325" t="n">
        <v>0</v>
      </c>
      <c r="D6" s="325" t="inlineStr">
        <is>
          <t>Verify each error entry carries the required fields</t>
        </is>
      </c>
      <c r="E6" s="325" t="n"/>
      <c r="F6" s="325" t="n"/>
      <c r="G6" s="325" t="n"/>
      <c r="H6" s="325" t="n"/>
      <c r="I6" s="325" t="inlineStr">
        <is>
          <t>n</t>
        </is>
      </c>
      <c r="J6" s="325" t="inlineStr">
        <is>
          <t>OPC 40450-1 Section 10.5 Table 216 (ErrorInformationDataType)</t>
        </is>
      </c>
      <c r="K6" s="326" t="n"/>
    </row>
    <row r="7" ht="64" customHeight="1" s="173">
      <c r="A7" s="307" t="n"/>
      <c r="B7" s="307" t="n"/>
      <c r="C7" s="307" t="n">
        <v>1</v>
      </c>
      <c r="D7" s="307" t="inlineStr">
        <is>
          <t>For a single result whose FailureReason = 3 (NOT_OK_REASON_ERROR), inspect each ErrorInformationDataType in ResultContent.Errors.</t>
        </is>
      </c>
      <c r="E7" s="307" t="inlineStr">
        <is>
          <t>A single result with external errors is available.</t>
        </is>
      </c>
      <c r="F7" s="307" t="inlineStr">
        <is>
          <t>Each error entry carries ErrorType (0 UNDEFINED, 1 OTHER, 2 HARDWARE, 3 PROCESS, 4 OPERATOR, 5 SYSTEM, 6 SAFETY) and ErrorMessage (LocalizedText). Examples: Tool Trigger Lost, Tool Overheat.</t>
        </is>
      </c>
      <c r="G7" s="307" t="inlineStr">
        <is>
          <t>Good</t>
        </is>
      </c>
      <c r="H7" s="307" t="inlineStr">
        <is>
          <t>Good</t>
        </is>
      </c>
      <c r="I7" s="307" t="n"/>
      <c r="J7" s="307" t="inlineStr">
        <is>
          <t>OPC 40450-1 Section 10.5 Table 216 (ErrorInformationDataType)</t>
        </is>
      </c>
      <c r="K7" s="307" t="n"/>
    </row>
    <row r="8" ht="34" customHeight="1" s="173"/>
    <row r="9" ht="79" customHeight="1" s="173"/>
    <row r="10" ht="34" customHeight="1" s="173"/>
    <row r="11" ht="79" customHeight="1" s="173"/>
    <row r="12" ht="34" customHeight="1" s="173"/>
    <row r="13" ht="64" customHeight="1" s="173"/>
    <row r="14" ht="34" customHeight="1" s="173"/>
    <row r="15" ht="49" customHeight="1" s="173"/>
    <row r="16" ht="20.05" customHeight="1" s="173"/>
    <row r="17" ht="34" customHeight="1" s="173"/>
    <row r="18" ht="49" customHeight="1" s="173"/>
    <row r="19" ht="34" customHeight="1" s="173"/>
    <row r="20" ht="49" customHeight="1" s="173"/>
    <row r="21" ht="34" customHeight="1" s="173"/>
    <row r="22" ht="49" customHeight="1" s="173"/>
    <row r="23" ht="34" customHeight="1" s="173"/>
    <row r="24" ht="49" customHeight="1" s="173"/>
    <row r="26" ht="25.8" customHeight="1" s="173"/>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4">
    <tabColor rgb="FF2E75B6"/>
    <outlinePr summaryBelow="1" summaryRight="1"/>
    <pageSetUpPr/>
  </sheetPr>
  <dimension ref="A1:N9"/>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CU-23: IJT Joining Result Trace</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CU-23 — IJT Joining Result Trace</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n</t>
        </is>
      </c>
      <c r="B4" s="303" t="n">
        <v>1</v>
      </c>
      <c r="C4" s="304" t="n">
        <v>0</v>
      </c>
      <c r="D4" s="304" t="inlineStr">
        <is>
          <t>Verify the Trace field and its top-level fields</t>
        </is>
      </c>
      <c r="E4" s="304" t="n"/>
      <c r="F4" s="304" t="n"/>
      <c r="G4" s="304" t="n"/>
      <c r="H4" s="304" t="n"/>
      <c r="I4" s="304" t="inlineStr">
        <is>
          <t>n</t>
        </is>
      </c>
      <c r="J4" s="304" t="inlineStr">
        <is>
          <t>OPC 40450-1 Section 10.7 Table 220 (JoiningTraceDataType)</t>
        </is>
      </c>
      <c r="K4" s="305" t="n"/>
    </row>
    <row r="5" ht="49" customFormat="1" customHeight="1" s="2">
      <c r="A5" s="329" t="n"/>
      <c r="B5" s="307" t="n"/>
      <c r="C5" s="307" t="n">
        <v>1</v>
      </c>
      <c r="D5" s="307" t="inlineStr">
        <is>
          <t>For a received single result that carries a Trace, inspect ResultContent.Trace (JoiningTraceDataType).</t>
        </is>
      </c>
      <c r="E5" s="307" t="inlineStr">
        <is>
          <t>A single result with a Trace is available.</t>
        </is>
      </c>
      <c r="F5" s="307" t="inlineStr">
        <is>
          <t>Trace carries TraceId (TrimmedString), ResultId (TrimmedString, matching the result) and StepTraces (StepTraceDataType[], non-empty).</t>
        </is>
      </c>
      <c r="G5" s="307" t="inlineStr">
        <is>
          <t>Good</t>
        </is>
      </c>
      <c r="H5" s="307" t="inlineStr">
        <is>
          <t>Good</t>
        </is>
      </c>
      <c r="I5" s="307" t="n"/>
      <c r="J5" s="307" t="inlineStr">
        <is>
          <t>OPC 40450-1 Section 10.7 Table 220 (JoiningTraceDataType)</t>
        </is>
      </c>
      <c r="K5" s="332" t="n"/>
    </row>
    <row r="6" ht="49" customHeight="1" s="173">
      <c r="A6" s="323" t="inlineStr">
        <is>
          <t>n</t>
        </is>
      </c>
      <c r="B6" s="324" t="n">
        <v>2</v>
      </c>
      <c r="C6" s="325" t="n">
        <v>0</v>
      </c>
      <c r="D6" s="325" t="inlineStr">
        <is>
          <t>Verify each StepTrace carries the required fields</t>
        </is>
      </c>
      <c r="E6" s="325" t="n"/>
      <c r="F6" s="325" t="n"/>
      <c r="G6" s="325" t="n"/>
      <c r="H6" s="325" t="n"/>
      <c r="I6" s="325" t="inlineStr">
        <is>
          <t>n</t>
        </is>
      </c>
      <c r="J6" s="325" t="inlineStr">
        <is>
          <t>OPC 40450-1 Section 10.8 Table 222 (StepTraceDataType)</t>
        </is>
      </c>
      <c r="K6" s="326" t="n"/>
    </row>
    <row r="7" ht="64" customHeight="1" s="173">
      <c r="A7" s="307" t="n"/>
      <c r="B7" s="307" t="n"/>
      <c r="C7" s="307" t="n">
        <v>1</v>
      </c>
      <c r="D7" s="307" t="inlineStr">
        <is>
          <t>For each StepTraceDataType in Trace.StepTraces, inspect its fields.</t>
        </is>
      </c>
      <c r="E7" s="307" t="inlineStr">
        <is>
          <t>A Trace with step traces is available.</t>
        </is>
      </c>
      <c r="F7" s="307" t="inlineStr">
        <is>
          <t>Each StepTrace carries StepTraceId, StepResultId (linking to a StepResult), NumberOfTracePoints (UInt32), StepTraceContent (TraceContentDataType[]), and at least one of StartTimeOffset or SamplingInterval.</t>
        </is>
      </c>
      <c r="G7" s="307" t="inlineStr">
        <is>
          <t>Good</t>
        </is>
      </c>
      <c r="H7" s="307" t="inlineStr">
        <is>
          <t>Good</t>
        </is>
      </c>
      <c r="I7" s="307" t="n"/>
      <c r="J7" s="307" t="inlineStr">
        <is>
          <t>OPC 40450-1 Section 10.8 Table 222 (StepTraceDataType)</t>
        </is>
      </c>
      <c r="K7" s="307" t="n"/>
    </row>
    <row r="8" ht="49" customHeight="1" s="173">
      <c r="A8" s="313" t="inlineStr">
        <is>
          <t>n</t>
        </is>
      </c>
      <c r="B8" s="313" t="n">
        <v>3</v>
      </c>
      <c r="C8" s="313" t="n">
        <v>0</v>
      </c>
      <c r="D8" s="313" t="inlineStr">
        <is>
          <t>Verify the StepTraceContent samples</t>
        </is>
      </c>
      <c r="E8" s="313" t="n"/>
      <c r="F8" s="313" t="n"/>
      <c r="G8" s="313" t="n"/>
      <c r="H8" s="313" t="n"/>
      <c r="I8" s="313" t="inlineStr">
        <is>
          <t>n</t>
        </is>
      </c>
      <c r="J8" s="313" t="inlineStr">
        <is>
          <t>OPC 40450-1 Section 10.9 Table 224 (TraceContentDataType)</t>
        </is>
      </c>
      <c r="K8" s="313" t="n"/>
    </row>
    <row r="9" ht="79" customHeight="1" s="173">
      <c r="A9" s="307" t="n"/>
      <c r="B9" s="307" t="n"/>
      <c r="C9" s="307" t="n">
        <v>1</v>
      </c>
      <c r="D9" s="307" t="inlineStr">
        <is>
          <t>For each StepTraceContent element, inspect its samples and descriptors.</t>
        </is>
      </c>
      <c r="E9" s="307" t="inlineStr">
        <is>
          <t>A StepTrace with content is available.</t>
        </is>
      </c>
      <c r="F9" s="307" t="inlineStr">
        <is>
          <t>Each element carries Values (Double[]) whose length equals NumberOfTracePoints, plus Name and PhysicalQuantity. The number of StepTraceContent elements corresponds to the physical quantities configured in the joining process.</t>
        </is>
      </c>
      <c r="G9" s="307" t="inlineStr">
        <is>
          <t>Good</t>
        </is>
      </c>
      <c r="H9" s="307" t="inlineStr">
        <is>
          <t>Good</t>
        </is>
      </c>
      <c r="I9" s="307" t="n"/>
      <c r="J9" s="307" t="inlineStr">
        <is>
          <t>OPC 40450-1 Section 10.9 Table 224 (TraceContentDataType)</t>
        </is>
      </c>
      <c r="K9" s="307" t="n"/>
    </row>
    <row r="10" ht="34" customHeight="1" s="173"/>
    <row r="11" ht="79" customHeight="1" s="173"/>
    <row r="12" ht="34" customHeight="1" s="173"/>
    <row r="13" ht="64" customHeight="1" s="173"/>
    <row r="14" ht="34" customHeight="1" s="173"/>
    <row r="15" ht="90" customHeight="1" s="173"/>
    <row r="16" ht="34" customHeight="1" s="173"/>
    <row r="17" ht="49" customHeight="1" s="173"/>
    <row r="18" ht="20.05" customHeight="1" s="173"/>
    <row r="19" ht="34" customHeight="1" s="173"/>
    <row r="20" ht="64" customHeight="1" s="173"/>
    <row r="21" ht="34" customHeight="1" s="173"/>
    <row r="22" ht="79" customHeight="1" s="173"/>
    <row r="23" ht="34" customHeight="1" s="173"/>
    <row r="24" ht="49" customHeight="1" s="173"/>
    <row r="25" ht="34" customHeight="1" s="173"/>
    <row r="26" ht="49" customHeight="1" s="173"/>
    <row r="27" ht="34" customHeight="1" s="173"/>
    <row r="28" ht="49" customHeight="1" s="173"/>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5">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CU-24: IJT Result Value Trace Point Time Offset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CU-24 — IJT Result Value Trace Point Time Offset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n</t>
        </is>
      </c>
      <c r="B4" s="303" t="n">
        <v>1</v>
      </c>
      <c r="C4" s="304" t="n">
        <v>0</v>
      </c>
      <c r="D4" s="304" t="inlineStr">
        <is>
          <t>Verify StartTimeOffset is present on a step result</t>
        </is>
      </c>
      <c r="E4" s="304" t="n"/>
      <c r="F4" s="304" t="n"/>
      <c r="G4" s="304" t="n"/>
      <c r="H4" s="304" t="n"/>
      <c r="I4" s="304" t="inlineStr">
        <is>
          <t>n</t>
        </is>
      </c>
      <c r="J4" s="304" t="inlineStr">
        <is>
          <t>OPC 40450-1 Section 10.4 Table 214 (StepResultDataType)</t>
        </is>
      </c>
      <c r="K4" s="305" t="n"/>
    </row>
    <row r="5" ht="49" customFormat="1" customHeight="1" s="2">
      <c r="A5" s="329" t="n"/>
      <c r="B5" s="307" t="n"/>
      <c r="C5" s="307" t="n">
        <v>1</v>
      </c>
      <c r="D5" s="307" t="inlineStr">
        <is>
          <t>For a received single result with step results, inspect StepResults[].StartTimeOffset.</t>
        </is>
      </c>
      <c r="E5" s="307" t="inlineStr">
        <is>
          <t>A single result with step results is available.</t>
        </is>
      </c>
      <c r="F5" s="307" t="inlineStr">
        <is>
          <t>At least one StepResults[] element carries StartTimeOffset (Duration), the offset to ProcessingTimes.StartTime used to order step execution.</t>
        </is>
      </c>
      <c r="G5" s="307" t="inlineStr">
        <is>
          <t>Good</t>
        </is>
      </c>
      <c r="H5" s="307" t="inlineStr">
        <is>
          <t>Good</t>
        </is>
      </c>
      <c r="I5" s="307" t="n"/>
      <c r="J5" s="307" t="inlineStr">
        <is>
          <t>OPC 40450-1 Section 10.4 Table 214 (StepResultDataType)</t>
        </is>
      </c>
      <c r="K5" s="332" t="n"/>
    </row>
    <row r="6" ht="49" customHeight="1" s="173">
      <c r="A6" s="323" t="inlineStr">
        <is>
          <t>n</t>
        </is>
      </c>
      <c r="B6" s="324" t="n">
        <v>2</v>
      </c>
      <c r="C6" s="325" t="n">
        <v>0</v>
      </c>
      <c r="D6" s="325" t="inlineStr">
        <is>
          <t>Verify TracePointTimeOffset locates a value when no index is used</t>
        </is>
      </c>
      <c r="E6" s="325" t="n"/>
      <c r="F6" s="325" t="n"/>
      <c r="G6" s="325" t="n"/>
      <c r="H6" s="325" t="n"/>
      <c r="I6" s="325" t="inlineStr">
        <is>
          <t>n</t>
        </is>
      </c>
      <c r="J6" s="325" t="inlineStr">
        <is>
          <t>OPC 40450-1 Section 10.3 Table 212 (ResultValueDataType)</t>
        </is>
      </c>
      <c r="K6" s="326" t="n"/>
    </row>
    <row r="7" ht="64" customHeight="1" s="173">
      <c r="A7" s="307" t="n"/>
      <c r="B7" s="307" t="n"/>
      <c r="C7" s="307" t="n">
        <v>1</v>
      </c>
      <c r="D7" s="307" t="inlineStr">
        <is>
          <t>For a step result value that is trace-linked by time rather than by index, inspect TracePointTimeOffset.</t>
        </is>
      </c>
      <c r="E7" s="307" t="inlineStr">
        <is>
          <t>A step result value linked to the trace by time offset is available.</t>
        </is>
      </c>
      <c r="F7" s="307" t="inlineStr">
        <is>
          <t>At least one StepResults[].StepResultValues[] element carries TracePointTimeOffset (Duration) locating the value within the trace by time; it is used when TracePointIndex is not available.</t>
        </is>
      </c>
      <c r="G7" s="307" t="inlineStr">
        <is>
          <t>Good</t>
        </is>
      </c>
      <c r="H7" s="307" t="inlineStr">
        <is>
          <t>Good</t>
        </is>
      </c>
      <c r="I7" s="307" t="n"/>
      <c r="J7" s="307" t="inlineStr">
        <is>
          <t>OPC 40450-1 Section 10.3 Table 212 (ResultValueDataType)</t>
        </is>
      </c>
      <c r="K7" s="307" t="inlineStr">
        <is>
          <t>Applies when a value is linked to the trace by time offset rather than by index.</t>
        </is>
      </c>
    </row>
    <row r="8" ht="34" customHeight="1" s="173"/>
    <row r="9" ht="90" customHeight="1" s="173"/>
    <row r="10" ht="34" customHeight="1" s="173"/>
    <row r="11" ht="64" customHeight="1" s="173"/>
    <row r="12" ht="34" customHeight="1" s="173"/>
    <row r="13" ht="79" customHeight="1" s="173"/>
    <row r="14" ht="20.05" customHeight="1" s="173"/>
    <row r="15" ht="34" customHeight="1" s="173"/>
    <row r="16" ht="64" customHeight="1" s="173"/>
    <row r="17" ht="34" customHeight="1" s="173"/>
    <row r="18" ht="34" customHeight="1" s="173"/>
    <row r="19" ht="34" customHeight="1" s="173"/>
    <row r="20" ht="49" customHeight="1" s="173"/>
    <row r="21" ht="34" customHeight="1" s="173"/>
    <row r="22" ht="49" customHeight="1" s="173"/>
    <row r="23" ht="34" customHeight="1" s="173"/>
    <row r="24" ht="64" customHeight="1" s="173"/>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6">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CU-25: IJT Result Value Trace Point Index</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CU-25 — IJT Result Value Trace Point Index</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n</t>
        </is>
      </c>
      <c r="B4" s="303" t="n">
        <v>1</v>
      </c>
      <c r="C4" s="304" t="n">
        <v>0</v>
      </c>
      <c r="D4" s="304" t="inlineStr">
        <is>
          <t>Verify TracePointIndex points to a trace sample</t>
        </is>
      </c>
      <c r="E4" s="304" t="n"/>
      <c r="F4" s="304" t="n"/>
      <c r="G4" s="304" t="n"/>
      <c r="H4" s="304" t="n"/>
      <c r="I4" s="304" t="inlineStr">
        <is>
          <t>n</t>
        </is>
      </c>
      <c r="J4" s="304" t="inlineStr">
        <is>
          <t>OPC 40450-1 Section 10.3 Table 212 (ResultValueDataType)</t>
        </is>
      </c>
      <c r="K4" s="305" t="n"/>
    </row>
    <row r="5" ht="79" customFormat="1" customHeight="1" s="2">
      <c r="A5" s="329" t="n"/>
      <c r="B5" s="307" t="n"/>
      <c r="C5" s="307" t="n">
        <v>1</v>
      </c>
      <c r="D5" s="307" t="inlineStr">
        <is>
          <t>For a received single result, inspect StepResults[].StepResultValues[].TracePointIndex and its associated StepTraceContent.</t>
        </is>
      </c>
      <c r="E5" s="307" t="inlineStr">
        <is>
          <t>A single result whose step result values are linked to the trace by index is available.</t>
        </is>
      </c>
      <c r="F5" s="307" t="inlineStr">
        <is>
          <t>At least one StepResultValues[] element carries TracePointIndex (Int32) with 0 &lt;= TracePointIndex &lt; NumberOfTracePoints, indexing into the associated StepTraceContent[].Values[] array to identify the specific trace sample for the value.</t>
        </is>
      </c>
      <c r="G5" s="307" t="inlineStr">
        <is>
          <t>Good</t>
        </is>
      </c>
      <c r="H5" s="307" t="inlineStr">
        <is>
          <t>Good</t>
        </is>
      </c>
      <c r="I5" s="307" t="n"/>
      <c r="J5" s="307" t="inlineStr">
        <is>
          <t>OPC 40450-1 Section 10.3 Table 212 (ResultValueDataType)</t>
        </is>
      </c>
      <c r="K5" s="332" t="n"/>
    </row>
    <row r="6" ht="34" customHeight="1" s="173"/>
    <row r="7" ht="64" customHeight="1" s="173"/>
    <row r="8" ht="34" customHeight="1" s="173"/>
    <row r="9" ht="79" customHeight="1" s="173"/>
    <row r="10" ht="34" customHeight="1" s="173"/>
    <row r="11" ht="49" customHeight="1" s="173"/>
    <row r="12" ht="34" customHeight="1" s="173"/>
    <row r="13" ht="79" customHeight="1" s="173"/>
    <row r="14" ht="20.05" customHeight="1" s="173"/>
    <row r="15" ht="34" customHeight="1" s="173"/>
    <row r="16" ht="64" customHeight="1" s="173"/>
    <row r="17" ht="34" customHeight="1" s="173"/>
    <row r="18" ht="49" customHeight="1" s="173"/>
    <row r="19" ht="34" customHeight="1" s="173"/>
    <row r="20" ht="49" customHeight="1" s="173"/>
    <row r="21" ht="34" customHeight="1" s="173"/>
    <row r="22" ht="49" customHeight="1" s="173"/>
    <row r="23" ht="34" customHeight="1" s="173"/>
    <row r="24" ht="49" customHeight="1" s="173"/>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8">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CU-26: IJT Sync Result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CU-26 — IJT Sync Result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n</t>
        </is>
      </c>
      <c r="B4" s="303" t="n">
        <v>1</v>
      </c>
      <c r="C4" s="304" t="n">
        <v>0</v>
      </c>
      <c r="D4" s="304" t="inlineStr">
        <is>
          <t>Verify a Sync Result is reported with Classification SYNC_RESULT</t>
        </is>
      </c>
      <c r="E4" s="304" t="n"/>
      <c r="F4" s="304" t="n"/>
      <c r="G4" s="304" t="n"/>
      <c r="H4" s="304" t="n"/>
      <c r="I4" s="304" t="inlineStr">
        <is>
          <t>n</t>
        </is>
      </c>
      <c r="J4" s="304" t="inlineStr">
        <is>
          <t>OPC 40450-1 Section 10.1 Table 208</t>
        </is>
      </c>
      <c r="K4" s="305" t="n"/>
    </row>
    <row r="5" ht="34" customFormat="1" customHeight="1" s="2">
      <c r="A5" s="329" t="n"/>
      <c r="B5" s="307" t="n"/>
      <c r="C5" s="307" t="n">
        <v>1</v>
      </c>
      <c r="D5" s="307" t="inlineStr">
        <is>
          <t>Obtain a result produced by a synchronized process and read ResultMetaData.Classification.</t>
        </is>
      </c>
      <c r="E5" s="307" t="inlineStr">
        <is>
          <t>Server claims the IJT Sync Result CU and a synchronized joining process is available.</t>
        </is>
      </c>
      <c r="F5" s="307" t="inlineStr">
        <is>
          <t>Classification = 2 (SYNC_RESULT), representing a group of results from a synchronized process.</t>
        </is>
      </c>
      <c r="G5" s="307" t="inlineStr">
        <is>
          <t>Good</t>
        </is>
      </c>
      <c r="H5" s="307" t="inlineStr">
        <is>
          <t>Good</t>
        </is>
      </c>
      <c r="I5" s="307" t="n"/>
      <c r="J5" s="307" t="inlineStr">
        <is>
          <t>OPC 40450-1 Section 10.1 Table 208</t>
        </is>
      </c>
      <c r="K5" s="332" t="n"/>
    </row>
    <row r="6" ht="34" customHeight="1" s="173"/>
    <row r="7" ht="64" customHeight="1" s="173"/>
    <row r="8" ht="34" customHeight="1" s="173"/>
    <row r="9" ht="79" customHeight="1" s="173"/>
    <row r="10" ht="34" customHeight="1" s="173"/>
    <row r="11" ht="49" customHeight="1" s="173"/>
    <row r="12" ht="34" customHeight="1" s="173"/>
    <row r="13" ht="49" customHeight="1" s="173"/>
    <row r="14" ht="34" customHeight="1" s="173"/>
    <row r="15" ht="49" customHeight="1" s="173"/>
    <row r="16" ht="20.05" customHeight="1" s="173"/>
    <row r="17" ht="34" customHeight="1" s="173"/>
    <row r="18" ht="64" customHeight="1" s="173"/>
    <row r="19" ht="34" customHeight="1" s="173"/>
    <row r="20" ht="64" customHeight="1" s="173"/>
    <row r="21" ht="34" customHeight="1" s="173"/>
    <row r="22" ht="34" customHeight="1" s="173"/>
    <row r="23" ht="60" customHeight="1" s="173"/>
    <row r="24" ht="49" customHeight="1" s="173"/>
    <row r="25" ht="60" customHeight="1" s="173"/>
    <row r="26" ht="79" customHeight="1" s="173"/>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9">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CU-27: IJT Sync Result Counters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CU-27 — IJT Sync Result Counters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n</t>
        </is>
      </c>
      <c r="B4" s="303" t="n">
        <v>1</v>
      </c>
      <c r="C4" s="304" t="n">
        <v>0</v>
      </c>
      <c r="D4" s="304" t="inlineStr">
        <is>
          <t>Verify the sync result carries a channel or spindle counter</t>
        </is>
      </c>
      <c r="E4" s="304" t="n"/>
      <c r="F4" s="304" t="n"/>
      <c r="G4" s="304" t="n"/>
      <c r="H4" s="304" t="n"/>
      <c r="I4" s="304" t="inlineStr">
        <is>
          <t>n</t>
        </is>
      </c>
      <c r="J4" s="304" t="inlineStr">
        <is>
          <t>OPC 40450-1 Section 10.11 Table 228 (ResultCounterDataType)</t>
        </is>
      </c>
      <c r="K4" s="305" t="n"/>
    </row>
    <row r="5" ht="49" customFormat="1" customHeight="1" s="2">
      <c r="A5" s="329" t="n"/>
      <c r="B5" s="307" t="n"/>
      <c r="C5" s="307" t="n">
        <v>1</v>
      </c>
      <c r="D5" s="307" t="inlineStr">
        <is>
          <t>For a SYNC_RESULT, inspect ResultMetaData.ResultCounters (ResultCounterDataType[]).</t>
        </is>
      </c>
      <c r="E5" s="307" t="inlineStr">
        <is>
          <t>A Sync Result is available.</t>
        </is>
      </c>
      <c r="F5" s="307" t="inlineStr">
        <is>
          <t>At least one counter has CounterType = 6 (CHANNEL_NUMBER) or 7 (SPINDLE_NUMBER), each with a CounterValue (UInt32).</t>
        </is>
      </c>
      <c r="G5" s="307" t="inlineStr">
        <is>
          <t>Good</t>
        </is>
      </c>
      <c r="H5" s="307" t="inlineStr">
        <is>
          <t>Good</t>
        </is>
      </c>
      <c r="I5" s="307" t="n"/>
      <c r="J5" s="307" t="inlineStr">
        <is>
          <t>OPC 40450-1 Section 10.11 Table 228 (ResultCounterDataType)</t>
        </is>
      </c>
      <c r="K5" s="332" t="n"/>
    </row>
    <row r="6" ht="34" customHeight="1" s="173"/>
    <row r="7" ht="79" customHeight="1" s="173"/>
    <row r="8" ht="34" customHeight="1" s="173"/>
    <row r="9" ht="64" customHeight="1" s="173"/>
    <row r="10" ht="34" customHeight="1" s="173"/>
    <row r="11" ht="90" customHeight="1" s="173"/>
    <row r="12" ht="34" customHeight="1" s="173"/>
    <row r="13" ht="49" customHeight="1" s="173"/>
    <row r="14" ht="20.05" customHeight="1" s="173"/>
    <row r="15" ht="34" customHeight="1" s="173"/>
    <row r="16" ht="64" customHeight="1" s="173"/>
    <row r="17" ht="34" customHeight="1" s="173"/>
    <row r="18" ht="49" customHeight="1" s="173"/>
    <row r="19" ht="60" customHeight="1" s="173"/>
    <row r="20" ht="49" customHeight="1" s="173"/>
    <row r="21" ht="34" customHeight="1" s="173"/>
    <row r="22" ht="49" customHeight="1" s="173"/>
    <row r="23" ht="34" customHeight="1" s="173"/>
    <row r="24" ht="49" customHeight="1" s="173"/>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31">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CU-28: IJT Batch Result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CU-28 — IJT Batch Result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n</t>
        </is>
      </c>
      <c r="B4" s="303" t="n">
        <v>1</v>
      </c>
      <c r="C4" s="304" t="n">
        <v>0</v>
      </c>
      <c r="D4" s="304" t="inlineStr">
        <is>
          <t>Verify a Batch Result is reported with Classification BATCH_RESULT</t>
        </is>
      </c>
      <c r="E4" s="304" t="n"/>
      <c r="F4" s="304" t="n"/>
      <c r="G4" s="304" t="n"/>
      <c r="H4" s="304" t="n"/>
      <c r="I4" s="304" t="inlineStr">
        <is>
          <t>n</t>
        </is>
      </c>
      <c r="J4" s="304" t="inlineStr">
        <is>
          <t>OPC 40450-1 Section 10.1 Table 208</t>
        </is>
      </c>
      <c r="K4" s="305" t="n"/>
    </row>
    <row r="5" ht="34" customFormat="1" customHeight="1" s="2">
      <c r="A5" s="329" t="n"/>
      <c r="B5" s="307" t="n"/>
      <c r="C5" s="307" t="n">
        <v>1</v>
      </c>
      <c r="D5" s="307" t="inlineStr">
        <is>
          <t>Obtain a result produced by a batch process and read ResultMetaData.Classification.</t>
        </is>
      </c>
      <c r="E5" s="307" t="inlineStr">
        <is>
          <t>Server claims the IJT Batch Result CU and a batch joining process is available.</t>
        </is>
      </c>
      <c r="F5" s="307" t="inlineStr">
        <is>
          <t>Classification = 3 (BATCH_RESULT), representing a group of results done with the same program.</t>
        </is>
      </c>
      <c r="G5" s="307" t="inlineStr">
        <is>
          <t>Good</t>
        </is>
      </c>
      <c r="H5" s="307" t="inlineStr">
        <is>
          <t>Good</t>
        </is>
      </c>
      <c r="I5" s="307" t="n"/>
      <c r="J5" s="307" t="inlineStr">
        <is>
          <t>OPC 40450-1 Section 10.1 Table 208</t>
        </is>
      </c>
      <c r="K5" s="332" t="n"/>
    </row>
    <row r="6" ht="34" customHeight="1" s="173"/>
    <row r="7" ht="64" customHeight="1" s="173"/>
    <row r="8" ht="34" customHeight="1" s="173"/>
    <row r="9" ht="64" customHeight="1" s="173"/>
    <row r="10" ht="34" customHeight="1" s="173"/>
    <row r="11" ht="34" customHeight="1" s="173"/>
    <row r="12" ht="34" customHeight="1" s="173"/>
    <row r="13" ht="34" customHeight="1" s="173"/>
    <row r="14" ht="49" customHeight="1" s="173"/>
    <row r="15" ht="64" customHeight="1" s="173"/>
    <row r="16" ht="20.05" customHeight="1" s="173"/>
    <row r="17" ht="34" customHeight="1" s="173"/>
    <row r="18" ht="90" customHeight="1" s="173"/>
    <row r="19" ht="34" customHeight="1" s="173"/>
    <row r="20" ht="34" customHeight="1" s="173"/>
    <row r="21" ht="34" customHeight="1" s="173"/>
    <row r="22" ht="49" customHeight="1" s="173"/>
    <row r="23" ht="34" customHeight="1" s="173"/>
    <row r="24" ht="64" customHeight="1" s="173"/>
    <row r="26" ht="51.6" customHeight="1" s="173"/>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32">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CU-29: IJT Intervention Result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CU-29 — IJT Intervention Result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n</t>
        </is>
      </c>
      <c r="B4" s="303" t="n">
        <v>1</v>
      </c>
      <c r="C4" s="304" t="n">
        <v>0</v>
      </c>
      <c r="D4" s="304" t="inlineStr">
        <is>
          <t>Verify an Intervention Result is reported with Classification INTERVENTION_RESULT</t>
        </is>
      </c>
      <c r="E4" s="304" t="n"/>
      <c r="F4" s="304" t="n"/>
      <c r="G4" s="304" t="n"/>
      <c r="H4" s="304" t="n"/>
      <c r="I4" s="304" t="inlineStr">
        <is>
          <t>n</t>
        </is>
      </c>
      <c r="J4" s="304" t="inlineStr">
        <is>
          <t>OPC 40450-1 Section 10.1 Table 208</t>
        </is>
      </c>
      <c r="K4" s="305" t="n"/>
    </row>
    <row r="5" ht="34" customFormat="1" customHeight="1" s="2">
      <c r="A5" s="329" t="n"/>
      <c r="B5" s="307" t="n"/>
      <c r="C5" s="307" t="n">
        <v>1</v>
      </c>
      <c r="D5" s="307" t="inlineStr">
        <is>
          <t>Obtain a result generated by an intervention during an operation and read ResultMetaData.Classification.</t>
        </is>
      </c>
      <c r="E5" s="307" t="inlineStr">
        <is>
          <t>Server claims the IJT Intervention Result CU and an intervention scenario is available.</t>
        </is>
      </c>
      <c r="F5" s="307" t="inlineStr">
        <is>
          <t>Classification = 6 (INTERVENTION_RESULT).</t>
        </is>
      </c>
      <c r="G5" s="307" t="inlineStr">
        <is>
          <t>Good</t>
        </is>
      </c>
      <c r="H5" s="307" t="inlineStr">
        <is>
          <t>Good</t>
        </is>
      </c>
      <c r="I5" s="307" t="n"/>
      <c r="J5" s="307" t="inlineStr">
        <is>
          <t>OPC 40450-1 Section 10.1 Table 208</t>
        </is>
      </c>
      <c r="K5" s="332" t="n"/>
    </row>
    <row r="6" ht="34" customHeight="1" s="173">
      <c r="A6" s="323" t="inlineStr">
        <is>
          <t>n</t>
        </is>
      </c>
      <c r="B6" s="324" t="n">
        <v>2</v>
      </c>
      <c r="C6" s="325" t="n">
        <v>0</v>
      </c>
      <c r="D6" s="325" t="inlineStr">
        <is>
          <t>Verify InterventionType is set for the intervention result</t>
        </is>
      </c>
      <c r="E6" s="325" t="n"/>
      <c r="F6" s="325" t="n"/>
      <c r="G6" s="325" t="n"/>
      <c r="H6" s="325" t="n"/>
      <c r="I6" s="325" t="inlineStr">
        <is>
          <t>n</t>
        </is>
      </c>
      <c r="J6" s="325" t="inlineStr">
        <is>
          <t>OPC 40450-1 Section 10.1 Table 208</t>
        </is>
      </c>
      <c r="K6" s="326" t="n"/>
    </row>
    <row r="7" ht="64" customHeight="1" s="173">
      <c r="A7" s="307" t="n"/>
      <c r="B7" s="307" t="n"/>
      <c r="C7" s="307" t="n">
        <v>1</v>
      </c>
      <c r="D7" s="307" t="inlineStr">
        <is>
          <t>Read ResultMetaData.InterventionType for the intervention result.</t>
        </is>
      </c>
      <c r="E7" s="307" t="inlineStr">
        <is>
          <t>An intervention result is available.</t>
        </is>
      </c>
      <c r="F7" s="307" t="inlineStr">
        <is>
          <t>InterventionType is present with a value appropriate to the operation: 1 OTHER, 2 INCREMENTED, 3 DECREMENTED, 4 BYPASSED, 5 ABORTED, 6 RESET or 7 MANUAL (not 0 UNDEFINED).</t>
        </is>
      </c>
      <c r="G7" s="307" t="inlineStr">
        <is>
          <t>Good</t>
        </is>
      </c>
      <c r="H7" s="307" t="inlineStr">
        <is>
          <t>Good</t>
        </is>
      </c>
      <c r="I7" s="307" t="n"/>
      <c r="J7" s="307" t="inlineStr">
        <is>
          <t>OPC 40450-1 Section 10.1 Table 208</t>
        </is>
      </c>
      <c r="K7" s="307" t="n"/>
    </row>
    <row r="8" ht="34" customHeight="1" s="173"/>
    <row r="9" ht="49" customHeight="1" s="173"/>
    <row r="10" ht="34" customHeight="1" s="173"/>
    <row r="11" ht="79" customHeight="1" s="173"/>
    <row r="12" ht="34" customHeight="1" s="173"/>
    <row r="13" ht="79" customHeight="1" s="173"/>
    <row r="14" ht="34" customHeight="1" s="173"/>
    <row r="15" ht="64" customHeight="1" s="173"/>
    <row r="16" ht="20.05" customHeight="1" s="173"/>
    <row r="17" ht="34" customHeight="1" s="173"/>
    <row r="18" ht="49" customHeight="1" s="173"/>
    <row r="19" ht="34" customHeight="1" s="173"/>
    <row r="20" ht="49" customHeight="1" s="173"/>
    <row r="21" ht="34" customHeight="1" s="173"/>
    <row r="22" ht="49" customHeight="1" s="173"/>
    <row r="23" ht="34" customHeight="1" s="173"/>
    <row r="24" ht="49" customHeight="1" s="173"/>
    <row r="25" ht="34" customHeight="1" s="173"/>
    <row r="26" ht="34" customHeight="1" s="173"/>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33">
    <tabColor rgb="FF2E75B6"/>
    <outlinePr summaryBelow="1" summaryRight="1"/>
    <pageSetUpPr/>
  </sheetPr>
  <dimension ref="A1:N5"/>
  <sheetViews>
    <sheetView workbookViewId="0">
      <pane ySplit="3" topLeftCell="A4" activePane="bottomLeft" state="frozen"/>
      <selection pane="bottomLeft" activeCell="A2" sqref="A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CU-30: IJT Batch Result Counters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CU-30 — IJT Batch Result Counters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n</t>
        </is>
      </c>
      <c r="B4" s="303" t="n">
        <v>1</v>
      </c>
      <c r="C4" s="304" t="n">
        <v>0</v>
      </c>
      <c r="D4" s="304" t="inlineStr">
        <is>
          <t>Verify the batch result carries a batch size or batch count counter</t>
        </is>
      </c>
      <c r="E4" s="304" t="n"/>
      <c r="F4" s="304" t="n"/>
      <c r="G4" s="304" t="n"/>
      <c r="H4" s="304" t="n"/>
      <c r="I4" s="304" t="inlineStr">
        <is>
          <t>n</t>
        </is>
      </c>
      <c r="J4" s="304" t="inlineStr">
        <is>
          <t>OPC 40450-1 Section 10.11 Table 228 (ResultCounterDataType)</t>
        </is>
      </c>
      <c r="K4" s="305" t="n"/>
    </row>
    <row r="5" ht="49" customFormat="1" customHeight="1" s="2">
      <c r="A5" s="329" t="n"/>
      <c r="B5" s="307" t="n"/>
      <c r="C5" s="307" t="n">
        <v>1</v>
      </c>
      <c r="D5" s="307" t="inlineStr">
        <is>
          <t>For a BATCH_RESULT, inspect ResultMetaData.ResultCounters (ResultCounterDataType[]).</t>
        </is>
      </c>
      <c r="E5" s="307" t="inlineStr">
        <is>
          <t>A Batch Result is available.</t>
        </is>
      </c>
      <c r="F5" s="307" t="inlineStr">
        <is>
          <t>At least one counter has CounterType = 2 (BATCH_SIZE) or 3 (BATCH_COUNT), each with a CounterValue (UInt32).</t>
        </is>
      </c>
      <c r="G5" s="307" t="inlineStr">
        <is>
          <t>Good</t>
        </is>
      </c>
      <c r="H5" s="307" t="inlineStr">
        <is>
          <t>Good</t>
        </is>
      </c>
      <c r="I5" s="307" t="n"/>
      <c r="J5" s="307" t="inlineStr">
        <is>
          <t>OPC 40450-1 Section 10.11 Table 228 (ResultCounterDataType)</t>
        </is>
      </c>
      <c r="K5" s="332" t="n"/>
    </row>
    <row r="6" ht="34" customHeight="1" s="173"/>
    <row r="7" ht="64" customHeight="1" s="173"/>
    <row r="8" ht="34" customHeight="1" s="173"/>
    <row r="9" ht="64" customHeight="1" s="173"/>
    <row r="10" ht="34" customHeight="1" s="173"/>
    <row r="11" ht="49" customHeight="1" s="173"/>
    <row r="12" ht="34" customHeight="1" s="173"/>
    <row r="13" ht="49" customHeight="1" s="173"/>
    <row r="14" ht="20.05" customHeight="1" s="173"/>
    <row r="15" ht="34" customHeight="1" s="173"/>
    <row r="16" ht="64" customHeight="1" s="173"/>
    <row r="17" ht="34" customHeight="1" s="173"/>
    <row r="18" ht="34" customHeight="1" s="173"/>
    <row r="19" ht="60" customHeight="1" s="173"/>
    <row r="20" ht="49" customHeight="1" s="173"/>
    <row r="21" ht="34" customHeight="1" s="173"/>
    <row r="22" ht="49" customHeight="1" s="173"/>
    <row r="23" ht="34" customHeight="1" s="173"/>
    <row r="24" ht="49" customHeight="1" s="173"/>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4">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CU-31: IJT Job Result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CU-31 — IJT Job Result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n</t>
        </is>
      </c>
      <c r="B4" s="303" t="n">
        <v>1</v>
      </c>
      <c r="C4" s="304" t="n">
        <v>0</v>
      </c>
      <c r="D4" s="304" t="inlineStr">
        <is>
          <t>Verify a Job Result is reported with Classification JOB_RESULT</t>
        </is>
      </c>
      <c r="E4" s="304" t="n"/>
      <c r="F4" s="304" t="n"/>
      <c r="G4" s="304" t="n"/>
      <c r="H4" s="304" t="n"/>
      <c r="I4" s="304" t="inlineStr">
        <is>
          <t>n</t>
        </is>
      </c>
      <c r="J4" s="304" t="inlineStr">
        <is>
          <t>OPC 40450-1 Section 10.1 Table 208</t>
        </is>
      </c>
      <c r="K4" s="305" t="n"/>
    </row>
    <row r="5" ht="34" customFormat="1" customHeight="1" s="2">
      <c r="A5" s="329" t="n"/>
      <c r="B5" s="307" t="n"/>
      <c r="C5" s="307" t="n">
        <v>1</v>
      </c>
      <c r="D5" s="307" t="inlineStr">
        <is>
          <t>Obtain a result produced by a job and read ResultMetaData.Classification.</t>
        </is>
      </c>
      <c r="E5" s="307" t="inlineStr">
        <is>
          <t>Server claims the IJT Job Result CU and a job joining process is available.</t>
        </is>
      </c>
      <c r="F5" s="307" t="inlineStr">
        <is>
          <t>Classification = 4 (JOB_RESULT), representing a group of results done with different programs.</t>
        </is>
      </c>
      <c r="G5" s="307" t="inlineStr">
        <is>
          <t>Good</t>
        </is>
      </c>
      <c r="H5" s="307" t="inlineStr">
        <is>
          <t>Good</t>
        </is>
      </c>
      <c r="I5" s="307" t="n"/>
      <c r="J5" s="307" t="inlineStr">
        <is>
          <t>OPC 40450-1 Section 10.1 Table 208</t>
        </is>
      </c>
      <c r="K5" s="332" t="n"/>
    </row>
    <row r="6" ht="34" customHeight="1" s="173"/>
    <row r="7" ht="79" customHeight="1" s="173"/>
    <row r="8" ht="34" customHeight="1" s="173"/>
    <row r="9" ht="64" customHeight="1" s="173"/>
    <row r="10" ht="34" customHeight="1" s="173"/>
    <row r="11" ht="49" customHeight="1" s="173"/>
    <row r="12" ht="34" customHeight="1" s="173"/>
    <row r="13" ht="49" customHeight="1" s="173"/>
    <row r="14" ht="49" customHeight="1" s="173"/>
    <row r="15" ht="49" customHeight="1" s="173"/>
    <row r="16" ht="20.05" customHeight="1" s="173"/>
    <row r="17" ht="34" customHeight="1" s="173"/>
    <row r="18" ht="64" customHeight="1" s="173"/>
    <row r="19" ht="34" customHeight="1" s="173"/>
    <row r="20" ht="90" customHeight="1" s="173"/>
    <row r="21" ht="34" customHeight="1" s="173"/>
    <row r="22" ht="34" customHeight="1" s="173"/>
    <row r="23" ht="60" customHeight="1" s="173"/>
    <row r="24" ht="49" customHeight="1" s="173"/>
    <row r="25" ht="34" customHeight="1" s="173"/>
    <row r="26" ht="49" customHeight="1" s="173"/>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5">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CU-32: IJT Result Value FINAL Tag</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CU-32 — IJT Result Value FINAL Tag</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n</t>
        </is>
      </c>
      <c r="B4" s="303" t="n">
        <v>1</v>
      </c>
      <c r="C4" s="304" t="n">
        <v>0</v>
      </c>
      <c r="D4" s="304" t="inlineStr">
        <is>
          <t>Verify FINAL-tagged Torque and Angle step result values</t>
        </is>
      </c>
      <c r="E4" s="304" t="n"/>
      <c r="F4" s="304" t="n"/>
      <c r="G4" s="304" t="n"/>
      <c r="H4" s="304" t="n"/>
      <c r="I4" s="304" t="inlineStr">
        <is>
          <t>n</t>
        </is>
      </c>
      <c r="J4" s="304" t="inlineStr">
        <is>
          <t>OPC 40450-1 Section 10.3 Table 212 (ResultValueDataType)</t>
        </is>
      </c>
      <c r="K4" s="305" t="n"/>
    </row>
    <row r="5" ht="49" customFormat="1" customHeight="1" s="2">
      <c r="A5" s="329" t="n"/>
      <c r="B5" s="307" t="n"/>
      <c r="C5" s="307" t="n">
        <v>1</v>
      </c>
      <c r="D5" s="307" t="inlineStr">
        <is>
          <t>For a single result, inspect StepResults[].StepResultValues[] for the final Torque and Angle measurements.</t>
        </is>
      </c>
      <c r="E5" s="307" t="inlineStr">
        <is>
          <t>A single result with torque and angle step values is available.</t>
        </is>
      </c>
      <c r="F5" s="307" t="inlineStr">
        <is>
          <t>At least one Torque value and at least one Angle value carry ValueTag = 1 (FINAL), marking the final reported measurement.</t>
        </is>
      </c>
      <c r="G5" s="307" t="inlineStr">
        <is>
          <t>Good</t>
        </is>
      </c>
      <c r="H5" s="307" t="inlineStr">
        <is>
          <t>Good</t>
        </is>
      </c>
      <c r="I5" s="307" t="n"/>
      <c r="J5" s="307" t="inlineStr">
        <is>
          <t>OPC 40450-1 Section 10.3 Table 212 (ResultValueDataType)</t>
        </is>
      </c>
      <c r="K5" s="332" t="n"/>
    </row>
    <row r="6" ht="49" customHeight="1" s="173">
      <c r="A6" s="323" t="inlineStr">
        <is>
          <t>n</t>
        </is>
      </c>
      <c r="B6" s="324" t="n">
        <v>2</v>
      </c>
      <c r="C6" s="325" t="n">
        <v>0</v>
      </c>
      <c r="D6" s="325" t="inlineStr">
        <is>
          <t>Verify FINAL-tagged key overall result values when provided</t>
        </is>
      </c>
      <c r="E6" s="325" t="n"/>
      <c r="F6" s="325" t="n"/>
      <c r="G6" s="325" t="n"/>
      <c r="H6" s="325" t="n"/>
      <c r="I6" s="325" t="inlineStr">
        <is>
          <t>n</t>
        </is>
      </c>
      <c r="J6" s="325" t="inlineStr">
        <is>
          <t>OPC 40450-1 Section 10.3 Table 212 (ResultValueDataType)</t>
        </is>
      </c>
      <c r="K6" s="326" t="n"/>
    </row>
    <row r="7" ht="49" customHeight="1" s="173">
      <c r="A7" s="307" t="n"/>
      <c r="B7" s="307" t="n"/>
      <c r="C7" s="307" t="n">
        <v>1</v>
      </c>
      <c r="D7" s="307" t="inlineStr">
        <is>
          <t>Inspect OverallResultValues[] for key values tagged FINAL.</t>
        </is>
      </c>
      <c r="E7" s="307" t="inlineStr">
        <is>
          <t>The optional components and properties described in the test case are supported.</t>
        </is>
      </c>
      <c r="F7" s="307" t="inlineStr">
        <is>
          <t>Where provided, key OverallResultValues[] elements carry ValueTag = 1 (FINAL).</t>
        </is>
      </c>
      <c r="G7" s="307" t="inlineStr">
        <is>
          <t>Good</t>
        </is>
      </c>
      <c r="H7" s="307" t="inlineStr">
        <is>
          <t>Good</t>
        </is>
      </c>
      <c r="I7" s="307" t="n"/>
      <c r="J7" s="307" t="inlineStr">
        <is>
          <t>OPC 40450-1 Section 10.3 Table 212 (ResultValueDataType)</t>
        </is>
      </c>
      <c r="K7" s="307" t="inlineStr">
        <is>
          <t>Allowed but not required; applies when key FINAL values are also placed in OverallResultValues.</t>
        </is>
      </c>
    </row>
    <row r="8" ht="34" customHeight="1" s="173"/>
    <row r="9" ht="64" customHeight="1" s="173"/>
    <row r="10" ht="34" customHeight="1" s="173"/>
    <row r="11" ht="49" customHeight="1" s="173"/>
    <row r="12" ht="34" customHeight="1" s="173"/>
    <row r="13" ht="64" customHeight="1" s="173"/>
    <row r="14" ht="34" customHeight="1" s="173"/>
    <row r="15" ht="64" customHeight="1" s="173"/>
    <row r="16" ht="20.05" customHeight="1" s="173"/>
    <row r="17" ht="34" customHeight="1" s="173"/>
    <row r="18" ht="49" customHeight="1" s="173"/>
    <row r="19" ht="34" customHeight="1" s="173"/>
    <row r="20" ht="49" customHeight="1" s="173"/>
    <row r="21" ht="34" customHeight="1" s="173"/>
    <row r="22" ht="49" customHeight="1" s="173"/>
    <row r="23" ht="34" customHeight="1" s="173"/>
    <row r="24" ht="49" customHeight="1" s="173"/>
    <row r="25" ht="34" customHeight="1" s="173"/>
    <row r="26" ht="49" customHeight="1" s="173"/>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6">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CU-33: IJT Self Contained Consolidated Result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CU-33 — IJT Self Contained Consolidated Result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n</t>
        </is>
      </c>
      <c r="B4" s="303" t="n">
        <v>1</v>
      </c>
      <c r="C4" s="304" t="n">
        <v>0</v>
      </c>
      <c r="D4" s="304" t="inlineStr">
        <is>
          <t>Verify a consolidated result carries fully self-contained sub-results</t>
        </is>
      </c>
      <c r="E4" s="304" t="n"/>
      <c r="F4" s="304" t="n"/>
      <c r="G4" s="304" t="n"/>
      <c r="H4" s="304" t="n"/>
      <c r="I4" s="304" t="inlineStr">
        <is>
          <t>n</t>
        </is>
      </c>
      <c r="J4" s="304" t="inlineStr">
        <is>
          <t>OPC 40450-1 Section 10.1 Table 208</t>
        </is>
      </c>
      <c r="K4" s="305" t="n"/>
    </row>
    <row r="5" ht="64" customFormat="1" customHeight="1" s="2">
      <c r="A5" s="329" t="n"/>
      <c r="B5" s="307" t="n"/>
      <c r="C5" s="307" t="n">
        <v>1</v>
      </c>
      <c r="D5" s="307" t="inlineStr">
        <is>
          <t>Obtain a consolidated result (Classification = 2 SYNC, 3 BATCH, 4 JOB or 5 STITCHING) and inspect ResultContent.</t>
        </is>
      </c>
      <c r="E5" s="307" t="inlineStr">
        <is>
          <t>A consolidated result is available.</t>
        </is>
      </c>
      <c r="F5" s="307" t="inlineStr">
        <is>
          <t>ResultContent is one or more ResultDataType sub-results, and each sub-result has BOTH its ResultMetaData AND its ResultContent populated (self-contained, no external lookup needed).</t>
        </is>
      </c>
      <c r="G5" s="307" t="inlineStr">
        <is>
          <t>Good</t>
        </is>
      </c>
      <c r="H5" s="307" t="inlineStr">
        <is>
          <t>Good</t>
        </is>
      </c>
      <c r="I5" s="307" t="n"/>
      <c r="J5" s="307" t="inlineStr">
        <is>
          <t>OPC 40450-1 Section 10.1 Table 208</t>
        </is>
      </c>
      <c r="K5" s="332" t="n"/>
    </row>
    <row r="6" ht="34" customHeight="1" s="173"/>
    <row r="7" ht="90" customHeight="1" s="173"/>
    <row r="8" ht="34" customHeight="1" s="173"/>
    <row r="9" ht="79" customHeight="1" s="173"/>
    <row r="10" ht="34" customHeight="1" s="173"/>
    <row r="11" ht="49" customHeight="1" s="173"/>
    <row r="12" ht="34" customHeight="1" s="173"/>
    <row r="13" ht="34" customHeight="1" s="173"/>
    <row r="14" ht="49" customHeight="1" s="173"/>
    <row r="15" ht="64" customHeight="1" s="173"/>
    <row r="16" ht="20.05" customHeight="1" s="173"/>
    <row r="17" ht="34" customHeight="1" s="173"/>
    <row r="18" ht="49" customHeight="1" s="173"/>
    <row r="19" ht="49" customHeight="1" s="173"/>
    <row r="20" ht="49" customHeight="1" s="173"/>
    <row r="21" ht="34" customHeight="1" s="173"/>
    <row r="22" ht="49" customHeight="1" s="173"/>
    <row r="23" ht="34" customHeight="1" s="173"/>
    <row r="24" ht="49" customHeight="1" s="173"/>
    <row r="25" ht="34" customHeight="1" s="173"/>
    <row r="26" ht="49" customHeight="1" s="173"/>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7">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CU-34: IJT Consolidated Result with References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CU-34 — IJT Consolidated Result with References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n</t>
        </is>
      </c>
      <c r="B4" s="303" t="n">
        <v>1</v>
      </c>
      <c r="C4" s="304" t="n">
        <v>0</v>
      </c>
      <c r="D4" s="304" t="inlineStr">
        <is>
          <t>Verify a consolidated result carries reference-only sub-results</t>
        </is>
      </c>
      <c r="E4" s="304" t="n"/>
      <c r="F4" s="304" t="n"/>
      <c r="G4" s="304" t="n"/>
      <c r="H4" s="304" t="n"/>
      <c r="I4" s="304" t="inlineStr">
        <is>
          <t>n</t>
        </is>
      </c>
      <c r="J4" s="304" t="inlineStr">
        <is>
          <t>OPC 40450-1 Section 10.1 Table 208</t>
        </is>
      </c>
      <c r="K4" s="305" t="n"/>
    </row>
    <row r="5" ht="79" customFormat="1" customHeight="1" s="2">
      <c r="A5" s="329" t="n"/>
      <c r="B5" s="307" t="n"/>
      <c r="C5" s="307" t="n">
        <v>1</v>
      </c>
      <c r="D5" s="307" t="inlineStr">
        <is>
          <t>Obtain a consolidated result (Classification = 2 SYNC, 3 BATCH, 4 JOB or 5 STITCHING) that references its sub-results and inspect ResultContent.</t>
        </is>
      </c>
      <c r="E5" s="307" t="inlineStr">
        <is>
          <t>A reference-style consolidated result is available.</t>
        </is>
      </c>
      <c r="F5" s="307" t="inlineStr">
        <is>
          <t>Each sub-result carries only ResultMetaData.ResultId and ResultMetaData.Classification, and its ResultContent is an empty array. The full sub-results are retrievable separately by ResultId (e.g. via GetResultById).</t>
        </is>
      </c>
      <c r="G5" s="307" t="inlineStr">
        <is>
          <t>Good</t>
        </is>
      </c>
      <c r="H5" s="307" t="inlineStr">
        <is>
          <t>Good</t>
        </is>
      </c>
      <c r="I5" s="307" t="n"/>
      <c r="J5" s="307" t="inlineStr">
        <is>
          <t>OPC 40450-1 Section 10.1 Table 208</t>
        </is>
      </c>
      <c r="K5" s="332" t="n"/>
    </row>
    <row r="6" ht="34" customHeight="1" s="173"/>
    <row r="7" ht="79" customHeight="1" s="173"/>
    <row r="8" ht="49" customHeight="1" s="173"/>
    <row r="9" ht="90" customHeight="1" s="173"/>
    <row r="10" ht="34" customHeight="1" s="173"/>
    <row r="11" ht="64" customHeight="1" s="173"/>
    <row r="12" ht="34" customHeight="1" s="173"/>
    <row r="13" ht="34" customHeight="1" s="173"/>
    <row r="14" ht="20.05" customHeight="1" s="173"/>
    <row r="15" ht="34" customHeight="1" s="173"/>
    <row r="16" ht="64" customHeight="1" s="173"/>
    <row r="17" ht="34" customHeight="1" s="173"/>
    <row r="18" ht="49" customHeight="1" s="173"/>
    <row r="19" ht="34" customHeight="1" s="173"/>
    <row r="20" ht="64" customHeight="1" s="173"/>
    <row r="21" ht="34" customHeight="1" s="173"/>
    <row r="22" ht="49" customHeight="1" s="173"/>
    <row r="23" ht="34" customHeight="1" s="173"/>
    <row r="24" ht="49" customHeight="1" s="173"/>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8">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CU-35: IJT Partial Consolidated Result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CU-35 — IJT Partial Consolidated Result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n</t>
        </is>
      </c>
      <c r="B4" s="303" t="n">
        <v>1</v>
      </c>
      <c r="C4" s="304" t="n">
        <v>0</v>
      </c>
      <c r="D4" s="304" t="inlineStr">
        <is>
          <t>Verify a partial consolidated result during processing</t>
        </is>
      </c>
      <c r="E4" s="304" t="n"/>
      <c r="F4" s="304" t="n"/>
      <c r="G4" s="304" t="n"/>
      <c r="H4" s="304" t="n"/>
      <c r="I4" s="304" t="inlineStr">
        <is>
          <t>n</t>
        </is>
      </c>
      <c r="J4" s="304" t="inlineStr">
        <is>
          <t>OPC 40450-1 Section 10.1 Table 208</t>
        </is>
      </c>
      <c r="K4" s="305" t="n"/>
    </row>
    <row r="5" ht="49" customFormat="1" customHeight="1" s="2">
      <c r="A5" s="329" t="n"/>
      <c r="B5" s="307" t="n"/>
      <c r="C5" s="307" t="n">
        <v>1</v>
      </c>
      <c r="D5" s="307" t="inlineStr">
        <is>
          <t>During the processing of a consolidated joining operation, obtain the interim result and inspect ResultMetaData.</t>
        </is>
      </c>
      <c r="E5" s="307" t="inlineStr">
        <is>
          <t>A consolidated operation is in progress and reports interim results.</t>
        </is>
      </c>
      <c r="F5" s="307" t="inlineStr">
        <is>
          <t>IsPartial = True, ResultState = Processing (in-progress), and Classification = 2 (SYNC), 3 (BATCH), 4 (JOB) or 5 (STITCHING).</t>
        </is>
      </c>
      <c r="G5" s="307" t="inlineStr">
        <is>
          <t>Good</t>
        </is>
      </c>
      <c r="H5" s="307" t="inlineStr">
        <is>
          <t>Good</t>
        </is>
      </c>
      <c r="I5" s="307" t="n"/>
      <c r="J5" s="307" t="inlineStr">
        <is>
          <t>OPC 40450-1 Section 10.1 Table 208</t>
        </is>
      </c>
      <c r="K5" s="332" t="n"/>
    </row>
    <row r="6" ht="34" customHeight="1" s="173"/>
    <row r="7" ht="49" customHeight="1" s="173"/>
    <row r="8" ht="34" customHeight="1" s="173"/>
    <row r="9" ht="79" customHeight="1" s="173"/>
    <row r="10" ht="34" customHeight="1" s="173"/>
    <row r="11" ht="90" customHeight="1" s="173"/>
    <row r="12" ht="34" customHeight="1" s="173"/>
    <row r="13" ht="49" customHeight="1" s="173"/>
    <row r="14" ht="34" customHeight="1" s="173"/>
    <row r="15" ht="49" customHeight="1" s="173"/>
    <row r="16" ht="20.05" customHeight="1" s="173"/>
    <row r="17" ht="34" customHeight="1" s="173"/>
    <row r="18" ht="79" customHeight="1" s="173"/>
    <row r="19" ht="34" customHeight="1" s="173"/>
    <row r="20" ht="79" customHeight="1" s="173"/>
    <row r="21" ht="34" customHeight="1" s="173"/>
    <row r="22" ht="49" customHeight="1" s="173"/>
    <row r="23" ht="34" customHeight="1" s="173"/>
    <row r="24" ht="49" customHeight="1" s="173"/>
    <row r="25" ht="34" customHeight="1" s="173"/>
    <row r="26" ht="49" customHeight="1" s="173"/>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9">
    <tabColor rgb="FF2E75B6"/>
    <outlinePr summaryBelow="1" summaryRight="1"/>
    <pageSetUpPr/>
  </sheetPr>
  <dimension ref="A1:N11"/>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CU-36: IJT Result Content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CU-36 — IJT Result Content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n</t>
        </is>
      </c>
      <c r="B4" s="303" t="n">
        <v>1</v>
      </c>
      <c r="C4" s="304" t="n">
        <v>0</v>
      </c>
      <c r="D4" s="304" t="inlineStr">
        <is>
          <t>Verify ResultContent for a SINGLE_RESULT</t>
        </is>
      </c>
      <c r="E4" s="304" t="n"/>
      <c r="F4" s="304" t="n"/>
      <c r="G4" s="304" t="n"/>
      <c r="H4" s="304" t="n"/>
      <c r="I4" s="304" t="inlineStr">
        <is>
          <t>n</t>
        </is>
      </c>
      <c r="J4" s="304" t="inlineStr">
        <is>
          <t>OPC 40450-1 Section 10.1 Table 208</t>
        </is>
      </c>
      <c r="K4" s="305" t="n"/>
    </row>
    <row r="5" ht="34" customFormat="1" customHeight="1" s="2">
      <c r="A5" s="329" t="n"/>
      <c r="B5" s="307" t="n"/>
      <c r="C5" s="307" t="n">
        <v>1</v>
      </c>
      <c r="D5" s="307" t="inlineStr">
        <is>
          <t>For a result with Classification = 1 (SINGLE_RESULT), decode ResultContent.</t>
        </is>
      </c>
      <c r="E5" s="307" t="inlineStr">
        <is>
          <t>A single result is available.</t>
        </is>
      </c>
      <c r="F5" s="307" t="inlineStr">
        <is>
          <t>ResultContent[0] is JoiningResultDataType (exactly one instance).</t>
        </is>
      </c>
      <c r="G5" s="307" t="inlineStr">
        <is>
          <t>Good</t>
        </is>
      </c>
      <c r="H5" s="307" t="inlineStr">
        <is>
          <t>Good</t>
        </is>
      </c>
      <c r="I5" s="307" t="n"/>
      <c r="J5" s="307" t="inlineStr">
        <is>
          <t>OPC 40450-1 Section 10.1 Table 208</t>
        </is>
      </c>
      <c r="K5" s="332" t="n"/>
    </row>
    <row r="6" ht="34" customHeight="1" s="173">
      <c r="A6" s="323" t="inlineStr">
        <is>
          <t>n</t>
        </is>
      </c>
      <c r="B6" s="324" t="n">
        <v>2</v>
      </c>
      <c r="C6" s="325" t="n">
        <v>0</v>
      </c>
      <c r="D6" s="325" t="inlineStr">
        <is>
          <t>Verify ResultContent for a consolidated result</t>
        </is>
      </c>
      <c r="E6" s="325" t="n"/>
      <c r="F6" s="325" t="n"/>
      <c r="G6" s="325" t="n"/>
      <c r="H6" s="325" t="n"/>
      <c r="I6" s="325" t="inlineStr">
        <is>
          <t>n</t>
        </is>
      </c>
      <c r="J6" s="325" t="inlineStr">
        <is>
          <t>OPC 40450-1 Section 10.1 Table 208</t>
        </is>
      </c>
      <c r="K6" s="326" t="n"/>
    </row>
    <row r="7" ht="49" customHeight="1" s="173">
      <c r="A7" s="307" t="n"/>
      <c r="B7" s="307" t="n"/>
      <c r="C7" s="307" t="n">
        <v>1</v>
      </c>
      <c r="D7" s="307" t="inlineStr">
        <is>
          <t>For a result with Classification = 3 (BATCH), 2 (SYNC), 4 (JOB) or 5 (STITCHING), decode ResultContent.</t>
        </is>
      </c>
      <c r="E7" s="307" t="inlineStr">
        <is>
          <t>A consolidated result is available.</t>
        </is>
      </c>
      <c r="F7" s="307" t="inlineStr">
        <is>
          <t>ResultContent is one or more ResultDataType child results, each being a sub-result of the parent result.</t>
        </is>
      </c>
      <c r="G7" s="307" t="inlineStr">
        <is>
          <t>Good</t>
        </is>
      </c>
      <c r="H7" s="307" t="inlineStr">
        <is>
          <t>Good</t>
        </is>
      </c>
      <c r="I7" s="307" t="n"/>
      <c r="J7" s="307" t="inlineStr">
        <is>
          <t>OPC 40450-1 Section 10.1 Table 208</t>
        </is>
      </c>
      <c r="K7" s="307" t="n"/>
    </row>
    <row r="8" ht="34" customHeight="1" s="173">
      <c r="A8" s="313" t="inlineStr">
        <is>
          <t>n</t>
        </is>
      </c>
      <c r="B8" s="313" t="n">
        <v>3</v>
      </c>
      <c r="C8" s="313" t="n">
        <v>0</v>
      </c>
      <c r="D8" s="313" t="inlineStr">
        <is>
          <t>Verify ResultContent for an INTERVENTION_RESULT</t>
        </is>
      </c>
      <c r="E8" s="313" t="n"/>
      <c r="F8" s="313" t="n"/>
      <c r="G8" s="313" t="n"/>
      <c r="H8" s="313" t="n"/>
      <c r="I8" s="313" t="inlineStr">
        <is>
          <t>n</t>
        </is>
      </c>
      <c r="J8" s="313" t="inlineStr">
        <is>
          <t>OPC 40450-1 Section 10.1 Table 208</t>
        </is>
      </c>
      <c r="K8" s="313" t="n"/>
    </row>
    <row r="9" ht="49" customHeight="1" s="173">
      <c r="A9" s="307" t="n"/>
      <c r="B9" s="307" t="n"/>
      <c r="C9" s="307" t="n">
        <v>1</v>
      </c>
      <c r="D9" s="307" t="inlineStr">
        <is>
          <t>For a result with Classification = 6 (INTERVENTION_RESULT), decode ResultContent.</t>
        </is>
      </c>
      <c r="E9" s="307" t="inlineStr">
        <is>
          <t>An intervention result is available.</t>
        </is>
      </c>
      <c r="F9" s="307" t="inlineStr">
        <is>
          <t>ResultContent is NULL, or a single JoiningResultDataType instance when measurement values are applicable.</t>
        </is>
      </c>
      <c r="G9" s="307" t="inlineStr">
        <is>
          <t>Good</t>
        </is>
      </c>
      <c r="H9" s="307" t="inlineStr">
        <is>
          <t>Good</t>
        </is>
      </c>
      <c r="I9" s="307" t="n"/>
      <c r="J9" s="307" t="inlineStr">
        <is>
          <t>OPC 40450-1 Section 10.1 Table 208</t>
        </is>
      </c>
      <c r="K9" s="307" t="n"/>
    </row>
    <row r="10" ht="34" customHeight="1" s="173">
      <c r="A10" s="313" t="inlineStr">
        <is>
          <t>n</t>
        </is>
      </c>
      <c r="B10" s="313" t="n">
        <v>4</v>
      </c>
      <c r="C10" s="313" t="n">
        <v>0</v>
      </c>
      <c r="D10" s="313" t="inlineStr">
        <is>
          <t>Verify ResultContent for a TEXT_RESULT</t>
        </is>
      </c>
      <c r="E10" s="313" t="n"/>
      <c r="F10" s="313" t="n"/>
      <c r="G10" s="313" t="n"/>
      <c r="H10" s="313" t="n"/>
      <c r="I10" s="313" t="inlineStr">
        <is>
          <t>n</t>
        </is>
      </c>
      <c r="J10" s="313" t="inlineStr">
        <is>
          <t>OPC 40450-1 Section 10.1 Table 208</t>
        </is>
      </c>
      <c r="K10" s="313" t="n"/>
    </row>
    <row r="11" ht="34" customHeight="1" s="173">
      <c r="A11" s="307" t="n"/>
      <c r="B11" s="307" t="n"/>
      <c r="C11" s="307" t="n">
        <v>1</v>
      </c>
      <c r="D11" s="307" t="inlineStr">
        <is>
          <t>For a result with Classification = 7 (TEXT_RESULT), decode ResultContent.</t>
        </is>
      </c>
      <c r="E11" s="307" t="inlineStr">
        <is>
          <t>A text result is available.</t>
        </is>
      </c>
      <c r="F11" s="307" t="inlineStr">
        <is>
          <t>ResultContent is one or more instances of String.</t>
        </is>
      </c>
      <c r="G11" s="307" t="inlineStr">
        <is>
          <t>Good</t>
        </is>
      </c>
      <c r="H11" s="307" t="inlineStr">
        <is>
          <t>Good</t>
        </is>
      </c>
      <c r="I11" s="307" t="n"/>
      <c r="J11" s="307" t="inlineStr">
        <is>
          <t>OPC 40450-1 Section 10.1 Table 208</t>
        </is>
      </c>
      <c r="K11" s="307" t="n"/>
    </row>
    <row r="12" ht="34" customHeight="1" s="173"/>
    <row r="13" ht="90" customHeight="1" s="173"/>
    <row r="14" ht="34" customHeight="1" s="173"/>
    <row r="15" ht="79" customHeight="1" s="173"/>
    <row r="16" ht="20.05" customHeight="1" s="173"/>
    <row r="17" ht="34" customHeight="1" s="173"/>
    <row r="18" ht="79" customHeight="1" s="173"/>
    <row r="19" ht="34" customHeight="1" s="173"/>
    <row r="20" ht="64" customHeight="1" s="173"/>
    <row r="21" ht="34" customHeight="1" s="173"/>
    <row r="22" ht="49" customHeight="1" s="173"/>
    <row r="23" ht="60" customHeight="1" s="173"/>
    <row r="24" ht="49" customHeight="1" s="173"/>
    <row r="25" ht="60" customHeight="1" s="173"/>
    <row r="26" ht="49" customHeight="1" s="173"/>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40">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CU-37: IJT Request Results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CU-37 — IJT Request Results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RequestResults method signature</t>
        </is>
      </c>
      <c r="E4" s="304" t="n"/>
      <c r="F4" s="304" t="n"/>
      <c r="G4" s="304" t="n"/>
      <c r="H4" s="304" t="n"/>
      <c r="I4" s="304" t="inlineStr">
        <is>
          <t>n</t>
        </is>
      </c>
      <c r="J4" s="304" t="inlineStr">
        <is>
          <t>OPC 40450-1 Section 7.5.3 Table 58 (RequestResults)</t>
        </is>
      </c>
      <c r="K4" s="305" t="n"/>
      <c r="L4" s="25" t="n"/>
      <c r="M4" s="26" t="n"/>
      <c r="N4" s="26" t="n"/>
    </row>
    <row r="5" ht="90" customHeight="1" s="173">
      <c r="A5" s="329" t="n"/>
      <c r="B5" s="330" t="n"/>
      <c r="C5" s="331" t="n">
        <v>1</v>
      </c>
      <c r="D5" s="331" t="inlineStr">
        <is>
          <t>Browse JoiningSystemResultManagementType for RequestResults and read its InputArguments and OutputArguments.</t>
        </is>
      </c>
      <c r="E5" s="331" t="inlineStr">
        <is>
          <t>JoiningSystemResultManagementType found.</t>
        </is>
      </c>
      <c r="F5" s="331" t="inlineStr">
        <is>
          <t>RequestResults is a Method. InputArguments = FromSequenceNumber (UInt64), ToSequenceNumber (UInt64), FromTime (UtcTime), ToTime (UtcTime), RequestedMinimumDurationBetweenResults (Duration). OutputArguments = RevisedMinimumDurationBetweenResults (Duration), Status (Int64), StatusMessage (LocalizedText).</t>
        </is>
      </c>
      <c r="G5" s="331" t="inlineStr">
        <is>
          <t>Good</t>
        </is>
      </c>
      <c r="H5" s="331" t="inlineStr">
        <is>
          <t>Good</t>
        </is>
      </c>
      <c r="I5" s="331" t="n"/>
      <c r="J5" s="331" t="inlineStr">
        <is>
          <t>OPC 40450-1 Section 7.5.3 Table 58 (RequestResults)</t>
        </is>
      </c>
      <c r="K5" s="332" t="n"/>
      <c r="L5" s="25" t="n"/>
      <c r="M5" s="26" t="n"/>
      <c r="N5" s="26" t="n"/>
    </row>
    <row r="6" ht="49" customHeight="1" s="173">
      <c r="A6" s="302" t="inlineStr">
        <is>
          <t>n</t>
        </is>
      </c>
      <c r="B6" s="303" t="n">
        <v>2</v>
      </c>
      <c r="C6" s="304" t="n">
        <v>0</v>
      </c>
      <c r="D6" s="304" t="inlineStr">
        <is>
          <t>Call RequestResults by sequence-number range and verify delivery</t>
        </is>
      </c>
      <c r="E6" s="304" t="n"/>
      <c r="F6" s="304" t="n"/>
      <c r="G6" s="304" t="n"/>
      <c r="H6" s="304" t="n"/>
      <c r="I6" s="304" t="inlineStr">
        <is>
          <t>n</t>
        </is>
      </c>
      <c r="J6" s="304" t="inlineStr">
        <is>
          <t>OPC 40450-1 Section 7.5.3 Table 58 (RequestResults)</t>
        </is>
      </c>
      <c r="K6" s="305" t="n"/>
      <c r="L6" s="25" t="n"/>
      <c r="M6" s="26" t="n"/>
      <c r="N6" s="26" t="n"/>
    </row>
    <row r="7" ht="64" customHeight="1" s="173">
      <c r="A7" s="329" t="n"/>
      <c r="B7" s="330" t="n"/>
      <c r="C7" s="331" t="n">
        <v>1</v>
      </c>
      <c r="D7" s="331" t="inlineStr">
        <is>
          <t>Invoke RequestResults with a valid FromSequenceNumber and ToSequenceNumber (both &gt; 0, to &gt;= from), FromTime/ToTime = 0.</t>
        </is>
      </c>
      <c r="E7" s="331" t="inlineStr">
        <is>
          <t>Stored results exist within the requested sequence range.</t>
        </is>
      </c>
      <c r="F7" s="331" t="inlineStr">
        <is>
          <t>The Call Service returns Good; Status = 0 (OK) with a StatusMessage. The requested stored results are delivered as RequestedResultEventType events and/or RequestedResultVariable updates.</t>
        </is>
      </c>
      <c r="G7" s="331" t="inlineStr">
        <is>
          <t>Good</t>
        </is>
      </c>
      <c r="H7" s="331" t="inlineStr">
        <is>
          <t>Status = 0 (OK)</t>
        </is>
      </c>
      <c r="I7" s="331" t="n"/>
      <c r="J7" s="331" t="inlineStr">
        <is>
          <t>OPC 40450-1 Section 7.5.3 Table 58 (RequestResults)</t>
        </is>
      </c>
      <c r="K7" s="332" t="n"/>
      <c r="L7" s="25" t="n"/>
      <c r="M7" s="26" t="n"/>
      <c r="N7" s="26" t="n"/>
    </row>
    <row r="8" ht="49" customHeight="1" s="173">
      <c r="A8" s="302" t="inlineStr">
        <is>
          <t>n</t>
        </is>
      </c>
      <c r="B8" s="303" t="n">
        <v>3</v>
      </c>
      <c r="C8" s="304" t="n">
        <v>0</v>
      </c>
      <c r="D8" s="304" t="inlineStr">
        <is>
          <t>Call RequestResults by time range</t>
        </is>
      </c>
      <c r="E8" s="304" t="n"/>
      <c r="F8" s="304" t="n"/>
      <c r="G8" s="304" t="n"/>
      <c r="H8" s="304" t="n"/>
      <c r="I8" s="304" t="inlineStr">
        <is>
          <t>n</t>
        </is>
      </c>
      <c r="J8" s="304" t="inlineStr">
        <is>
          <t>OPC 40450-1 Section 7.5.3 Table 58 (RequestResults)</t>
        </is>
      </c>
      <c r="K8" s="305" t="n"/>
      <c r="L8" s="25" t="n"/>
      <c r="M8" s="26" t="n"/>
      <c r="N8" s="26" t="n"/>
    </row>
    <row r="9" ht="49" customHeight="1" s="173">
      <c r="A9" s="329" t="n"/>
      <c r="B9" s="330" t="n"/>
      <c r="C9" s="331" t="n">
        <v>1</v>
      </c>
      <c r="D9" s="331" t="inlineStr">
        <is>
          <t>Invoke RequestResults with FromSequenceNumber = 0 and ToSequenceNumber = 0, and a valid FromTime/ToTime window.</t>
        </is>
      </c>
      <c r="E9" s="331" t="inlineStr">
        <is>
          <t>Stored results exist within the requested time window.</t>
        </is>
      </c>
      <c r="F9" s="331" t="inlineStr">
        <is>
          <t>The Call returns Good; Status = 0 (OK); the results created within [FromTime, ToTime] are delivered.</t>
        </is>
      </c>
      <c r="G9" s="331" t="inlineStr">
        <is>
          <t>Good</t>
        </is>
      </c>
      <c r="H9" s="331" t="inlineStr">
        <is>
          <t>Status = 0 (OK)</t>
        </is>
      </c>
      <c r="I9" s="331" t="n"/>
      <c r="J9" s="331" t="inlineStr">
        <is>
          <t>OPC 40450-1 Section 7.5.3 Table 58 (RequestResults)</t>
        </is>
      </c>
      <c r="K9" s="332" t="n"/>
      <c r="L9" s="25" t="n"/>
      <c r="M9" s="26" t="n"/>
      <c r="N9" s="26" t="n"/>
    </row>
    <row r="10" ht="20.05" customHeight="1" s="173">
      <c r="A10" s="368" t="inlineStr">
        <is>
          <t>Error Test Cases</t>
        </is>
      </c>
      <c r="B10" s="369" t="n"/>
      <c r="C10" s="370" t="n"/>
      <c r="D10" s="370" t="n"/>
      <c r="E10" s="370" t="n"/>
      <c r="F10" s="370" t="n"/>
      <c r="G10" s="370" t="n"/>
      <c r="H10" s="370" t="n"/>
      <c r="I10" s="370" t="n"/>
      <c r="J10" s="370" t="n"/>
      <c r="K10" s="371" t="n"/>
      <c r="L10" s="25" t="n"/>
      <c r="M10" s="26" t="n"/>
      <c r="N10" s="26" t="n"/>
    </row>
    <row r="11" ht="49" customHeight="1" s="173">
      <c r="A11" s="372" t="inlineStr">
        <is>
          <t>y</t>
        </is>
      </c>
      <c r="B11" s="373" t="n">
        <v>4</v>
      </c>
      <c r="C11" s="374" t="n">
        <v>0</v>
      </c>
      <c r="D11" s="374" t="inlineStr">
        <is>
          <t>Verify RequestResults rejects an invalid sequence range</t>
        </is>
      </c>
      <c r="E11" s="374" t="n"/>
      <c r="F11" s="374" t="n"/>
      <c r="G11" s="374" t="n"/>
      <c r="H11" s="374" t="n"/>
      <c r="I11" s="374" t="inlineStr">
        <is>
          <t>n</t>
        </is>
      </c>
      <c r="J11" s="374" t="inlineStr">
        <is>
          <t>OPC 40450-1 Section 7.5.3 Table 58 (RequestResults)</t>
        </is>
      </c>
      <c r="K11" s="375" t="n"/>
      <c r="L11" s="25" t="n"/>
      <c r="M11" s="26" t="n"/>
      <c r="N11" s="26" t="n"/>
    </row>
    <row r="12" ht="64" customHeight="1" s="173">
      <c r="A12" s="329" t="n"/>
      <c r="B12" s="330" t="n"/>
      <c r="C12" s="331" t="n">
        <v>1</v>
      </c>
      <c r="D12" s="331" t="inlineStr">
        <is>
          <t>Invoke RequestResults with ToSequenceNumber &lt; FromSequenceNumber (an invalid range).</t>
        </is>
      </c>
      <c r="E12" s="331" t="inlineStr">
        <is>
          <t>RequestResults available.</t>
        </is>
      </c>
      <c r="F12" s="331" t="inlineStr">
        <is>
          <t>The Call Service returns Good; the invalid range is reported through the method outputs: Status is a non-zero Int64 with an explanatory StatusMessage. No results are delivered.</t>
        </is>
      </c>
      <c r="G12" s="331" t="inlineStr">
        <is>
          <t>Good</t>
        </is>
      </c>
      <c r="H12" s="331" t="inlineStr">
        <is>
          <t>Status non-zero (Int64) with StatusMessage</t>
        </is>
      </c>
      <c r="I12" s="331" t="n"/>
      <c r="J12" s="331" t="inlineStr">
        <is>
          <t>OPC 40450-1 Section 7.5.3 Table 58 (RequestResults)</t>
        </is>
      </c>
      <c r="K12" s="332" t="inlineStr">
        <is>
          <t>IJT method validation is reported via the status/StatusMessage outputs, not a Call Service failure.</t>
        </is>
      </c>
      <c r="L12" s="25" t="n"/>
      <c r="M12" s="26" t="n"/>
      <c r="N12" s="26" t="n"/>
    </row>
    <row r="13" ht="34" customHeight="1" s="173"/>
    <row r="14" ht="64" customHeight="1" s="173"/>
    <row r="15" ht="34" customHeight="1" s="173"/>
    <row r="16" ht="64" customHeight="1" s="173"/>
    <row r="17" ht="34" customHeight="1" s="173"/>
    <row r="18" ht="64" customHeight="1" s="173"/>
    <row r="19" ht="34" customFormat="1" customHeight="1" s="2"/>
    <row r="20" ht="79" customHeight="1" s="173"/>
    <row r="21" ht="34" customHeight="1" s="173"/>
    <row r="22" ht="64" customHeight="1" s="173"/>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41">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CU-38: IJT Requested Result Variable Access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CU-38 — IJT Requested Result Variable Access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the RequestedResultVariable is exposed</t>
        </is>
      </c>
      <c r="E4" s="304" t="n"/>
      <c r="F4" s="304" t="n"/>
      <c r="G4" s="304" t="n"/>
      <c r="H4" s="304" t="n"/>
      <c r="I4" s="304" t="inlineStr">
        <is>
          <t>n</t>
        </is>
      </c>
      <c r="J4" s="304" t="inlineStr">
        <is>
          <t>OPC 40450-1 Section 7.5 Table 56</t>
        </is>
      </c>
      <c r="K4" s="305" t="n"/>
    </row>
    <row r="5" ht="49" customFormat="1" customHeight="1" s="2">
      <c r="A5" s="329" t="n"/>
      <c r="B5" s="307" t="n"/>
      <c r="C5" s="307" t="n">
        <v>1</v>
      </c>
      <c r="D5" s="307" t="inlineStr">
        <is>
          <t>Browse the ResultManagement Results folder for a RequestedResultVariable placeholder.</t>
        </is>
      </c>
      <c r="E5" s="307" t="inlineStr">
        <is>
          <t>ResultManagement accessible.</t>
        </is>
      </c>
      <c r="F5" s="307" t="inlineStr">
        <is>
          <t>A Variable is present with DataType = MachineryResult:ResultDataType and TypeDefinition = JoiningSystemResultType (recommended BrowseName RequestedResult).</t>
        </is>
      </c>
      <c r="G5" s="307" t="inlineStr">
        <is>
          <t>Good</t>
        </is>
      </c>
      <c r="H5" s="307" t="inlineStr">
        <is>
          <t>Good</t>
        </is>
      </c>
      <c r="I5" s="307" t="n"/>
      <c r="J5" s="307" t="inlineStr">
        <is>
          <t>OPC 40450-1 Section 7.5 Table 56</t>
        </is>
      </c>
      <c r="K5" s="332" t="n"/>
    </row>
    <row r="6" ht="34" customHeight="1" s="173">
      <c r="A6" s="323" t="inlineStr">
        <is>
          <t>n</t>
        </is>
      </c>
      <c r="B6" s="324" t="n">
        <v>2</v>
      </c>
      <c r="C6" s="325" t="n">
        <v>0</v>
      </c>
      <c r="D6" s="325" t="inlineStr">
        <is>
          <t>Verify the RequestedResultVariable carries a requested result</t>
        </is>
      </c>
      <c r="E6" s="325" t="n"/>
      <c r="F6" s="325" t="n"/>
      <c r="G6" s="325" t="n"/>
      <c r="H6" s="325" t="n"/>
      <c r="I6" s="325" t="inlineStr">
        <is>
          <t>n</t>
        </is>
      </c>
      <c r="J6" s="325" t="inlineStr">
        <is>
          <t>OPC 40450-1 Section 7.5 Table 56</t>
        </is>
      </c>
      <c r="K6" s="326" t="n"/>
    </row>
    <row r="7" ht="49" customHeight="1" s="173">
      <c r="A7" s="307" t="n"/>
      <c r="B7" s="307" t="n"/>
      <c r="C7" s="307" t="n">
        <v>1</v>
      </c>
      <c r="D7" s="307" t="inlineStr">
        <is>
          <t>Call RequestResults (or RequestUnacknowledgedResults), then read the RequestedResultVariable value.</t>
        </is>
      </c>
      <c r="E7" s="307" t="inlineStr">
        <is>
          <t>A successful RequestResults / RequestUnacknowledgedResults call has produced results.</t>
        </is>
      </c>
      <c r="F7" s="307" t="inlineStr">
        <is>
          <t>The RequestedResultVariable value carries the requested result: a ResultDataType whose ResultMetaData has a non-empty ResultId.</t>
        </is>
      </c>
      <c r="G7" s="307" t="inlineStr">
        <is>
          <t>Good</t>
        </is>
      </c>
      <c r="H7" s="307" t="inlineStr">
        <is>
          <t>Good</t>
        </is>
      </c>
      <c r="I7" s="307" t="n"/>
      <c r="J7" s="307" t="inlineStr">
        <is>
          <t>OPC 40450-1 Section 7.5 Table 56</t>
        </is>
      </c>
      <c r="K7" s="307" t="n"/>
    </row>
    <row r="8" ht="34" customHeight="1" s="173"/>
    <row r="9" ht="49" customHeight="1" s="173"/>
    <row r="10" ht="34" customHeight="1" s="173"/>
    <row r="11" ht="64" customHeight="1" s="173"/>
    <row r="13" ht="20.05" customHeight="1" s="173"/>
    <row r="14" ht="34" customHeight="1" s="173"/>
    <row r="15" ht="49" customHeight="1" s="173"/>
    <row r="16" ht="34" customHeight="1" s="173"/>
    <row r="17" ht="49" customHeight="1" s="173"/>
    <row r="18" ht="34" customHeight="1" s="173"/>
    <row r="19" ht="49" customHeight="1" s="173"/>
    <row r="21" ht="25.8" customHeight="1" s="173"/>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42">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CU-39: IJT Requested Result Event Access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CU-39 — IJT Requested Result Event Access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RequestedResultEventType</t>
        </is>
      </c>
      <c r="E4" s="304" t="n"/>
      <c r="F4" s="304" t="n"/>
      <c r="G4" s="304" t="n"/>
      <c r="H4" s="304" t="n"/>
      <c r="I4" s="304" t="inlineStr">
        <is>
          <t>n</t>
        </is>
      </c>
      <c r="J4" s="304" t="inlineStr">
        <is>
          <t>OPC 40450-1 Section 8.4 Table 165 (RequestedResultEventType)</t>
        </is>
      </c>
      <c r="K4" s="305" t="n"/>
      <c r="L4" s="25" t="n"/>
      <c r="M4" s="26" t="n"/>
      <c r="N4" s="26" t="n"/>
    </row>
    <row r="5" ht="49" customHeight="1" s="173">
      <c r="A5" s="329" t="n"/>
      <c r="B5" s="330" t="n"/>
      <c r="C5" s="331" t="n">
        <v>1</v>
      </c>
      <c r="D5" s="331" t="inlineStr">
        <is>
          <t>Browse the TypeSystem for RequestedResultEventType and follow its HasSubtype inverse Reference.</t>
        </is>
      </c>
      <c r="E5" s="331" t="inlineStr">
        <is>
          <t>Server accessible.</t>
        </is>
      </c>
      <c r="F5" s="331" t="inlineStr">
        <is>
          <t>RequestedResultEventType is found as a subtype of JoiningSystemResultReadyEventType; it inherits that type's properties and declares no additional ones.</t>
        </is>
      </c>
      <c r="G5" s="331" t="inlineStr">
        <is>
          <t>Good</t>
        </is>
      </c>
      <c r="H5" s="331" t="inlineStr">
        <is>
          <t>Good</t>
        </is>
      </c>
      <c r="I5" s="331" t="n"/>
      <c r="J5" s="331" t="inlineStr">
        <is>
          <t>OPC 40450-1 Section 8.4 Table 165 (RequestedResultEventType)</t>
        </is>
      </c>
      <c r="K5" s="332" t="n"/>
      <c r="L5" s="25" t="n"/>
      <c r="M5" s="26" t="n"/>
      <c r="N5" s="26" t="n"/>
    </row>
    <row r="6" ht="49" customHeight="1" s="173">
      <c r="A6" s="302" t="inlineStr">
        <is>
          <t>n</t>
        </is>
      </c>
      <c r="B6" s="303" t="n">
        <v>2</v>
      </c>
      <c r="C6" s="304" t="n">
        <v>0</v>
      </c>
      <c r="D6" s="304" t="inlineStr">
        <is>
          <t>Verify a RequestedResultEventType event is received for requested results</t>
        </is>
      </c>
      <c r="E6" s="304" t="n"/>
      <c r="F6" s="304" t="n"/>
      <c r="G6" s="304" t="n"/>
      <c r="H6" s="304" t="n"/>
      <c r="I6" s="304" t="inlineStr">
        <is>
          <t>n</t>
        </is>
      </c>
      <c r="J6" s="304" t="inlineStr">
        <is>
          <t>OPC 40450-1 Section 8.4 Table 165 (RequestedResultEventType)</t>
        </is>
      </c>
      <c r="K6" s="305" t="n"/>
      <c r="L6" s="25" t="n"/>
      <c r="M6" s="26" t="n"/>
      <c r="N6" s="26" t="n"/>
    </row>
    <row r="7" ht="49" customHeight="1" s="173">
      <c r="A7" s="329" t="n"/>
      <c r="B7" s="330" t="n"/>
      <c r="C7" s="331" t="n">
        <v>1</v>
      </c>
      <c r="D7" s="331" t="inlineStr">
        <is>
          <t>Subscribe to RequestedResultEventType, then call RequestResults (or RequestUnacknowledgedResults).</t>
        </is>
      </c>
      <c r="E7" s="331" t="inlineStr">
        <is>
          <t>Event subscription active; stored results exist to be requested.</t>
        </is>
      </c>
      <c r="F7" s="331" t="inlineStr">
        <is>
          <t>For each requested result, a RequestedResultEventType event is received whose Result field carries the result (ResultMetaData with a non-empty ResultId).</t>
        </is>
      </c>
      <c r="G7" s="331" t="inlineStr">
        <is>
          <t>Good</t>
        </is>
      </c>
      <c r="H7" s="331" t="inlineStr">
        <is>
          <t>Good</t>
        </is>
      </c>
      <c r="I7" s="331" t="n"/>
      <c r="J7" s="331" t="inlineStr">
        <is>
          <t>OPC 40450-1 Section 8.4 Table 165 (RequestedResultEventType)</t>
        </is>
      </c>
      <c r="K7" s="332" t="n"/>
      <c r="L7" s="25" t="n"/>
      <c r="M7" s="26" t="n"/>
      <c r="N7" s="26" t="n"/>
    </row>
    <row r="8" ht="34" customHeight="1" s="173"/>
    <row r="9" ht="79" customHeight="1" s="173"/>
    <row r="10" ht="20.05" customHeight="1" s="173"/>
    <row r="11" ht="34" customHeight="1" s="173"/>
    <row r="12" ht="90" customHeight="1" s="173"/>
    <row r="13" ht="34" customHeight="1" s="173"/>
    <row r="14" ht="49" customHeight="1" s="173"/>
    <row r="15" ht="34" customHeight="1" s="173"/>
    <row r="16" ht="49" customHeight="1" s="173"/>
    <row r="17" ht="34" customFormat="1" customHeight="1" s="2"/>
    <row r="18" ht="34" customHeight="1" s="173"/>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3">
    <tabColor rgb="FF2E75B6"/>
    <outlinePr summaryBelow="1" summaryRight="1"/>
    <pageSetUpPr/>
  </sheetPr>
  <dimension ref="A1:N1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CU-40: IJT Acknowledge Results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CU-40 — IJT Acknowledge Results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the AcknowledgeResults method signature</t>
        </is>
      </c>
      <c r="E4" s="304" t="n"/>
      <c r="F4" s="304" t="n"/>
      <c r="G4" s="304" t="n"/>
      <c r="H4" s="304" t="n"/>
      <c r="I4" s="304" t="inlineStr">
        <is>
          <t>n</t>
        </is>
      </c>
      <c r="J4" s="304" t="inlineStr">
        <is>
          <t>OPC 40001-101 Table 12 (AcknowledgeResults)</t>
        </is>
      </c>
      <c r="K4" s="305" t="n"/>
      <c r="L4" s="25" t="n"/>
      <c r="M4" s="26" t="n"/>
      <c r="N4" s="26" t="n"/>
    </row>
    <row r="5" ht="49" customHeight="1" s="173">
      <c r="A5" s="329" t="n"/>
      <c r="B5" s="330" t="n"/>
      <c r="C5" s="331" t="n">
        <v>1</v>
      </c>
      <c r="D5" s="331" t="inlineStr">
        <is>
          <t>Browse JoiningSystemResultManagementType (or base ResultManagementType) for AcknowledgeResults and read its InputArguments and OutputArguments.</t>
        </is>
      </c>
      <c r="E5" s="331" t="inlineStr">
        <is>
          <t>JoiningSystemResultManagementType found.</t>
        </is>
      </c>
      <c r="F5" s="331" t="inlineStr">
        <is>
          <t>AcknowledgeResults is a Method. InputArguments = ResultIds (TrimmedString[]). OutputArguments = ErrorPerResultId (Int32[]), Error (Int32).</t>
        </is>
      </c>
      <c r="G5" s="331" t="inlineStr">
        <is>
          <t>Good</t>
        </is>
      </c>
      <c r="H5" s="331" t="inlineStr">
        <is>
          <t>Good</t>
        </is>
      </c>
      <c r="I5" s="331" t="n"/>
      <c r="J5" s="331" t="inlineStr">
        <is>
          <t>OPC 40001-101 Table 12 (AcknowledgeResults)</t>
        </is>
      </c>
      <c r="K5" s="332" t="n"/>
      <c r="L5" s="25" t="n"/>
      <c r="M5" s="26" t="n"/>
      <c r="N5" s="26" t="n"/>
    </row>
    <row r="6" ht="34" customHeight="1" s="173">
      <c r="A6" s="302" t="inlineStr">
        <is>
          <t>n</t>
        </is>
      </c>
      <c r="B6" s="303" t="n">
        <v>2</v>
      </c>
      <c r="C6" s="304" t="n">
        <v>0</v>
      </c>
      <c r="D6" s="304" t="inlineStr">
        <is>
          <t>Call AcknowledgeResults with known ResultIds</t>
        </is>
      </c>
      <c r="E6" s="304" t="n"/>
      <c r="F6" s="304" t="n"/>
      <c r="G6" s="304" t="n"/>
      <c r="H6" s="304" t="n"/>
      <c r="I6" s="304" t="inlineStr">
        <is>
          <t>n</t>
        </is>
      </c>
      <c r="J6" s="304" t="inlineStr">
        <is>
          <t>OPC 40001-101 Table 12 (AcknowledgeResults)</t>
        </is>
      </c>
      <c r="K6" s="305" t="n"/>
      <c r="L6" s="25" t="n"/>
      <c r="M6" s="26" t="n"/>
      <c r="N6" s="26" t="n"/>
    </row>
    <row r="7" ht="49" customHeight="1" s="173">
      <c r="A7" s="329" t="n"/>
      <c r="B7" s="330" t="n"/>
      <c r="C7" s="331" t="n">
        <v>1</v>
      </c>
      <c r="D7" s="331" t="inlineStr">
        <is>
          <t>Invoke AcknowledgeResults with a list of valid, known ResultIds.</t>
        </is>
      </c>
      <c r="E7" s="331" t="inlineStr">
        <is>
          <t>The named results exist and are acknowledgeable.</t>
        </is>
      </c>
      <c r="F7" s="331" t="inlineStr">
        <is>
          <t>The Call Service returns Good; Error = 0 (all acknowledged) and ErrorPerResultId is null or empty. The Server may release the acknowledged results.</t>
        </is>
      </c>
      <c r="G7" s="331" t="inlineStr">
        <is>
          <t>Good</t>
        </is>
      </c>
      <c r="H7" s="331" t="inlineStr">
        <is>
          <t>Error = 0</t>
        </is>
      </c>
      <c r="I7" s="331" t="n"/>
      <c r="J7" s="331" t="inlineStr">
        <is>
          <t>OPC 40001-101 Table 12 (AcknowledgeResults)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34" customHeight="1" s="173">
      <c r="A9" s="372" t="inlineStr">
        <is>
          <t>n</t>
        </is>
      </c>
      <c r="B9" s="373" t="n">
        <v>3</v>
      </c>
      <c r="C9" s="374" t="n">
        <v>0</v>
      </c>
      <c r="D9" s="374" t="inlineStr">
        <is>
          <t>Verify AcknowledgeResults reports per-Id failure for an unknown ResultId</t>
        </is>
      </c>
      <c r="E9" s="374" t="n"/>
      <c r="F9" s="374" t="n"/>
      <c r="G9" s="374" t="n"/>
      <c r="H9" s="374" t="n"/>
      <c r="I9" s="374" t="inlineStr">
        <is>
          <t>n</t>
        </is>
      </c>
      <c r="J9" s="374" t="inlineStr">
        <is>
          <t>OPC 40001-101 Table 12 (AcknowledgeResults)</t>
        </is>
      </c>
      <c r="K9" s="375" t="n"/>
      <c r="L9" s="25" t="n"/>
      <c r="M9" s="26" t="n"/>
      <c r="N9" s="26" t="n"/>
    </row>
    <row r="10" ht="64" customHeight="1" s="173">
      <c r="A10" s="329" t="n"/>
      <c r="B10" s="330" t="n"/>
      <c r="C10" s="331" t="n">
        <v>1</v>
      </c>
      <c r="D10" s="331" t="inlineStr">
        <is>
          <t>Invoke AcknowledgeResults with a list containing one valid ResultId and one non-existent ResultId.</t>
        </is>
      </c>
      <c r="E10" s="331" t="inlineStr">
        <is>
          <t>AcknowledgeResults available.</t>
        </is>
      </c>
      <c r="F10" s="331" t="inlineStr">
        <is>
          <t>The Call Service returns Good; error is non-zero (not all acknowledged) and ErrorPerResultId has the same length as ResultIds, with a non-zero entry for the unknown ResultId and 0 for the valid one.</t>
        </is>
      </c>
      <c r="G10" s="331" t="inlineStr">
        <is>
          <t>Good</t>
        </is>
      </c>
      <c r="H10" s="331" t="inlineStr">
        <is>
          <t>Error non-zero; per-Id Error for the unknown Id</t>
        </is>
      </c>
      <c r="I10" s="331" t="n"/>
      <c r="J10" s="331" t="inlineStr">
        <is>
          <t>OPC 40001-101 Table 12 (AcknowledgeResults)</t>
        </is>
      </c>
      <c r="K10" s="332" t="inlineStr">
        <is>
          <t>Per-result acknowledgement outcome is reported in ErrorPerResultId, not a Call Service failure.</t>
        </is>
      </c>
      <c r="L10" s="25" t="n"/>
      <c r="M10" s="26" t="n"/>
      <c r="N10" s="26" t="n"/>
    </row>
    <row r="11" ht="34" customHeight="1" s="173"/>
    <row r="12" ht="90" customHeight="1" s="173"/>
    <row r="13" ht="49" customHeight="1" s="173"/>
    <row r="14" ht="90" customHeight="1" s="173"/>
    <row r="15" ht="34" customHeight="1" s="173"/>
    <row r="16" ht="49" customHeight="1" s="173"/>
    <row r="17" ht="34" customHeight="1" s="173"/>
    <row r="18" ht="79" customHeight="1" s="173"/>
    <row r="19" customFormat="1" s="2"/>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4">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CU-41: IJT Request Unacknowledged Results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CU-41 — IJT Request Unacknowledged Results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RequestUnacknowledgedResults method signature</t>
        </is>
      </c>
      <c r="E4" s="304" t="n"/>
      <c r="F4" s="304" t="n"/>
      <c r="G4" s="304" t="n"/>
      <c r="H4" s="304" t="n"/>
      <c r="I4" s="304" t="inlineStr">
        <is>
          <t>n</t>
        </is>
      </c>
      <c r="J4" s="304" t="inlineStr">
        <is>
          <t>OPC 40450-1 Section 7.5.4 Table 60 (RequestUnacknowledgedResults)</t>
        </is>
      </c>
      <c r="K4" s="305" t="n"/>
      <c r="L4" s="25" t="n"/>
      <c r="M4" s="26" t="n"/>
      <c r="N4" s="26" t="n"/>
    </row>
    <row r="5" ht="90" customHeight="1" s="173">
      <c r="A5" s="329" t="n"/>
      <c r="B5" s="330" t="n"/>
      <c r="C5" s="331" t="n">
        <v>1</v>
      </c>
      <c r="D5" s="331" t="inlineStr">
        <is>
          <t>Browse JoiningSystemResultManagementType for RequestUnacknowledgedResults and read its InputArguments and OutputArguments.</t>
        </is>
      </c>
      <c r="E5" s="331" t="inlineStr">
        <is>
          <t>JoiningSystemResultManagementType found.</t>
        </is>
      </c>
      <c r="F5" s="331" t="inlineStr">
        <is>
          <t>RequestUnacknowledgedResults is a Method. InputArguments = MaxResults (UInt32), RequestedMinimumDurationBetweenResults (Duration). OutputArguments = RevisedMinimumDurationBetweenResults (Duration), UnacknowledgedResultCount (UInt32), Status (Int64), StatusMessage (LocalizedText).</t>
        </is>
      </c>
      <c r="G5" s="331" t="inlineStr">
        <is>
          <t>Good</t>
        </is>
      </c>
      <c r="H5" s="331" t="inlineStr">
        <is>
          <t>Good</t>
        </is>
      </c>
      <c r="I5" s="331" t="n"/>
      <c r="J5" s="331" t="inlineStr">
        <is>
          <t>OPC 40450-1 Section 7.5.4 Table 60 (RequestUnacknowledgedResults)</t>
        </is>
      </c>
      <c r="K5" s="332" t="n"/>
      <c r="L5" s="25" t="n"/>
      <c r="M5" s="26" t="n"/>
      <c r="N5" s="26" t="n"/>
    </row>
    <row r="6" ht="49" customHeight="1" s="173">
      <c r="A6" s="302" t="inlineStr">
        <is>
          <t>n</t>
        </is>
      </c>
      <c r="B6" s="303" t="n">
        <v>2</v>
      </c>
      <c r="C6" s="304" t="n">
        <v>0</v>
      </c>
      <c r="D6" s="304" t="inlineStr">
        <is>
          <t>Call RequestUnacknowledgedResults and verify delivery</t>
        </is>
      </c>
      <c r="E6" s="304" t="n"/>
      <c r="F6" s="304" t="n"/>
      <c r="G6" s="304" t="n"/>
      <c r="H6" s="304" t="n"/>
      <c r="I6" s="304" t="inlineStr">
        <is>
          <t>n</t>
        </is>
      </c>
      <c r="J6" s="304" t="inlineStr">
        <is>
          <t>OPC 40450-1 Section 7.5.4 Table 60 (RequestUnacknowledgedResults)</t>
        </is>
      </c>
      <c r="K6" s="305" t="n"/>
      <c r="L6" s="25" t="n"/>
      <c r="M6" s="26" t="n"/>
      <c r="N6" s="26" t="n"/>
    </row>
    <row r="7" ht="79" customHeight="1" s="173">
      <c r="A7" s="329" t="n"/>
      <c r="B7" s="330" t="n"/>
      <c r="C7" s="331" t="n">
        <v>1</v>
      </c>
      <c r="D7" s="331" t="inlineStr">
        <is>
          <t>Invoke RequestUnacknowledgedResults with MaxResults = 0 (all unacknowledged results).</t>
        </is>
      </c>
      <c r="E7" s="331" t="inlineStr">
        <is>
          <t>Unacknowledged stored results exist.</t>
        </is>
      </c>
      <c r="F7" s="331" t="inlineStr">
        <is>
          <t>The Call Service returns Good; Status = 0 (OK) with a StatusMessage; UnacknowledgedResultCount reports the total count. The unacknowledged results are delivered as RequestedResultEventType events and/or RequestedResultVariable updates.</t>
        </is>
      </c>
      <c r="G7" s="331" t="inlineStr">
        <is>
          <t>Good</t>
        </is>
      </c>
      <c r="H7" s="331" t="inlineStr">
        <is>
          <t>Status = 0 (OK)</t>
        </is>
      </c>
      <c r="I7" s="331" t="n"/>
      <c r="J7" s="331" t="inlineStr">
        <is>
          <t>OPC 40450-1 Section 7.5.4 Table 60 (RequestUnacknowledgedResults)</t>
        </is>
      </c>
      <c r="K7" s="332" t="n"/>
      <c r="L7" s="25" t="n"/>
      <c r="M7" s="26" t="n"/>
      <c r="N7" s="26" t="n"/>
    </row>
    <row r="8" ht="34" customHeight="1" s="173"/>
    <row r="9" ht="79" customHeight="1" s="173"/>
    <row r="10" ht="20.05" customHeight="1" s="173"/>
    <row r="11" ht="49" customHeight="1" s="173"/>
    <row r="12" ht="79" customHeight="1" s="173"/>
    <row r="13" ht="34" customHeight="1" s="173"/>
    <row r="14" ht="49" customHeight="1" s="173"/>
    <row r="15" ht="60" customHeight="1" s="173"/>
    <row r="16" ht="49" customHeight="1" s="173"/>
    <row r="17" ht="34" customHeight="1" s="173"/>
    <row r="18" ht="49" customHeight="1" s="173"/>
    <row r="19" customFormat="1" s="2"/>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5">
    <tabColor rgb="FF2E75B6"/>
    <outlinePr summaryBelow="1" summaryRight="1"/>
    <pageSetUpPr/>
  </sheetPr>
  <dimension ref="A1:N9"/>
  <sheetViews>
    <sheetView zoomScale="115" zoomScaleNormal="115" workbookViewId="0">
      <pane ySplit="3" topLeftCell="A4" activePane="bottomLeft" state="frozen"/>
      <selection pane="bottomLeft" activeCell="D9" sqref="D9"/>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CU-42: IJT Asset Management Controller</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CU-42 — IJT Asset Management Controller</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Controller instance implementing IControllerType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AssetManagement/Assets/Controllers and inspect the Controller instances it contains.</t>
        </is>
      </c>
      <c r="E5" s="331" t="inlineStr">
        <is>
          <t>The AssetManagement/Assets/Controllers folder is present.</t>
        </is>
      </c>
      <c r="F5" s="331" t="inlineStr">
        <is>
          <t>The Controllers folder contains at least one Controller instance. Each Controller instance has HasInterface References to IJoiningSystemAssetType and IControllerType, and provides all mandatory instance declarations defined by IControllerType.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Controller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Controller instance, follow the HasAddIn Reference to the DI:Identification object and read its properties.</t>
        </is>
      </c>
      <c r="E7" s="331" t="inlineStr">
        <is>
          <t>A Controller instance is accessible.</t>
        </is>
      </c>
      <c r="F7" s="331" t="inlineStr">
        <is>
          <t>The Identification AddIn is of TypeDefinition MachineIdentificationType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Controller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Controller instance, browse the Parameters folder and read its properties.</t>
        </is>
      </c>
      <c r="E9" s="331" t="inlineStr">
        <is>
          <t>A Controller instance is accessible.</t>
        </is>
      </c>
      <c r="F9" s="331" t="inlineStr">
        <is>
          <t>The Parameters folder exposes at least the following properties: Type.</t>
        </is>
      </c>
      <c r="G9" s="331" t="inlineStr">
        <is>
          <t>Good</t>
        </is>
      </c>
      <c r="H9" s="331" t="inlineStr">
        <is>
          <t>Good</t>
        </is>
      </c>
      <c r="I9" s="331" t="n"/>
      <c r="J9" s="331" t="inlineStr">
        <is>
          <t>OPC 40450-1 Section 7 (Asset Management); OPC Machinery / DI Identification</t>
        </is>
      </c>
      <c r="K9" s="332" t="n"/>
      <c r="L9" s="25" t="n"/>
      <c r="M9" s="26" t="n"/>
      <c r="N9" s="26" t="n"/>
    </row>
    <row r="10" ht="90" customHeight="1" s="173"/>
    <row r="11" ht="64" customHeight="1" s="173"/>
    <row r="12" ht="34" customFormat="1" customHeight="1" s="2"/>
    <row r="13" ht="64" customHeight="1" s="173"/>
    <row r="14" ht="49" customHeight="1" s="173"/>
    <row r="15" ht="79" customHeight="1" s="173"/>
    <row r="16" ht="34" customHeight="1" s="173"/>
    <row r="17" ht="79" customHeight="1" s="173"/>
    <row r="18" ht="20.05" customHeight="1" s="173"/>
    <row r="19" ht="25.8" customHeight="1" s="173"/>
    <row r="20" ht="25.8" customHeight="1" s="173"/>
    <row r="22" ht="25.8" customHeight="1" s="173"/>
    <row r="24" ht="25.8" customHeight="1" s="173"/>
    <row r="26" ht="25.8" customHeight="1" s="173"/>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6">
    <tabColor rgb="FF2E75B6"/>
    <outlinePr summaryBelow="1" summaryRight="1"/>
    <pageSetUpPr/>
  </sheetPr>
  <dimension ref="A1:N9"/>
  <sheetViews>
    <sheetView topLeftCell="C1" workbookViewId="0">
      <pane ySplit="3" topLeftCell="A4" activePane="bottomLeft" state="frozen"/>
      <selection pane="bottomLeft" activeCell="A1" sqref="A1:K1"/>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CU-43: IJT Asset Management Tool</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CU-43 — IJT Asset Management Tool</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Tool instance implementing IToolType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AssetManagement/Assets/Tools and inspect the Tool instances it contains.</t>
        </is>
      </c>
      <c r="E5" s="331" t="inlineStr">
        <is>
          <t>The AssetManagement/Assets/Tools folder is present.</t>
        </is>
      </c>
      <c r="F5" s="331" t="inlineStr">
        <is>
          <t>The Tools folder contains at least one Tool instance. Each Tool instance has HasInterface References to IJoiningSystemAssetType and IToolType, and provides all mandatory instance declarations defined by IToolType.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Tool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Tool instance, follow the HasAddIn Reference to the DI:Identification object and read its properties.</t>
        </is>
      </c>
      <c r="E7" s="331" t="inlineStr">
        <is>
          <t>A Tool instance is accessible.</t>
        </is>
      </c>
      <c r="F7" s="331" t="inlineStr">
        <is>
          <t>The Identification AddIn is of TypeDefinition MachineIdentificationType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Tool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Tool instance, browse the Parameters folder and read its properties.</t>
        </is>
      </c>
      <c r="E9" s="331" t="inlineStr">
        <is>
          <t>A Tool instance is accessible.</t>
        </is>
      </c>
      <c r="F9" s="331" t="inlineStr">
        <is>
          <t>The Parameters folder exposes at least the following properties: Type.</t>
        </is>
      </c>
      <c r="G9" s="331" t="inlineStr">
        <is>
          <t>Good</t>
        </is>
      </c>
      <c r="H9" s="331" t="inlineStr">
        <is>
          <t>Good</t>
        </is>
      </c>
      <c r="I9" s="331" t="n"/>
      <c r="J9" s="331" t="inlineStr">
        <is>
          <t>OPC 40450-1 Section 7 (Asset Management); OPC Machinery / DI Identification</t>
        </is>
      </c>
      <c r="K9" s="332" t="n"/>
      <c r="L9" s="25" t="n"/>
      <c r="M9" s="26" t="n"/>
      <c r="N9" s="26" t="n"/>
    </row>
    <row r="10" ht="34" customHeight="1" s="173"/>
    <row r="11" ht="64" customHeight="1" s="173"/>
    <row r="12" ht="49" customFormat="1" customHeight="1" s="2"/>
    <row r="13" ht="49" customHeight="1" s="173"/>
    <row r="14" ht="64" customHeight="1" s="173"/>
    <row r="15" ht="20.05" customHeight="1" s="173"/>
    <row r="16" ht="49" customHeight="1" s="173"/>
    <row r="17" ht="90" customHeight="1" s="173"/>
    <row r="18" ht="34" customHeight="1" s="173"/>
    <row r="19" ht="49" customHeight="1" s="173"/>
    <row r="20" ht="34" customHeight="1" s="173"/>
    <row r="21" ht="49" customHeight="1" s="173"/>
    <row r="22" ht="34" customHeight="1" s="173"/>
    <row r="23" ht="49" customHeight="1" s="173"/>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7">
    <tabColor rgb="FF2E75B6"/>
    <outlinePr summaryBelow="1" summaryRight="1"/>
    <pageSetUpPr/>
  </sheetPr>
  <dimension ref="A1:N9"/>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CU-44: IJT Asset Management Servo</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CU-44 — IJT Asset Management Servo</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Servo instance implementing IServoType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AssetManagement/Assets/Servos and inspect the Servo instances it contains.</t>
        </is>
      </c>
      <c r="E5" s="331" t="inlineStr">
        <is>
          <t>The AssetManagement/Assets/Servos folder is present.</t>
        </is>
      </c>
      <c r="F5" s="331" t="inlineStr">
        <is>
          <t>The Servos folder contains at least one Servo instance. Each Servo instance has HasInterface References to IJoiningSystemAssetType and IServoType, and provides all mandatory instance declarations defined by IServoType.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Servo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Servo instance, follow the HasAddIn Reference to the DI:Identification object and read its properties.</t>
        </is>
      </c>
      <c r="E7" s="331" t="inlineStr">
        <is>
          <t>A Servo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Servo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Servo instance, browse the Parameters folder and read its properties.</t>
        </is>
      </c>
      <c r="E9" s="331" t="inlineStr">
        <is>
          <t>A Servo instance is accessible.</t>
        </is>
      </c>
      <c r="F9" s="331" t="inlineStr">
        <is>
          <t>The Parameters folder exposes at least the following properties: NodeNumber.</t>
        </is>
      </c>
      <c r="G9" s="331" t="inlineStr">
        <is>
          <t>Good</t>
        </is>
      </c>
      <c r="H9" s="331" t="inlineStr">
        <is>
          <t>Good</t>
        </is>
      </c>
      <c r="I9" s="331" t="n"/>
      <c r="J9" s="331" t="inlineStr">
        <is>
          <t>OPC 40450-1 Section 7 (Asset Management); OPC Machinery / DI Identification</t>
        </is>
      </c>
      <c r="K9" s="332" t="n"/>
      <c r="L9" s="25" t="n"/>
      <c r="M9" s="26" t="n"/>
      <c r="N9" s="26" t="n"/>
    </row>
    <row r="10" ht="34" customHeight="1" s="173"/>
    <row r="11" ht="49" customHeight="1" s="173"/>
    <row r="12" ht="20.05" customFormat="1" customHeight="1" s="2"/>
    <row r="13" ht="34" customHeight="1" s="173"/>
    <row r="14" ht="49" customHeight="1" s="173"/>
    <row r="15" ht="34" customHeight="1" s="173"/>
    <row r="16" ht="49" customHeight="1" s="173"/>
    <row r="17" ht="34" customHeight="1" s="173"/>
    <row r="18" ht="49" customHeight="1" s="173"/>
    <row r="20" ht="25.8" customHeight="1" s="173"/>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8">
    <tabColor rgb="FF2E75B6"/>
    <outlinePr summaryBelow="1" summaryRight="1"/>
    <pageSetUpPr/>
  </sheetPr>
  <dimension ref="A1:N9"/>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CU-45: IJT Asset Management Memory Device</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CU-45 — IJT Asset Management Memory Device</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MemoryDevice instance implementing IMemoryDeviceType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AssetManagement/Assets/MemoryDevices and inspect the MemoryDevice instances it contains.</t>
        </is>
      </c>
      <c r="E5" s="331" t="inlineStr">
        <is>
          <t>The AssetManagement/Assets/MemoryDevices folder is present.</t>
        </is>
      </c>
      <c r="F5" s="331" t="inlineStr">
        <is>
          <t>The MemoryDevices folder contains at least one MemoryDevice instance. Each MemoryDevice instance has HasInterface References to IJoiningSystemAssetType and IMemoryDeviceType, and provides all mandatory instance declarations defined by IMemoryDeviceType.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MemoryDevice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MemoryDevice instance, follow the HasAddIn Reference to the DI:Identification object and read its properties.</t>
        </is>
      </c>
      <c r="E7" s="331" t="inlineStr">
        <is>
          <t>A MemoryDevice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MemoryDevice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MemoryDevice instance, browse the Parameters folder and read its properties.</t>
        </is>
      </c>
      <c r="E9" s="331" t="inlineStr">
        <is>
          <t>A MemoryDevice instance is accessible.</t>
        </is>
      </c>
      <c r="F9" s="331" t="inlineStr">
        <is>
          <t>The Parameters folder exposes at least the following properties: Type.</t>
        </is>
      </c>
      <c r="G9" s="331" t="inlineStr">
        <is>
          <t>Good</t>
        </is>
      </c>
      <c r="H9" s="331" t="inlineStr">
        <is>
          <t>Good</t>
        </is>
      </c>
      <c r="I9" s="331" t="n"/>
      <c r="J9" s="331" t="inlineStr">
        <is>
          <t>OPC 40450-1 Section 7 (Asset Management); OPC Machinery / DI Identification</t>
        </is>
      </c>
      <c r="K9" s="332" t="n"/>
      <c r="L9" s="25" t="n"/>
      <c r="M9" s="26" t="n"/>
      <c r="N9" s="26" t="n"/>
    </row>
    <row r="10" ht="20.05" customHeight="1" s="173"/>
    <row r="11" ht="34" customHeight="1" s="173"/>
    <row r="12" ht="49" customFormat="1" customHeight="1" s="2"/>
    <row r="13" ht="34" customHeight="1" s="173"/>
    <row r="14" ht="64" customHeight="1" s="173"/>
    <row r="15" ht="34" customHeight="1" s="173"/>
    <row r="16" ht="49" customHeight="1" s="173"/>
    <row r="17" ht="25.8" customHeight="1" s="173"/>
    <row r="18" ht="25.8" customHeight="1" s="173"/>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9">
    <tabColor rgb="FF2E75B6"/>
    <outlinePr summaryBelow="1" summaryRight="1"/>
    <pageSetUpPr/>
  </sheetPr>
  <dimension ref="A1:N9"/>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CU-46: IJT Asset Management Cable</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CU-46 — IJT Asset Management Cable</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Cable instance implementing ICableType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AssetManagement/Assets/Cables and inspect the Cable instances it contains.</t>
        </is>
      </c>
      <c r="E5" s="331" t="inlineStr">
        <is>
          <t>The AssetManagement/Assets/Cables folder is present.</t>
        </is>
      </c>
      <c r="F5" s="331" t="inlineStr">
        <is>
          <t>The Cables folder contains at least one Cable instance. Each Cable instance has HasInterface References to IJoiningSystemAssetType and ICableType, and provides all mandatory instance declarations defined by ICableType.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Cable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Cable instance, follow the HasAddIn Reference to the DI:Identification object and read its properties.</t>
        </is>
      </c>
      <c r="E7" s="331" t="inlineStr">
        <is>
          <t>A Cable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Cable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Cable instance, browse the Parameters folder and read its properties.</t>
        </is>
      </c>
      <c r="E9" s="331" t="inlineStr">
        <is>
          <t>A Cable instance is accessible.</t>
        </is>
      </c>
      <c r="F9" s="331" t="inlineStr">
        <is>
          <t>The Parameters folder exposes at least the following properties: Type.</t>
        </is>
      </c>
      <c r="G9" s="331" t="inlineStr">
        <is>
          <t>Good</t>
        </is>
      </c>
      <c r="H9" s="331" t="inlineStr">
        <is>
          <t>Good</t>
        </is>
      </c>
      <c r="I9" s="331" t="n"/>
      <c r="J9" s="331" t="inlineStr">
        <is>
          <t>OPC 40450-1 Section 7 (Asset Management); OPC Machinery / DI Identification</t>
        </is>
      </c>
      <c r="K9" s="332" t="n"/>
      <c r="L9" s="25" t="n"/>
      <c r="M9" s="26" t="n"/>
      <c r="N9" s="26" t="n"/>
    </row>
    <row r="10" ht="20.05" customHeight="1" s="173"/>
    <row r="11" ht="34" customHeight="1" s="173"/>
    <row r="12" ht="49" customFormat="1" customHeight="1" s="2"/>
    <row r="13" ht="34" customHeight="1" s="173"/>
    <row r="14" ht="64" customHeight="1" s="173"/>
    <row r="15" ht="34" customHeight="1" s="173"/>
    <row r="16" ht="49" customHeight="1" s="173"/>
    <row r="18" ht="25.8" customHeight="1" s="173"/>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50">
    <tabColor rgb="FF2E75B6"/>
    <outlinePr summaryBelow="1" summaryRight="1"/>
    <pageSetUpPr/>
  </sheetPr>
  <dimension ref="A1:N9"/>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CU-47: IJT Asset Management Power Supply</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CU-47 — IJT Asset Management Power Supply</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PowerSupply instance implementing IPowerSupplyType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AssetManagement/Assets/PowerSupplies and inspect the PowerSupply instances it contains.</t>
        </is>
      </c>
      <c r="E5" s="331" t="inlineStr">
        <is>
          <t>The AssetManagement/Assets/PowerSupplies folder is present.</t>
        </is>
      </c>
      <c r="F5" s="331" t="inlineStr">
        <is>
          <t>The PowerSupplies folder contains at least one PowerSupply instance. Each PowerSupply instance has HasInterface References to IJoiningSystemAssetType and IPowerSupplyType, and provides all mandatory instance declarations defined by IPowerSupplyType.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PowerSupply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PowerSupply instance, follow the HasAddIn Reference to the DI:Identification object and read its properties.</t>
        </is>
      </c>
      <c r="E7" s="331" t="inlineStr">
        <is>
          <t>A PowerSupply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PowerSupply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PowerSupply instance, browse the Parameters folder and read its properties.</t>
        </is>
      </c>
      <c r="E9" s="331" t="inlineStr">
        <is>
          <t>A PowerSupply instance is accessible.</t>
        </is>
      </c>
      <c r="F9" s="331" t="inlineStr">
        <is>
          <t>The Parameters folder exposes at least the following properties: InputSpecification.</t>
        </is>
      </c>
      <c r="G9" s="331" t="inlineStr">
        <is>
          <t>Good</t>
        </is>
      </c>
      <c r="H9" s="331" t="inlineStr">
        <is>
          <t>Good</t>
        </is>
      </c>
      <c r="I9" s="331" t="n"/>
      <c r="J9" s="331" t="inlineStr">
        <is>
          <t>OPC 40450-1 Section 7 (Asset Management); OPC Machinery / DI Identification</t>
        </is>
      </c>
      <c r="K9" s="332" t="n"/>
      <c r="L9" s="25" t="n"/>
      <c r="M9" s="26" t="n"/>
      <c r="N9" s="26" t="n"/>
    </row>
    <row r="10" ht="20.05" customHeight="1" s="173"/>
    <row r="11" ht="34" customHeight="1" s="173"/>
    <row r="12" ht="49" customFormat="1" customHeight="1" s="2"/>
    <row r="13" ht="34" customHeight="1" s="173"/>
    <row r="14" ht="49" customHeight="1" s="173"/>
    <row r="15" ht="34" customHeight="1" s="173"/>
    <row r="16" ht="49" customHeight="1" s="173"/>
    <row r="18" ht="25.8" customHeight="1" s="173"/>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51">
    <tabColor rgb="FF2E75B6"/>
    <outlinePr summaryBelow="1" summaryRight="1"/>
    <pageSetUpPr/>
  </sheetPr>
  <dimension ref="A1:N9"/>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CU-48: IJT Asset Management Feeder</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CU-48 — IJT Asset Management Feeder</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Feeder instance implementing IFeederType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AssetManagement/Assets/Feeders and inspect the Feeder instances it contains.</t>
        </is>
      </c>
      <c r="E5" s="331" t="inlineStr">
        <is>
          <t>The AssetManagement/Assets/Feeders folder is present.</t>
        </is>
      </c>
      <c r="F5" s="331" t="inlineStr">
        <is>
          <t>The Feeders folder contains at least one Feeder instance. Each Feeder instance has HasInterface References to IJoiningSystemAssetType and IFeederType, and provides all mandatory instance declarations defined by IFeederType.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Feeder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Feeder instance, follow the HasAddIn Reference to the DI:Identification object and read its properties.</t>
        </is>
      </c>
      <c r="E7" s="331" t="inlineStr">
        <is>
          <t>A Feeder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Feeder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Feeder instance, browse the Parameters folder and read its properties.</t>
        </is>
      </c>
      <c r="E9" s="331" t="inlineStr">
        <is>
          <t>A Feeder instance is accessible.</t>
        </is>
      </c>
      <c r="F9" s="331" t="inlineStr">
        <is>
          <t>The Parameters folder exposes at least the following properties: Type, Material.</t>
        </is>
      </c>
      <c r="G9" s="331" t="inlineStr">
        <is>
          <t>Good</t>
        </is>
      </c>
      <c r="H9" s="331" t="inlineStr">
        <is>
          <t>Good</t>
        </is>
      </c>
      <c r="I9" s="331" t="n"/>
      <c r="J9" s="331" t="inlineStr">
        <is>
          <t>OPC 40450-1 Section 7 (Asset Management); OPC Machinery / DI Identification</t>
        </is>
      </c>
      <c r="K9" s="332" t="n"/>
      <c r="L9" s="25" t="n"/>
      <c r="M9" s="26" t="n"/>
      <c r="N9" s="26" t="n"/>
    </row>
    <row r="10" ht="20.05" customHeight="1" s="173"/>
    <row r="11" ht="49" customHeight="1" s="173"/>
    <row r="12" ht="79" customFormat="1" customHeight="1" s="2"/>
    <row r="13" ht="34" customHeight="1" s="173"/>
    <row r="14" ht="49" customHeight="1" s="173"/>
    <row r="15" ht="34" customHeight="1" s="173"/>
    <row r="16" ht="49" customHeight="1" s="173"/>
    <row r="17" ht="34" customHeight="1" s="173"/>
    <row r="18" ht="49" customHeight="1" s="173"/>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52">
    <tabColor rgb="FF2E75B6"/>
    <outlinePr summaryBelow="1" summaryRight="1"/>
    <pageSetUpPr/>
  </sheetPr>
  <dimension ref="A1:N9"/>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CU-49: IJT Asset Management Battery</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CU-49 — IJT Asset Management Battery</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a Battery instance implementing IBatteryType</t>
        </is>
      </c>
      <c r="E4" s="304" t="n"/>
      <c r="F4" s="304" t="n"/>
      <c r="G4" s="304" t="n"/>
      <c r="H4" s="304" t="n"/>
      <c r="I4" s="304" t="inlineStr">
        <is>
          <t>n</t>
        </is>
      </c>
      <c r="J4" s="304" t="inlineStr">
        <is>
          <t>OPC 40450-1 Section 7.3 Table 19</t>
        </is>
      </c>
      <c r="K4" s="305" t="inlineStr">
        <is>
          <t>Interface is IBatteryType per JoiningSystemType Table 19 (the CU contract text's 'IFeederType' is a spec CU-table typo).</t>
        </is>
      </c>
      <c r="L4" s="25" t="n"/>
      <c r="M4" s="26" t="n"/>
      <c r="N4" s="26" t="n"/>
    </row>
    <row r="5" ht="79" customHeight="1" s="173">
      <c r="A5" s="329" t="n"/>
      <c r="B5" s="330" t="n"/>
      <c r="C5" s="331" t="n">
        <v>1</v>
      </c>
      <c r="D5" s="331" t="inlineStr">
        <is>
          <t>Browse AssetManagement/Assets/Batteries and inspect the Battery instances it contains.</t>
        </is>
      </c>
      <c r="E5" s="331" t="inlineStr">
        <is>
          <t>The AssetManagement/Assets/Batteries folder is present.</t>
        </is>
      </c>
      <c r="F5" s="331" t="inlineStr">
        <is>
          <t>The Batteries folder contains at least one Battery instance. Each Battery instance has HasInterface References to IJoiningSystemAssetType and IBatteryType, and provides all mandatory instance declarations defined by IBatteryType.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Battery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Battery instance, follow the HasAddIn Reference to the DI:Identification object and read its properties.</t>
        </is>
      </c>
      <c r="E7" s="331" t="inlineStr">
        <is>
          <t>A Battery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Battery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Battery instance, browse the Parameters folder and read its properties.</t>
        </is>
      </c>
      <c r="E9" s="331" t="inlineStr">
        <is>
          <t>A Battery instance is accessible.</t>
        </is>
      </c>
      <c r="F9" s="331" t="inlineStr">
        <is>
          <t>The Parameters folder exposes at least the following properties: Type, NominalVoltage, Capacity.</t>
        </is>
      </c>
      <c r="G9" s="331" t="inlineStr">
        <is>
          <t>Good</t>
        </is>
      </c>
      <c r="H9" s="331" t="inlineStr">
        <is>
          <t>Good</t>
        </is>
      </c>
      <c r="I9" s="331" t="n"/>
      <c r="J9" s="331" t="inlineStr">
        <is>
          <t>OPC 40450-1 Section 7 (Asset Management); OPC Machinery / DI Identification</t>
        </is>
      </c>
      <c r="K9" s="332" t="n"/>
      <c r="L9" s="25" t="n"/>
      <c r="M9" s="26" t="n"/>
      <c r="N9" s="26" t="n"/>
    </row>
    <row r="10" ht="20.05" customHeight="1" s="173"/>
    <row r="11" ht="49" customHeight="1" s="173"/>
    <row r="12" ht="79" customFormat="1" customHeight="1" s="2"/>
    <row r="13" ht="34" customHeight="1" s="173"/>
    <row r="14" ht="49" customHeight="1" s="173"/>
    <row r="15" ht="34" customHeight="1" s="173"/>
    <row r="16" ht="49" customHeight="1" s="173"/>
    <row r="17" ht="34" customHeight="1" s="173"/>
    <row r="18" ht="64" customHeight="1" s="173"/>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3">
    <tabColor rgb="FF2E75B6"/>
    <outlinePr summaryBelow="1" summaryRight="1"/>
    <pageSetUpPr/>
  </sheetPr>
  <dimension ref="A1:N9"/>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CU-50: IJT Asset Management Sensor</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CU-50 — IJT Asset Management Sensor</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Sensor instance implementing ISensorType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AssetManagement/Assets/Sensors and inspect the Sensor instances it contains.</t>
        </is>
      </c>
      <c r="E5" s="331" t="inlineStr">
        <is>
          <t>The AssetManagement/Assets/Sensors folder is present.</t>
        </is>
      </c>
      <c r="F5" s="331" t="inlineStr">
        <is>
          <t>The Sensors folder contains at least one Sensor instance. Each Sensor instance has HasInterface References to IJoiningSystemAssetType and ISensorType, and provides all mandatory instance declarations defined by ISensorType.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Sensor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Sensor instance, follow the HasAddIn Reference to the DI:Identification object and read its properties.</t>
        </is>
      </c>
      <c r="E7" s="331" t="inlineStr">
        <is>
          <t>A Sensor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Sensor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Sensor instance, browse the Parameters folder and read its properties.</t>
        </is>
      </c>
      <c r="E9" s="331" t="inlineStr">
        <is>
          <t>A Sensor instance is accessible.</t>
        </is>
      </c>
      <c r="F9" s="331" t="inlineStr">
        <is>
          <t>The Parameters folder exposes at least the following properties: Type.</t>
        </is>
      </c>
      <c r="G9" s="331" t="inlineStr">
        <is>
          <t>Good</t>
        </is>
      </c>
      <c r="H9" s="331" t="inlineStr">
        <is>
          <t>Good</t>
        </is>
      </c>
      <c r="I9" s="331" t="n"/>
      <c r="J9" s="331" t="inlineStr">
        <is>
          <t>OPC 40450-1 Section 7 (Asset Management); OPC Machinery / DI Identification</t>
        </is>
      </c>
      <c r="K9" s="332" t="n"/>
      <c r="L9" s="25" t="n"/>
      <c r="M9" s="26" t="n"/>
      <c r="N9" s="26" t="n"/>
    </row>
    <row r="10" ht="20.05" customHeight="1" s="173"/>
    <row r="11" ht="34" customHeight="1" s="173"/>
    <row r="12" ht="49" customFormat="1" customHeight="1" s="2"/>
    <row r="13" ht="34" customHeight="1" s="173"/>
    <row r="14" ht="64" customHeight="1" s="173"/>
    <row r="15" ht="34" customHeight="1" s="173"/>
    <row r="16" ht="49" customHeight="1" s="173"/>
    <row r="18" ht="25.8" customHeight="1" s="173"/>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4">
    <tabColor rgb="FF2E75B6"/>
    <outlinePr summaryBelow="1" summaryRight="1"/>
    <pageSetUpPr/>
  </sheetPr>
  <dimension ref="A1:N9"/>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CU-51: IJT Asset Management Accessory</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CU-51 — IJT Asset Management Accessory</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Accessory instance implementing IAccessoryType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AssetManagement/Assets/Accessories and inspect the Accessory instances it contains.</t>
        </is>
      </c>
      <c r="E5" s="331" t="inlineStr">
        <is>
          <t>The AssetManagement/Assets/Accessories folder is present.</t>
        </is>
      </c>
      <c r="F5" s="331" t="inlineStr">
        <is>
          <t>The Accessories folder contains at least one Accessory instance. Each Accessory instance has HasInterface References to IJoiningSystemAssetType and IAccessoryType, and provides all mandatory instance declarations defined by IAccessoryType.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Accessory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Accessory instance, follow the HasAddIn Reference to the DI:Identification object and read its properties.</t>
        </is>
      </c>
      <c r="E7" s="331" t="inlineStr">
        <is>
          <t>A Accessory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Accessory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Accessory instance, browse the Parameters folder and read its properties.</t>
        </is>
      </c>
      <c r="E9" s="331" t="inlineStr">
        <is>
          <t>A Accessory instance is accessible.</t>
        </is>
      </c>
      <c r="F9" s="331" t="inlineStr">
        <is>
          <t>The Parameters folder exposes at least the following properties: Type.</t>
        </is>
      </c>
      <c r="G9" s="331" t="inlineStr">
        <is>
          <t>Good</t>
        </is>
      </c>
      <c r="H9" s="331" t="inlineStr">
        <is>
          <t>Good</t>
        </is>
      </c>
      <c r="I9" s="331" t="n"/>
      <c r="J9" s="331" t="inlineStr">
        <is>
          <t>OPC 40450-1 Section 7 (Asset Management); OPC Machinery / DI Identification</t>
        </is>
      </c>
      <c r="K9" s="332" t="n"/>
      <c r="L9" s="25" t="n"/>
      <c r="M9" s="26" t="n"/>
      <c r="N9" s="26" t="n"/>
    </row>
    <row r="10" ht="20.05" customHeight="1" s="173"/>
    <row r="11" ht="34" customHeight="1" s="173"/>
    <row r="12" ht="49" customFormat="1" customHeight="1" s="2"/>
    <row r="13" ht="34" customHeight="1" s="173"/>
    <row r="14" ht="64" customHeight="1" s="173"/>
    <row r="15" ht="34" customHeight="1" s="173"/>
    <row r="16" ht="49" customHeight="1" s="173"/>
    <row r="18" ht="25.8" customHeight="1" s="173"/>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5">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CU-52: IJT Asset Management Software</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CU-52 — IJT Asset Management Software</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Software instance implementing ISoftwareType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AssetManagement/Assets/SoftwareComponents and inspect the Software instances it contains.</t>
        </is>
      </c>
      <c r="E5" s="331" t="inlineStr">
        <is>
          <t>The AssetManagement/Assets/SoftwareComponents folder is present.</t>
        </is>
      </c>
      <c r="F5" s="331" t="inlineStr">
        <is>
          <t>The SoftwareComponents folder contains at least one Software instance. Each Software instance has HasInterface References to IJoiningSystemAssetType and ISoftwareType, and provides all mandatory instance declarations defined by ISoftwareType.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Software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64" customHeight="1" s="173">
      <c r="A7" s="329" t="n"/>
      <c r="B7" s="330" t="n"/>
      <c r="C7" s="331" t="n">
        <v>1</v>
      </c>
      <c r="D7" s="331" t="inlineStr">
        <is>
          <t>On a Software instance, follow the HasAddIn Reference to the DI:Identification object and read its properties.</t>
        </is>
      </c>
      <c r="E7" s="331" t="inlineStr">
        <is>
          <t>A Software instance is accessible.</t>
        </is>
      </c>
      <c r="F7" s="331" t="inlineStr">
        <is>
          <t>The Identification AddIn is of TypeDefinition MachineryComponentIdentificationType and exposes at least the following properties: ProductInstanceUri, Manufacturer, ManufacturerUri, Model, SerialNumber.</t>
        </is>
      </c>
      <c r="G7" s="331" t="inlineStr">
        <is>
          <t>Good</t>
        </is>
      </c>
      <c r="H7" s="331" t="inlineStr">
        <is>
          <t>Good</t>
        </is>
      </c>
      <c r="I7" s="331" t="n"/>
      <c r="J7" s="331" t="inlineStr">
        <is>
          <t>OPC 40450-1 Section 7 (Asset Management); OPC Machinery / DI Identification</t>
        </is>
      </c>
      <c r="K7" s="332" t="n"/>
      <c r="L7" s="25" t="n"/>
      <c r="M7" s="26" t="n"/>
      <c r="N7" s="26" t="n"/>
    </row>
    <row r="8" ht="34" customHeight="1" s="173"/>
    <row r="9" ht="90" customHeight="1" s="173"/>
    <row r="10" ht="20.05" customHeight="1" s="173"/>
    <row r="11" ht="34" customHeight="1" s="173"/>
    <row r="12" ht="49" customFormat="1" customHeight="1" s="2"/>
    <row r="13" ht="34" customHeight="1" s="173"/>
    <row r="14" ht="49" customHeight="1" s="173"/>
    <row r="15" ht="34" customHeight="1" s="173"/>
    <row r="16" ht="49" customHeight="1" s="173"/>
    <row r="18" ht="25.8" customHeight="1" s="173"/>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6">
    <tabColor rgb="FF2E75B6"/>
    <outlinePr summaryBelow="1" summaryRight="1"/>
    <pageSetUpPr/>
  </sheetPr>
  <dimension ref="A1:N9"/>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CU-53: IJT Asset Management SubComponent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CU-53 — IJT Asset Management SubComponent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SubComponent instance implementing ISubComponentType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AssetManagement/Assets/SubComponents and inspect the SubComponent instances it contains.</t>
        </is>
      </c>
      <c r="E5" s="331" t="inlineStr">
        <is>
          <t>The AssetManagement/Assets/SubComponents folder is present.</t>
        </is>
      </c>
      <c r="F5" s="331" t="inlineStr">
        <is>
          <t>The SubComponents folder contains at least one SubComponent instance. Each SubComponent instance has HasInterface References to IJoiningSystemAssetType and ISubComponentType, and provides all mandatory instance declarations defined by ISubComponentType.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SubComponent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SubComponent instance, follow the HasAddIn Reference to the DI:Identification object and read its properties.</t>
        </is>
      </c>
      <c r="E7" s="331" t="inlineStr">
        <is>
          <t>A SubComponent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SubComponent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SubComponent instance, browse the Parameters folder and read its properties.</t>
        </is>
      </c>
      <c r="E9" s="331" t="inlineStr">
        <is>
          <t>A SubComponent instance is accessible.</t>
        </is>
      </c>
      <c r="F9" s="331" t="inlineStr">
        <is>
          <t>The Parameters folder exposes at least the following properties: Type.</t>
        </is>
      </c>
      <c r="G9" s="331" t="inlineStr">
        <is>
          <t>Good</t>
        </is>
      </c>
      <c r="H9" s="331" t="inlineStr">
        <is>
          <t>Good</t>
        </is>
      </c>
      <c r="I9" s="331" t="n"/>
      <c r="J9" s="331" t="inlineStr">
        <is>
          <t>OPC 40450-1 Section 7 (Asset Management); OPC Machinery / DI Identification</t>
        </is>
      </c>
      <c r="K9" s="332" t="n"/>
      <c r="L9" s="25" t="n"/>
      <c r="M9" s="26" t="n"/>
      <c r="N9" s="26" t="n"/>
    </row>
    <row r="10" ht="20.05" customHeight="1" s="173"/>
    <row r="11" ht="49" customHeight="1" s="173"/>
    <row r="12" ht="90" customFormat="1" customHeight="1" s="2"/>
    <row r="13" ht="60" customHeight="1" s="173"/>
    <row r="14" ht="49" customHeight="1" s="173"/>
    <row r="15" ht="34" customHeight="1" s="173"/>
    <row r="16" ht="64" customHeight="1" s="173"/>
    <row r="17" ht="34" customHeight="1" s="173"/>
    <row r="18" ht="49" customHeight="1" s="173"/>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7">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CU-54: IJT Asset Management Virtual Station</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CU-54 — IJT Asset Management Virtual Station</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VirtualStation instance implementing IVirtualStationType</t>
        </is>
      </c>
      <c r="E4" s="304" t="n"/>
      <c r="F4" s="304" t="n"/>
      <c r="G4" s="304" t="n"/>
      <c r="H4" s="304" t="n"/>
      <c r="I4" s="304" t="inlineStr">
        <is>
          <t>n</t>
        </is>
      </c>
      <c r="J4" s="304" t="inlineStr">
        <is>
          <t>OPC 40450-1 Section 7.3 Table 19</t>
        </is>
      </c>
      <c r="K4" s="305" t="inlineStr"/>
      <c r="L4" s="25" t="n"/>
      <c r="M4" s="26" t="n"/>
      <c r="N4" s="26" t="n"/>
    </row>
    <row r="5" ht="90" customHeight="1" s="173">
      <c r="A5" s="329" t="n"/>
      <c r="B5" s="330" t="n"/>
      <c r="C5" s="331" t="n">
        <v>1</v>
      </c>
      <c r="D5" s="331" t="inlineStr">
        <is>
          <t>Browse AssetManagement/Assets/VirtualStations and inspect the VirtualStation instances it contains.</t>
        </is>
      </c>
      <c r="E5" s="331" t="inlineStr">
        <is>
          <t>The AssetManagement/Assets/VirtualStations folder is present.</t>
        </is>
      </c>
      <c r="F5" s="331" t="inlineStr">
        <is>
          <t>The VirtualStations folder contains at least one VirtualStation instance. Each VirtualStation instance has HasInterface References to IJoiningSystemAssetType and IVirtualStationType, and provides all mandatory instance declarations defined by IVirtualStationType.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VirtualStation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64" customHeight="1" s="173">
      <c r="A7" s="329" t="n"/>
      <c r="B7" s="330" t="n"/>
      <c r="C7" s="331" t="n">
        <v>1</v>
      </c>
      <c r="D7" s="331" t="inlineStr">
        <is>
          <t>On a VirtualStation instance, follow the HasAddIn Reference to the DI:Identification object and read its properties.</t>
        </is>
      </c>
      <c r="E7" s="331" t="inlineStr">
        <is>
          <t>A VirtualStation instance is accessible.</t>
        </is>
      </c>
      <c r="F7" s="331" t="inlineStr">
        <is>
          <t>The Identification AddIn is of TypeDefinition MachineryComponentIdentificationType and exposes at least the following properties: ProductInstanceUri, Manufacturer, ManufacturerUri, Model, SerialNumber.</t>
        </is>
      </c>
      <c r="G7" s="331" t="inlineStr">
        <is>
          <t>Good</t>
        </is>
      </c>
      <c r="H7" s="331" t="inlineStr">
        <is>
          <t>Good</t>
        </is>
      </c>
      <c r="I7" s="331" t="n"/>
      <c r="J7" s="331" t="inlineStr">
        <is>
          <t>OPC 40450-1 Section 7 (Asset Management); OPC Machinery / DI Identification</t>
        </is>
      </c>
      <c r="K7" s="332" t="n"/>
      <c r="L7" s="25" t="n"/>
      <c r="M7" s="26" t="n"/>
      <c r="N7" s="26" t="n"/>
    </row>
    <row r="8" ht="34" customHeight="1" s="173"/>
    <row r="9" ht="90" customHeight="1" s="173"/>
    <row r="10" ht="34" customHeight="1" s="173"/>
    <row r="11" ht="64" customHeight="1" s="173"/>
    <row r="12" ht="20.05" customFormat="1" customHeight="1" s="2"/>
    <row r="13" ht="34" customHeight="1" s="173"/>
    <row r="14" ht="49" customHeight="1" s="173"/>
    <row r="15" ht="34" customHeight="1" s="173"/>
    <row r="16" ht="49" customHeight="1" s="173"/>
    <row r="17" ht="34" customHeight="1" s="173"/>
    <row r="18" ht="49" customHeight="1" s="173"/>
    <row r="20" ht="25.8" customHeight="1" s="173"/>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8">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CU-55: IJT Asset Management Operation Counters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CU-55 — IJT Asset Management Operation Counters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an asset OperationCounters object</t>
        </is>
      </c>
      <c r="E4" s="304" t="n"/>
      <c r="F4" s="304" t="n"/>
      <c r="G4" s="304" t="n"/>
      <c r="H4" s="304" t="n"/>
      <c r="I4" s="304" t="inlineStr">
        <is>
          <t>n</t>
        </is>
      </c>
      <c r="J4" s="304" t="inlineStr">
        <is>
          <t>OPC 40450-1 Section 7 (Asset Management); OPC Machinery / DI Identification</t>
        </is>
      </c>
      <c r="K4" s="305" t="n"/>
    </row>
    <row r="5" ht="64" customFormat="1" customHeight="1" s="2">
      <c r="A5" s="329" t="n"/>
      <c r="B5" s="307" t="n"/>
      <c r="C5" s="307" t="n">
        <v>1</v>
      </c>
      <c r="D5" s="307" t="inlineStr">
        <is>
          <t>Across the asset instances, find one that exposes an OperationCounters object and inspect it.</t>
        </is>
      </c>
      <c r="E5" s="307" t="inlineStr">
        <is>
          <t>At least one asset instance is accessible.</t>
        </is>
      </c>
      <c r="F5" s="307" t="inlineStr">
        <is>
          <t>At least one asset instance exposes an OperationCounters object of TypeDefinition Machinery:MachineryOperationCounterType that contains at least one counter Variable.</t>
        </is>
      </c>
      <c r="G5" s="307" t="inlineStr">
        <is>
          <t>Good</t>
        </is>
      </c>
      <c r="H5" s="307" t="inlineStr">
        <is>
          <t>Good</t>
        </is>
      </c>
      <c r="I5" s="307" t="n"/>
      <c r="J5" s="307" t="inlineStr">
        <is>
          <t>OPC 40450-1 Section 7 (Asset Management); OPC Machinery / DI Identification</t>
        </is>
      </c>
      <c r="K5" s="332" t="n"/>
    </row>
    <row r="6" ht="34" customHeight="1" s="173"/>
    <row r="7" ht="49" customHeight="1" s="173"/>
    <row r="8" ht="34" customHeight="1" s="173"/>
    <row r="9" ht="79" customHeight="1" s="173"/>
    <row r="10" ht="34" customHeight="1" s="173"/>
    <row r="11" ht="49" customHeight="1" s="173"/>
    <row r="12" ht="20.05" customHeight="1" s="173"/>
    <row r="13" ht="49" customHeight="1" s="173"/>
    <row r="14" ht="90" customHeight="1" s="173"/>
    <row r="15" ht="60" customHeight="1" s="173"/>
    <row r="16" ht="49" customHeight="1" s="173"/>
    <row r="17" ht="34" customHeight="1" s="173"/>
    <row r="18" ht="49" customHeight="1" s="173"/>
    <row r="19" ht="34" customHeight="1" s="173"/>
    <row r="20" ht="49" customHeight="1" s="173"/>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9">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CU-56: IJT Asset Management Tool Operation Cycle Counter</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CU-56 — IJT Asset Management Tool Operation Cycle Counter</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Tool OperationCycleCounter</t>
        </is>
      </c>
      <c r="E4" s="304" t="n"/>
      <c r="F4" s="304" t="n"/>
      <c r="G4" s="304" t="n"/>
      <c r="H4" s="304" t="n"/>
      <c r="I4" s="304" t="inlineStr">
        <is>
          <t>n</t>
        </is>
      </c>
      <c r="J4" s="304" t="inlineStr">
        <is>
          <t>OPC 40450-1 Section 7 (Asset Management); OPC Machinery / DI Identification</t>
        </is>
      </c>
      <c r="K4" s="305" t="n"/>
    </row>
    <row r="5" ht="49" customFormat="1" customHeight="1" s="2">
      <c r="A5" s="329" t="n"/>
      <c r="B5" s="307" t="n"/>
      <c r="C5" s="307" t="n">
        <v>1</v>
      </c>
      <c r="D5" s="307" t="inlineStr">
        <is>
          <t>On a Tool instance, browse the OperationCounters object and inspect its OperationCycleCounter.</t>
        </is>
      </c>
      <c r="E5" s="307" t="inlineStr">
        <is>
          <t>The optional components and properties described in the test case are supported. A Tool instance is accessible.</t>
        </is>
      </c>
      <c r="F5" s="307" t="inlineStr">
        <is>
          <t>The Tool exposes an OperationCounters object of TypeDefinition Machinery:MachineryOperationCounterType that includes the OperationCycleCounter Variable.</t>
        </is>
      </c>
      <c r="G5" s="307" t="inlineStr">
        <is>
          <t>Good</t>
        </is>
      </c>
      <c r="H5" s="307" t="inlineStr">
        <is>
          <t>Good</t>
        </is>
      </c>
      <c r="I5" s="307" t="n"/>
      <c r="J5" s="307" t="inlineStr">
        <is>
          <t>OPC 40450-1 Section 7 (Asset Management); OPC Machinery / DI Identification</t>
        </is>
      </c>
      <c r="K5" s="332" t="n"/>
    </row>
    <row r="6" ht="34" customHeight="1" s="173"/>
    <row r="7" ht="64" customHeight="1" s="173"/>
    <row r="8" ht="34" customHeight="1" s="173"/>
    <row r="9" ht="34" customHeight="1" s="173"/>
    <row r="10" ht="34" customHeight="1" s="173"/>
    <row r="11" ht="34" customHeight="1" s="173"/>
    <row r="12" ht="20.05" customHeight="1" s="173"/>
    <row r="13" ht="60" customHeight="1" s="173"/>
    <row r="14" ht="79" customHeight="1" s="173"/>
    <row r="15" ht="34" customHeight="1" s="173"/>
    <row r="16" ht="49" customHeight="1" s="173"/>
    <row r="17" ht="34" customHeight="1" s="173"/>
    <row r="18" ht="49" customHeight="1" s="173"/>
    <row r="19" ht="34" customHeight="1" s="173"/>
    <row r="20" ht="49" customHeight="1" s="173"/>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60">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CU-57: IJT Asset Management Battery Operation Cycle Counter</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CU-57 — IJT Asset Management Battery Operation Cycle Counter</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Battery OperationCycleCounter</t>
        </is>
      </c>
      <c r="E4" s="304" t="n"/>
      <c r="F4" s="304" t="n"/>
      <c r="G4" s="304" t="n"/>
      <c r="H4" s="304" t="n"/>
      <c r="I4" s="304" t="inlineStr">
        <is>
          <t>n</t>
        </is>
      </c>
      <c r="J4" s="304" t="inlineStr">
        <is>
          <t>OPC 40450-1 Section 7 (Asset Management); OPC Machinery / DI Identification</t>
        </is>
      </c>
      <c r="K4" s="305" t="n"/>
    </row>
    <row r="5" ht="49" customFormat="1" customHeight="1" s="2">
      <c r="A5" s="329" t="n"/>
      <c r="B5" s="307" t="n"/>
      <c r="C5" s="307" t="n">
        <v>1</v>
      </c>
      <c r="D5" s="307" t="inlineStr">
        <is>
          <t>On a Battery instance, browse the OperationCounters object and inspect its OperationCycleCounter.</t>
        </is>
      </c>
      <c r="E5" s="307" t="inlineStr">
        <is>
          <t>The optional components and properties described in the test case are supported. A Battery instance is accessible.</t>
        </is>
      </c>
      <c r="F5" s="307" t="inlineStr">
        <is>
          <t>The Battery exposes an OperationCounters object of TypeDefinition Machinery:MachineryOperationCounterType that includes the OperationCycleCounter Variable.</t>
        </is>
      </c>
      <c r="G5" s="307" t="inlineStr">
        <is>
          <t>Good</t>
        </is>
      </c>
      <c r="H5" s="307" t="inlineStr">
        <is>
          <t>Good</t>
        </is>
      </c>
      <c r="I5" s="307" t="n"/>
      <c r="J5" s="307" t="inlineStr">
        <is>
          <t>OPC 40450-1 Section 7 (Asset Management); OPC Machinery / DI Identification</t>
        </is>
      </c>
      <c r="K5" s="332" t="n"/>
    </row>
    <row r="6" ht="34" customHeight="1" s="173"/>
    <row r="7" ht="34" customHeight="1" s="173"/>
    <row r="8" ht="34" customHeight="1" s="173"/>
    <row r="9" ht="34" customHeight="1" s="173"/>
    <row r="10" ht="60" customHeight="1" s="173"/>
    <row r="11" ht="34" customHeight="1" s="173"/>
    <row r="12" ht="20.05" customHeight="1" s="173"/>
    <row r="13" ht="60" customHeight="1" s="173"/>
    <row r="14" ht="79" customHeight="1" s="173"/>
    <row r="15" ht="34" customHeight="1" s="173"/>
    <row r="16" ht="49" customHeight="1" s="173"/>
    <row r="17" ht="34" customHeight="1" s="173"/>
    <row r="18" ht="49" customHeight="1" s="173"/>
    <row r="19" ht="34" customHeight="1" s="173"/>
    <row r="20" ht="49" customHeight="1" s="173"/>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61">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CU-58: IJT Asset Management Health</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CU-58 — IJT Asset Management Health</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an asset Health object</t>
        </is>
      </c>
      <c r="E4" s="304" t="n"/>
      <c r="F4" s="304" t="n"/>
      <c r="G4" s="304" t="n"/>
      <c r="H4" s="304" t="n"/>
      <c r="I4" s="304" t="inlineStr">
        <is>
          <t>n</t>
        </is>
      </c>
      <c r="J4" s="304" t="inlineStr">
        <is>
          <t>OPC 40450-1 Section 7 (Asset Management); OPC Machinery / DI Identification</t>
        </is>
      </c>
      <c r="K4" s="305" t="n"/>
    </row>
    <row r="5" ht="49" customFormat="1" customHeight="1" s="2">
      <c r="A5" s="329" t="n"/>
      <c r="B5" s="307" t="n"/>
      <c r="C5" s="307" t="n">
        <v>1</v>
      </c>
      <c r="D5" s="307" t="inlineStr">
        <is>
          <t>Across the asset instances, find one that exposes a Health object and read its DeviceHealth.</t>
        </is>
      </c>
      <c r="E5" s="307" t="inlineStr">
        <is>
          <t>At least one asset instance is accessible.</t>
        </is>
      </c>
      <c r="F5" s="307" t="inlineStr">
        <is>
          <t>At least one asset instance exposes a Health object that includes the DeviceHealth property (DeviceHealthEnumeration).</t>
        </is>
      </c>
      <c r="G5" s="307" t="inlineStr">
        <is>
          <t>Good</t>
        </is>
      </c>
      <c r="H5" s="307" t="inlineStr">
        <is>
          <t>Good</t>
        </is>
      </c>
      <c r="I5" s="307" t="n"/>
      <c r="J5" s="307" t="inlineStr">
        <is>
          <t>OPC 40450-1 Section 7 (Asset Management); OPC Machinery / DI Identification</t>
        </is>
      </c>
      <c r="K5" s="332" t="n"/>
    </row>
    <row r="6" ht="34" customHeight="1" s="173"/>
    <row r="7" ht="49" customHeight="1" s="173"/>
    <row r="8" ht="34" customHeight="1" s="173"/>
    <row r="9" ht="64" customHeight="1" s="173"/>
    <row r="10" ht="34" customHeight="1" s="173"/>
    <row r="11" ht="34" customHeight="1" s="173"/>
    <row r="12" ht="34" customHeight="1" s="173"/>
    <row r="13" ht="49" customHeight="1" s="173"/>
    <row r="14" ht="20.05" customHeight="1" s="173"/>
    <row r="15" ht="49" customHeight="1" s="173"/>
    <row r="16" ht="79" customHeight="1" s="173"/>
    <row r="17" ht="34" customHeight="1" s="173"/>
    <row r="18" ht="49" customHeight="1" s="173"/>
    <row r="19" ht="34" customHeight="1" s="173"/>
    <row r="20" ht="49" customHeight="1" s="173"/>
    <row r="21" ht="34" customHeight="1" s="173"/>
    <row r="22" ht="49" customHeight="1" s="173"/>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62">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CU-59: IJT Asset Management Monitoring Health</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CU-59 — IJT Asset Management Monitoring Health</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an asset Monitoring.Health object</t>
        </is>
      </c>
      <c r="E4" s="304" t="n"/>
      <c r="F4" s="304" t="n"/>
      <c r="G4" s="304" t="n"/>
      <c r="H4" s="304" t="n"/>
      <c r="I4" s="304" t="inlineStr">
        <is>
          <t>n</t>
        </is>
      </c>
      <c r="J4" s="304" t="inlineStr">
        <is>
          <t>OPC 40450-1 Section 7 (Asset Management); OPC Machinery / DI Identification</t>
        </is>
      </c>
      <c r="K4" s="305" t="n"/>
    </row>
    <row r="5" ht="49" customFormat="1" customHeight="1" s="2">
      <c r="A5" s="329" t="n"/>
      <c r="B5" s="307" t="n"/>
      <c r="C5" s="307" t="n">
        <v>1</v>
      </c>
      <c r="D5" s="307" t="inlineStr">
        <is>
          <t>Across the asset instances, find one that exposes a Monitoring object and read Monitoring.Health.DeviceHealth.</t>
        </is>
      </c>
      <c r="E5" s="307" t="inlineStr">
        <is>
          <t>At least one asset instance is accessible.</t>
        </is>
      </c>
      <c r="F5" s="307" t="inlineStr">
        <is>
          <t>At least one asset instance exposes a Monitoring object whose Health object includes the DeviceHealth property (DeviceHealthEnumeration).</t>
        </is>
      </c>
      <c r="G5" s="307" t="inlineStr">
        <is>
          <t>Good</t>
        </is>
      </c>
      <c r="H5" s="307" t="inlineStr">
        <is>
          <t>Good</t>
        </is>
      </c>
      <c r="I5" s="307" t="n"/>
      <c r="J5" s="307" t="inlineStr">
        <is>
          <t>OPC 40450-1 Section 7 (Asset Management); OPC Machinery / DI Identification</t>
        </is>
      </c>
      <c r="K5" s="332" t="n"/>
    </row>
    <row r="6" ht="34" customHeight="1" s="173"/>
    <row r="7" ht="49" customHeight="1" s="173"/>
    <row r="8" ht="34" customHeight="1" s="173"/>
    <row r="9" ht="49" customHeight="1" s="173"/>
    <row r="10" ht="34" customHeight="1" s="173"/>
    <row r="11" ht="64" customHeight="1" s="173"/>
    <row r="12" ht="20.05" customHeight="1" s="173"/>
    <row r="13" ht="34" customHeight="1" s="173"/>
    <row r="14" ht="49" customHeight="1" s="173"/>
    <row r="15" ht="34" customHeight="1" s="173"/>
    <row r="16" ht="49" customHeight="1" s="173"/>
    <row r="17" ht="34" customHeight="1" s="173"/>
    <row r="18" ht="34" customHeight="1" s="173"/>
    <row r="20" ht="25.8" customHeight="1" s="173"/>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3">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CU-60: IJT Asset Management Service</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CU-60 — IJT Asset Management Service</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an asset Maintenance.Service object</t>
        </is>
      </c>
      <c r="E4" s="304" t="n"/>
      <c r="F4" s="304" t="n"/>
      <c r="G4" s="304" t="n"/>
      <c r="H4" s="304" t="n"/>
      <c r="I4" s="304" t="inlineStr">
        <is>
          <t>n</t>
        </is>
      </c>
      <c r="J4" s="304" t="inlineStr">
        <is>
          <t>OPC 40450-1 Section 7 (Asset Management); OPC Machinery / DI Identification</t>
        </is>
      </c>
      <c r="K4" s="305" t="n"/>
    </row>
    <row r="5" ht="49" customFormat="1" customHeight="1" s="2">
      <c r="A5" s="329" t="n"/>
      <c r="B5" s="307" t="n"/>
      <c r="C5" s="307" t="n">
        <v>1</v>
      </c>
      <c r="D5" s="307" t="inlineStr">
        <is>
          <t>Across the asset instances, find one that exposes a Maintenance object and read Maintenance.Service.</t>
        </is>
      </c>
      <c r="E5" s="307" t="inlineStr">
        <is>
          <t>At least one asset instance is accessible.</t>
        </is>
      </c>
      <c r="F5" s="307" t="inlineStr">
        <is>
          <t>At least one asset instance exposes a Maintenance object whose Service object includes at least the LastService and ServicePlace properties.</t>
        </is>
      </c>
      <c r="G5" s="307" t="inlineStr">
        <is>
          <t>Good</t>
        </is>
      </c>
      <c r="H5" s="307" t="inlineStr">
        <is>
          <t>Good</t>
        </is>
      </c>
      <c r="I5" s="307" t="n"/>
      <c r="J5" s="307" t="inlineStr">
        <is>
          <t>OPC 40450-1 Section 7 (Asset Management); OPC Machinery / DI Identification</t>
        </is>
      </c>
      <c r="K5" s="332" t="n"/>
    </row>
    <row r="6" ht="34" customHeight="1" s="173"/>
    <row r="7" ht="64" customHeight="1" s="173"/>
    <row r="8" ht="34" customHeight="1" s="173"/>
    <row r="9" ht="49" customHeight="1" s="173"/>
    <row r="10" ht="34" customHeight="1" s="173"/>
    <row r="11" ht="64" customHeight="1" s="173"/>
    <row r="12" ht="20.05" customHeight="1" s="173"/>
    <row r="13" ht="34" customHeight="1" s="173"/>
    <row r="14" ht="49" customHeight="1" s="173"/>
    <row r="16" ht="25.8" customHeight="1" s="173"/>
    <row r="18" ht="25.8" customHeight="1" s="173"/>
    <row r="20" ht="25.8" customHeight="1" s="173"/>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4">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CU-61: IJT Asset Management Calibration</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CU-61 — IJT Asset Management Calibration</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an asset Maintenance.Calibration object</t>
        </is>
      </c>
      <c r="E4" s="304" t="n"/>
      <c r="F4" s="304" t="n"/>
      <c r="G4" s="304" t="n"/>
      <c r="H4" s="304" t="n"/>
      <c r="I4" s="304" t="inlineStr">
        <is>
          <t>n</t>
        </is>
      </c>
      <c r="J4" s="304" t="inlineStr">
        <is>
          <t>OPC 40450-1 Section 7 (Asset Management); OPC Machinery / DI Identification</t>
        </is>
      </c>
      <c r="K4" s="305" t="inlineStr">
        <is>
          <t>Calibration is primarily on a Sensor; if no Sensor is exposed, it is allowed on the Tool.</t>
        </is>
      </c>
    </row>
    <row r="5" ht="49" customFormat="1" customHeight="1" s="2">
      <c r="A5" s="329" t="n"/>
      <c r="B5" s="307" t="n"/>
      <c r="C5" s="307" t="n">
        <v>1</v>
      </c>
      <c r="D5" s="307" t="inlineStr">
        <is>
          <t>On a Sensor instance (or, if no Sensor is exposed, on a Tool instance), browse the Maintenance object and read Maintenance.Calibration.</t>
        </is>
      </c>
      <c r="E5" s="307" t="inlineStr">
        <is>
          <t>A Sensor instance is accessible; otherwise a Tool instance is accessible.</t>
        </is>
      </c>
      <c r="F5" s="307" t="inlineStr">
        <is>
          <t>The asset exposes a Maintenance object whose Calibration object includes at least the LastCalibration and CalibrationValue properties.</t>
        </is>
      </c>
      <c r="G5" s="307" t="inlineStr">
        <is>
          <t>Good</t>
        </is>
      </c>
      <c r="H5" s="307" t="inlineStr">
        <is>
          <t>Good</t>
        </is>
      </c>
      <c r="I5" s="307" t="n"/>
      <c r="J5" s="307" t="inlineStr">
        <is>
          <t>OPC 40450-1 Section 7 (Asset Management); OPC Machinery / DI Identification</t>
        </is>
      </c>
      <c r="K5" s="332" t="n"/>
    </row>
    <row r="6" ht="34" customHeight="1" s="173"/>
    <row r="7" ht="64" customHeight="1" s="173"/>
    <row r="8" ht="34" customHeight="1" s="173"/>
    <row r="9" ht="49" customHeight="1" s="173"/>
    <row r="10" ht="34" customHeight="1" s="173"/>
    <row r="11" ht="64" customHeight="1" s="173"/>
    <row r="12" ht="34" customHeight="1" s="173"/>
    <row r="13" ht="64" customHeight="1" s="173"/>
    <row r="14" ht="20.05" customHeight="1" s="173"/>
    <row r="15" ht="49" customHeight="1" s="173"/>
    <row r="16" ht="90" customHeight="1" s="173"/>
    <row r="17" ht="34" customHeight="1" s="173"/>
    <row r="18" ht="49" customHeight="1" s="173"/>
    <row r="19" ht="34" customHeight="1" s="173"/>
    <row r="20" ht="49" customHeight="1" s="173"/>
    <row r="21" ht="60" customHeight="1" s="173"/>
    <row r="22" ht="49" customHeight="1" s="173"/>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5">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CU-62: IJT Asset Management Additional Information</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CU-62 — IJT Asset Management Additional Information</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IJoiningAdditionalInformationType on asset Identification</t>
        </is>
      </c>
      <c r="E4" s="304" t="n"/>
      <c r="F4" s="304" t="n"/>
      <c r="G4" s="304" t="n"/>
      <c r="H4" s="304" t="n"/>
      <c r="I4" s="304" t="inlineStr">
        <is>
          <t>n</t>
        </is>
      </c>
      <c r="J4" s="304" t="inlineStr">
        <is>
          <t>OPC 40450-1 Section 7 (Asset Management); OPC Machinery / DI Identification</t>
        </is>
      </c>
      <c r="K4" s="305" t="n"/>
      <c r="L4" s="25" t="n"/>
      <c r="M4" s="26" t="n"/>
      <c r="N4" s="26" t="n"/>
    </row>
    <row r="5" ht="64" customHeight="1" s="173">
      <c r="A5" s="329" t="n"/>
      <c r="B5" s="330" t="n"/>
      <c r="C5" s="331" t="n">
        <v>1</v>
      </c>
      <c r="D5" s="331" t="inlineStr">
        <is>
          <t>For each asset instance, on its Identification AddIn verify the HasInterface Reference to IJoiningAdditionalInformationType and read the JoiningTechnology property.</t>
        </is>
      </c>
      <c r="E5" s="331" t="inlineStr">
        <is>
          <t>At least one asset instance is accessible.</t>
        </is>
      </c>
      <c r="F5" s="331" t="inlineStr">
        <is>
          <t>Every asset instance's Identification AddIn has a HasInterface Reference to IJoiningAdditionalInformationType and exposes at least the JoiningTechnology property.</t>
        </is>
      </c>
      <c r="G5" s="331" t="inlineStr">
        <is>
          <t>Good</t>
        </is>
      </c>
      <c r="H5" s="331" t="inlineStr">
        <is>
          <t>Good</t>
        </is>
      </c>
      <c r="I5" s="331" t="n"/>
      <c r="J5" s="331" t="inlineStr">
        <is>
          <t>OPC 40450-1 Section 7 (Asset Management); OPC Machinery / DI Identification</t>
        </is>
      </c>
      <c r="K5" s="332" t="n"/>
      <c r="L5" s="25" t="n"/>
      <c r="M5" s="26" t="n"/>
      <c r="N5" s="26" t="n"/>
    </row>
    <row r="6" ht="34" customHeight="1" s="173"/>
    <row r="7" ht="64" customHeight="1" s="173"/>
    <row r="8" ht="34" customHeight="1" s="173"/>
    <row r="9" ht="49" customHeight="1" s="173"/>
    <row r="10" ht="34" customHeight="1" s="173"/>
    <row r="11" ht="49" customHeight="1" s="173"/>
    <row r="12" ht="49" customFormat="1" customHeight="1" s="2"/>
    <row r="13" ht="64" customHeight="1" s="173"/>
    <row r="14" ht="20.05" customHeight="1" s="173"/>
    <row r="15" ht="60" customHeight="1" s="173"/>
    <row r="16" ht="49" customHeight="1" s="173"/>
    <row r="17" ht="34" customHeight="1" s="173"/>
    <row r="18" ht="49" customHeight="1" s="173"/>
    <row r="19" ht="34" customHeight="1" s="173"/>
    <row r="20" ht="49" customHeight="1" s="173"/>
    <row r="22" ht="25.8" customHeight="1" s="173"/>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tabColor rgb="FF2E75B6"/>
    <outlinePr summaryBelow="1" summaryRight="1"/>
    <pageSetUpPr/>
  </sheetPr>
  <dimension ref="A1:K5"/>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CU-63: IJT Asset Management Machinery Building Blocks</t>
        </is>
      </c>
    </row>
    <row r="2" ht="22" customHeight="1" s="173">
      <c r="A2" s="340">
        <f>HYPERLINK("#'Home'!A1","⌂ Home")</f>
        <v/>
      </c>
      <c r="C2" s="341" t="inlineStr">
        <is>
          <t>CU-63 — IJT Asset Management Machinery Building Blocks</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optional MachineryBuildingBlocks on asset instances</t>
        </is>
      </c>
      <c r="E4" s="313" t="n"/>
      <c r="F4" s="313" t="n"/>
      <c r="G4" s="313" t="n"/>
      <c r="H4" s="313" t="n"/>
      <c r="I4" s="313" t="inlineStr">
        <is>
          <t>n</t>
        </is>
      </c>
      <c r="J4" s="313" t="inlineStr">
        <is>
          <t>OPC 40450-1 Section 7 (Asset Management); OPC Machinery / DI Identification</t>
        </is>
      </c>
      <c r="K4" s="313" t="n"/>
    </row>
    <row r="5" ht="79" customHeight="1" s="173">
      <c r="A5" s="307" t="n"/>
      <c r="B5" s="307" t="n"/>
      <c r="C5" s="307" t="n">
        <v>1</v>
      </c>
      <c r="D5" s="307" t="inlineStr">
        <is>
          <t>For each asset instance that exposes it, verify the Machinery:MachineryBuildingBlocks folder and its contents.</t>
        </is>
      </c>
      <c r="E5" s="307" t="inlineStr">
        <is>
          <t>The optional components and properties described in the test case are supported. At least one asset instance is accessible.</t>
        </is>
      </c>
      <c r="F5" s="307" t="inlineStr">
        <is>
          <t>Each present Machinery:MachineryBuildingBlocks node is an Object with TypeDefinition = the OPC UA FolderType (or subtype); each contained building block is an Object whose TypeDefinition is defined by OPC UA for Machinery.</t>
        </is>
      </c>
      <c r="G5" s="307" t="inlineStr">
        <is>
          <t>Good</t>
        </is>
      </c>
      <c r="H5" s="307" t="inlineStr">
        <is>
          <t>Good</t>
        </is>
      </c>
      <c r="I5" s="307" t="n"/>
      <c r="J5" s="307" t="inlineStr">
        <is>
          <t>OPC 40450-1 Section 7 (Asset Management); OPC Machinery / DI Identification</t>
        </is>
      </c>
      <c r="K5" s="307" t="n"/>
    </row>
    <row r="6" ht="34" customHeight="1" s="173"/>
    <row r="7" ht="90" customHeight="1" s="173"/>
    <row r="8" ht="34" customHeight="1" s="173"/>
    <row r="9" ht="64" customHeight="1" s="173"/>
    <row r="10" ht="34" customHeight="1" s="173"/>
    <row r="11" ht="79" customHeight="1" s="173"/>
    <row r="12" ht="20.05" customHeight="1" s="173"/>
    <row r="13" ht="34" customHeight="1" s="173"/>
    <row r="14" ht="49" customHeight="1" s="173"/>
    <row r="15" ht="60" customHeight="1" s="173"/>
    <row r="16" ht="34" customHeight="1" s="173"/>
    <row r="17" ht="34" customHeight="1" s="173"/>
    <row r="18" ht="49" customHeight="1" s="173"/>
    <row r="19" ht="34" customHeight="1" s="173"/>
    <row r="20" ht="49" customHeight="1" s="173"/>
  </sheetData>
  <mergeCells count="2">
    <mergeCell ref="A1:K1"/>
    <mergeCell ref="C2:J2"/>
  </mergeCells>
  <pageMargins left="0.75" right="0.75" top="1" bottom="1" header="0.5" footer="0.5"/>
</worksheet>
</file>

<file path=xl/worksheets/sheet67.xml><?xml version="1.0" encoding="utf-8"?>
<worksheet xmlns="http://schemas.openxmlformats.org/spreadsheetml/2006/main">
  <sheetPr codeName="Sheet5">
    <tabColor rgb="FF2E75B6"/>
    <outlinePr summaryBelow="1" summaryRight="1"/>
    <pageSetUpPr/>
  </sheetPr>
  <dimension ref="A1:N11"/>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CU-64: IJT Method Input Argument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CU-64 — IJT Method Input Argument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documented empty ProductInstanceUri handling</t>
        </is>
      </c>
      <c r="E4" s="304" t="n"/>
      <c r="F4" s="304" t="n"/>
      <c r="G4" s="304" t="n"/>
      <c r="H4" s="304" t="n"/>
      <c r="I4" s="304" t="inlineStr">
        <is>
          <t>n</t>
        </is>
      </c>
      <c r="J4" s="304" t="inlineStr">
        <is>
          <t>OPC 40450-1 Section 7.6 (ProductInstanceUri); Section 7.4 status</t>
        </is>
      </c>
      <c r="K4" s="305" t="n"/>
    </row>
    <row r="5" ht="90" customFormat="1" customHeight="1" s="2">
      <c r="A5" s="329" t="n"/>
      <c r="B5" s="307" t="n"/>
      <c r="C5" s="307" t="n">
        <v>1</v>
      </c>
      <c r="D5" s="307" t="inlineStr">
        <is>
          <t>Call an asset method with ProductInstanceUri set to an empty String.</t>
        </is>
      </c>
      <c r="E5" s="307" t="inlineStr">
        <is>
          <t>An asset method with a ProductInstanceUri input is exposed.</t>
        </is>
      </c>
      <c r="F5" s="307" t="inlineStr">
        <is>
          <t>The empty String is a supplied, decodable argument and is not reported as Bad_ArgumentsMissing. If the Server resolves it to the asset where it is running, the method can return Status = 0; otherwise the method reports its domain outcome through CallMethodResult.StatusCode and the Status/StatusMessage outputs. No fixed Status = 3 outcome is required.</t>
        </is>
      </c>
      <c r="G5" s="307" t="inlineStr">
        <is>
          <t>Good</t>
        </is>
      </c>
      <c r="H5" s="307" t="inlineStr">
        <is>
          <t>Good or Uncertain with explanatory Status/StatusMessage</t>
        </is>
      </c>
      <c r="I5" s="307" t="n"/>
      <c r="J5" s="307" t="inlineStr">
        <is>
          <t>OPC 40450-1 Section 7.6 (ProductInstanceUri); Section 7.4 status</t>
        </is>
      </c>
      <c r="K5" s="332" t="n"/>
    </row>
    <row r="6" ht="49" customHeight="1" s="173">
      <c r="A6" s="323" t="inlineStr">
        <is>
          <t>y</t>
        </is>
      </c>
      <c r="B6" s="324" t="n">
        <v>2</v>
      </c>
      <c r="C6" s="325" t="n">
        <v>0</v>
      </c>
      <c r="D6" s="325" t="inlineStr">
        <is>
          <t>Verify a valid ProductInstanceUri targets that asset</t>
        </is>
      </c>
      <c r="E6" s="325" t="n"/>
      <c r="F6" s="325" t="n"/>
      <c r="G6" s="325" t="n"/>
      <c r="H6" s="325" t="n"/>
      <c r="I6" s="325" t="inlineStr">
        <is>
          <t>n</t>
        </is>
      </c>
      <c r="J6" s="325" t="inlineStr">
        <is>
          <t>OPC 40450-1 Section 7.6 (ProductInstanceUri); Section 7.4 status</t>
        </is>
      </c>
      <c r="K6" s="326" t="n"/>
    </row>
    <row r="7" ht="49" customHeight="1" s="173">
      <c r="A7" s="307" t="n"/>
      <c r="B7" s="307" t="n"/>
      <c r="C7" s="307" t="n">
        <v>1</v>
      </c>
      <c r="D7" s="307" t="inlineStr">
        <is>
          <t>Call the method with ProductInstanceUri set to the ProductInstanceUri of an asset exposed by the Server.</t>
        </is>
      </c>
      <c r="E7" s="307" t="inlineStr">
        <is>
          <t>An asset method with a ProductInstanceUri input is exposed.</t>
        </is>
      </c>
      <c r="F7" s="307" t="inlineStr">
        <is>
          <t>The Call Service returns Good; Status = 0 (OK); the method is applied to the identified asset.</t>
        </is>
      </c>
      <c r="G7" s="307" t="inlineStr">
        <is>
          <t>Good</t>
        </is>
      </c>
      <c r="H7" s="307" t="inlineStr">
        <is>
          <t>Status = 0 (OK)</t>
        </is>
      </c>
      <c r="I7" s="307" t="n"/>
      <c r="J7" s="307" t="inlineStr">
        <is>
          <t>OPC 40450-1 Section 7.6 (ProductInstanceUri); Section 7.4 status</t>
        </is>
      </c>
      <c r="K7" s="307" t="n"/>
    </row>
    <row r="8" ht="49" customHeight="1" s="173">
      <c r="A8" s="313" t="inlineStr">
        <is>
          <t>y</t>
        </is>
      </c>
      <c r="B8" s="313" t="n">
        <v>3</v>
      </c>
      <c r="C8" s="313" t="n">
        <v>0</v>
      </c>
      <c r="D8" s="313" t="inlineStr">
        <is>
          <t>Verify rejection of an unknown ProductInstanceUri</t>
        </is>
      </c>
      <c r="E8" s="313" t="n"/>
      <c r="F8" s="313" t="n"/>
      <c r="G8" s="313" t="n"/>
      <c r="H8" s="313" t="n"/>
      <c r="I8" s="313" t="inlineStr">
        <is>
          <t>n</t>
        </is>
      </c>
      <c r="J8" s="313" t="inlineStr">
        <is>
          <t>OPC 40450-1 Section 7.6 (ProductInstanceUri); Section 7.4 status</t>
        </is>
      </c>
      <c r="K8" s="313" t="n"/>
    </row>
    <row r="9" ht="64" customHeight="1" s="173">
      <c r="A9" s="307" t="n"/>
      <c r="B9" s="307" t="n"/>
      <c r="C9" s="307" t="n">
        <v>1</v>
      </c>
      <c r="D9" s="307" t="inlineStr">
        <is>
          <t>Call the method with a ProductInstanceUri that is not exposed by the Server.</t>
        </is>
      </c>
      <c r="E9" s="307" t="inlineStr">
        <is>
          <t>An asset method with a ProductInstanceUri input is exposed.</t>
        </is>
      </c>
      <c r="F9" s="307" t="inlineStr">
        <is>
          <t>The Call Service returns Good (ResponseHeader.ServiceResult = Good); CallMethodResult.StatusCode = Uncertain; Status output = 2 (ProductInstanceUri not found) with a StatusMessage.</t>
        </is>
      </c>
      <c r="G9" s="307" t="inlineStr">
        <is>
          <t>Good</t>
        </is>
      </c>
      <c r="H9" s="307" t="inlineStr">
        <is>
          <t>CallMethodResult.StatusCode = Uncertain; Status output = 2</t>
        </is>
      </c>
      <c r="I9" s="307" t="n"/>
      <c r="J9" s="307" t="inlineStr">
        <is>
          <t>OPC 40450-1 Section 7.6 (ProductInstanceUri); Section 7.4 status</t>
        </is>
      </c>
      <c r="K9" s="307" t="n"/>
    </row>
    <row r="10" ht="49" customHeight="1" s="173">
      <c r="A10" s="313" t="inlineStr">
        <is>
          <t>y</t>
        </is>
      </c>
      <c r="B10" s="313" t="n">
        <v>4</v>
      </c>
      <c r="C10" s="313" t="n">
        <v>0</v>
      </c>
      <c r="D10" s="313" t="inlineStr">
        <is>
          <t>Verify rejection when the method is not applicable to the asset</t>
        </is>
      </c>
      <c r="E10" s="313" t="n"/>
      <c r="F10" s="313" t="n"/>
      <c r="G10" s="313" t="n"/>
      <c r="H10" s="313" t="n"/>
      <c r="I10" s="313" t="inlineStr">
        <is>
          <t>n</t>
        </is>
      </c>
      <c r="J10" s="313" t="inlineStr">
        <is>
          <t>OPC 40450-1 Section 7.6 (ProductInstanceUri); Section 7.4 status</t>
        </is>
      </c>
      <c r="K10" s="313" t="n"/>
    </row>
    <row r="11" ht="64" customHeight="1" s="173">
      <c r="A11" s="307" t="n"/>
      <c r="B11" s="307" t="n"/>
      <c r="C11" s="307" t="n">
        <v>1</v>
      </c>
      <c r="D11" s="307" t="inlineStr">
        <is>
          <t>Call the method with a ProductInstanceUri of an asset for which the method is not applicable.</t>
        </is>
      </c>
      <c r="E11" s="307" t="inlineStr">
        <is>
          <t>An asset method with a ProductInstanceUri input is exposed.</t>
        </is>
      </c>
      <c r="F11" s="307" t="inlineStr">
        <is>
          <t>The Call Service returns Good (ResponseHeader.ServiceResult = Good); CallMethodResult.StatusCode = Uncertain; Status output = 3 (ProductInstanceUri not applicable) with a StatusMessage.</t>
        </is>
      </c>
      <c r="G11" s="307" t="inlineStr">
        <is>
          <t>Good</t>
        </is>
      </c>
      <c r="H11" s="307" t="inlineStr">
        <is>
          <t>CallMethodResult.StatusCode = Uncertain; Status output = 3</t>
        </is>
      </c>
      <c r="I11" s="307" t="n"/>
      <c r="J11" s="307" t="inlineStr">
        <is>
          <t>OPC 40450-1 Section 7.6 (ProductInstanceUri); Section 7.4 status</t>
        </is>
      </c>
      <c r="K11" s="307" t="n"/>
    </row>
    <row r="12" ht="34" customHeight="1" s="173"/>
    <row r="13" ht="49" customHeight="1" s="173"/>
    <row r="14" ht="20.05" customHeight="1" s="173"/>
    <row r="15" ht="34" customHeight="1" s="173"/>
    <row r="16" ht="64" customHeight="1" s="173"/>
    <row r="17" ht="34" customHeight="1" s="173"/>
    <row r="18" ht="64" customHeight="1" s="173"/>
    <row r="19" ht="34" customHeight="1" s="173"/>
    <row r="20" ht="49" customHeight="1" s="173"/>
    <row r="21" ht="34" customHeight="1" s="173"/>
    <row r="22" ht="49" customHeight="1" s="173"/>
    <row r="24" ht="25.8" customHeight="1" s="173"/>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6">
    <tabColor rgb="FF2E75B6"/>
    <outlinePr summaryBelow="1" summaryRight="1"/>
    <pageSetUpPr/>
  </sheetPr>
  <dimension ref="A1:N1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CU-65: IJT Disconnect Asset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CU-65 — IJT Disconnect Asset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DisconnectAsset method signature</t>
        </is>
      </c>
      <c r="E4" s="304" t="n"/>
      <c r="F4" s="304" t="n"/>
      <c r="G4" s="304" t="n"/>
      <c r="H4" s="304" t="n"/>
      <c r="I4" s="304" t="inlineStr">
        <is>
          <t>n</t>
        </is>
      </c>
      <c r="J4" s="304" t="inlineStr">
        <is>
          <t>OPC 40450-1 Section 7.6 Table 68; Section 7.4 status</t>
        </is>
      </c>
      <c r="K4" s="305" t="inlineStr"/>
    </row>
    <row r="5" ht="64" customFormat="1" customHeight="1" s="2">
      <c r="A5" s="329" t="n"/>
      <c r="B5" s="307" t="n"/>
      <c r="C5" s="307" t="n">
        <v>1</v>
      </c>
      <c r="D5" s="307" t="inlineStr">
        <is>
          <t>Browse the asset MethodSet for DisconnectAsset and read its InputArguments and OutputArguments.</t>
        </is>
      </c>
      <c r="E5" s="307" t="inlineStr">
        <is>
          <t>The Server exposes the DisconnectAsset method.</t>
        </is>
      </c>
      <c r="F5" s="307" t="inlineStr">
        <is>
          <t>DisconnectAsset is a Method. InputArguments = ProductInstanceUri (String), Disconnect (Boolean). OutputArguments = Status (Int64), StatusMessage (LocalizedText).</t>
        </is>
      </c>
      <c r="G5" s="307" t="inlineStr">
        <is>
          <t>Good</t>
        </is>
      </c>
      <c r="H5" s="307" t="inlineStr">
        <is>
          <t>Good</t>
        </is>
      </c>
      <c r="I5" s="307" t="n"/>
      <c r="J5" s="307" t="inlineStr">
        <is>
          <t>OPC 40450-1 Section 7.6 Table 68; Section 7.4 status</t>
        </is>
      </c>
      <c r="K5" s="332" t="n"/>
    </row>
    <row r="6" ht="49" customHeight="1" s="173">
      <c r="A6" s="323" t="inlineStr">
        <is>
          <t>y</t>
        </is>
      </c>
      <c r="B6" s="324" t="n">
        <v>2</v>
      </c>
      <c r="C6" s="325" t="n">
        <v>0</v>
      </c>
      <c r="D6" s="325" t="inlineStr">
        <is>
          <t>Call DisconnectAsset and verify the outcome</t>
        </is>
      </c>
      <c r="E6" s="325" t="n"/>
      <c r="F6" s="325" t="n"/>
      <c r="G6" s="325" t="n"/>
      <c r="H6" s="325" t="n"/>
      <c r="I6" s="325" t="inlineStr">
        <is>
          <t>n</t>
        </is>
      </c>
      <c r="J6" s="325" t="inlineStr">
        <is>
          <t>OPC 40450-1 Section 7.6 Table 68; Section 7.4 status</t>
        </is>
      </c>
      <c r="K6" s="326" t="n"/>
    </row>
    <row r="7" ht="49" customHeight="1" s="173">
      <c r="A7" s="307" t="n"/>
      <c r="B7" s="307" t="n"/>
      <c r="C7" s="307" t="n">
        <v>1</v>
      </c>
      <c r="D7" s="307" t="inlineStr">
        <is>
          <t>Call DisconnectAsset with valid input arguments (a valid ProductInstanceUri of an asset exposed by the Server).</t>
        </is>
      </c>
      <c r="E7" s="307" t="inlineStr">
        <is>
          <t>The DisconnectAsset method is callable.</t>
        </is>
      </c>
      <c r="F7" s="307" t="inlineStr">
        <is>
          <t>The Call Service returns Good; Status = 0 (OK) with a StatusMessage. The asset connection state is updated.</t>
        </is>
      </c>
      <c r="G7" s="307" t="inlineStr">
        <is>
          <t>Good</t>
        </is>
      </c>
      <c r="H7" s="307" t="inlineStr">
        <is>
          <t>Status = 0 (OK)</t>
        </is>
      </c>
      <c r="I7" s="307" t="n"/>
      <c r="J7" s="307" t="inlineStr">
        <is>
          <t>OPC 40450-1 Section 7.6 Table 68;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y</t>
        </is>
      </c>
      <c r="B9" s="366" t="n">
        <v>3</v>
      </c>
      <c r="C9" s="366" t="n">
        <v>0</v>
      </c>
      <c r="D9" s="366" t="inlineStr">
        <is>
          <t>Verify DisconnectAsset rejects an invalid ProductInstanceUri</t>
        </is>
      </c>
      <c r="E9" s="366" t="n"/>
      <c r="F9" s="366" t="n"/>
      <c r="G9" s="366" t="n"/>
      <c r="H9" s="366" t="n"/>
      <c r="I9" s="366" t="inlineStr">
        <is>
          <t>n</t>
        </is>
      </c>
      <c r="J9" s="366" t="inlineStr">
        <is>
          <t>OPC 40450-1 Section 7.6 Table 68; Section 7.4 status</t>
        </is>
      </c>
      <c r="K9" s="366" t="n"/>
    </row>
    <row r="10" ht="64" customHeight="1" s="173">
      <c r="A10" s="307" t="n"/>
      <c r="B10" s="307" t="n"/>
      <c r="C10" s="307" t="n">
        <v>1</v>
      </c>
      <c r="D10" s="307" t="inlineStr">
        <is>
          <t>Call DisconnectAsset with a ProductInstanceUri that is not exposed by the Server; all other arguments valid.</t>
        </is>
      </c>
      <c r="E10" s="307" t="inlineStr">
        <is>
          <t>The DisconnectAsset method is exposed.</t>
        </is>
      </c>
      <c r="F10" s="307" t="inlineStr">
        <is>
          <t>The Call Service returns Good (ResponseHeader.ServiceResult = Good); CallMethodResult.StatusCode = Uncertain; Status output = 2 (ProductInstanceUri not found) with a StatusMessage.</t>
        </is>
      </c>
      <c r="G10" s="307" t="inlineStr">
        <is>
          <t>Good</t>
        </is>
      </c>
      <c r="H10" s="307" t="inlineStr">
        <is>
          <t>CallMethodResult.StatusCode = Uncertain; Status output = 2</t>
        </is>
      </c>
      <c r="I10" s="307" t="n"/>
      <c r="J10" s="307" t="inlineStr">
        <is>
          <t>OPC 40450-1 Section 7.6 Table 68; Section 7.4 status</t>
        </is>
      </c>
      <c r="K10" s="307" t="n"/>
    </row>
    <row r="11" ht="49" customHeight="1" s="173"/>
    <row r="12" ht="90" customHeight="1" s="173"/>
    <row r="13" ht="49" customHeight="1" s="173"/>
    <row r="14" ht="64" customHeight="1" s="173"/>
    <row r="15" ht="34" customHeight="1" s="173"/>
    <row r="16" ht="79" customHeight="1" s="173"/>
    <row r="17" ht="34" customHeight="1" s="173"/>
    <row r="18" ht="64" customHeight="1" s="173"/>
    <row r="19" ht="34" customHeight="1" s="173"/>
    <row r="20" ht="90" customHeight="1" s="173"/>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codeName="Sheet67">
    <tabColor rgb="FF2E75B6"/>
    <outlinePr summaryBelow="1" summaryRight="1"/>
    <pageSetUpPr/>
  </sheetPr>
  <dimension ref="A1:N10"/>
  <sheetViews>
    <sheetView tabSelected="1" workbookViewId="0">
      <pane ySplit="3" topLeftCell="A11" activePane="bottomLeft" state="frozen"/>
      <selection pane="bottomLeft" activeCell="D16" sqref="D16"/>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CU-66: IJT Enable Tool</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CU-66 — IJT Enable Tool</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EnableAsset method signature</t>
        </is>
      </c>
      <c r="E4" s="304" t="n"/>
      <c r="F4" s="304" t="n"/>
      <c r="G4" s="304" t="n"/>
      <c r="H4" s="304" t="n"/>
      <c r="I4" s="304" t="inlineStr">
        <is>
          <t>n</t>
        </is>
      </c>
      <c r="J4" s="304" t="inlineStr">
        <is>
          <t>OPC 40450-1 Section 7.6 Table 66; Section 7.4 status</t>
        </is>
      </c>
      <c r="K4" s="305" t="inlineStr">
        <is>
          <t>Primarily applicable to Tool instances.</t>
        </is>
      </c>
    </row>
    <row r="5" ht="49" customFormat="1" customHeight="1" s="2">
      <c r="A5" s="329" t="n"/>
      <c r="B5" s="307" t="n"/>
      <c r="C5" s="307" t="n">
        <v>1</v>
      </c>
      <c r="D5" s="307" t="inlineStr">
        <is>
          <t>Browse the asset MethodSet for EnableAsset and read its InputArguments and OutputArguments.</t>
        </is>
      </c>
      <c r="E5" s="307" t="inlineStr">
        <is>
          <t>The Server exposes the EnableAsset method.</t>
        </is>
      </c>
      <c r="F5" s="307" t="inlineStr">
        <is>
          <t>EnableAsset is a Method. InputArguments = ProductInstanceUri (String), Enable (Boolean). OutputArguments = Status (Int64), StatusMessage (LocalizedText).</t>
        </is>
      </c>
      <c r="G5" s="307" t="inlineStr">
        <is>
          <t>Good</t>
        </is>
      </c>
      <c r="H5" s="307" t="inlineStr">
        <is>
          <t>Good</t>
        </is>
      </c>
      <c r="I5" s="307" t="n"/>
      <c r="J5" s="307" t="inlineStr">
        <is>
          <t>OPC 40450-1 Section 7.6 Table 66; Section 7.4 status</t>
        </is>
      </c>
      <c r="K5" s="332" t="n"/>
    </row>
    <row r="6" ht="49" customHeight="1" s="173">
      <c r="A6" s="323" t="inlineStr">
        <is>
          <t>y</t>
        </is>
      </c>
      <c r="B6" s="324" t="n">
        <v>2</v>
      </c>
      <c r="C6" s="325" t="n">
        <v>0</v>
      </c>
      <c r="D6" s="325" t="inlineStr">
        <is>
          <t>Call EnableAsset and verify the outcome</t>
        </is>
      </c>
      <c r="E6" s="325" t="n"/>
      <c r="F6" s="325" t="n"/>
      <c r="G6" s="325" t="n"/>
      <c r="H6" s="325" t="n"/>
      <c r="I6" s="325" t="inlineStr">
        <is>
          <t>n</t>
        </is>
      </c>
      <c r="J6" s="325" t="inlineStr">
        <is>
          <t>OPC 40450-1 Section 7.6 Table 66; Section 7.4 status</t>
        </is>
      </c>
      <c r="K6" s="326" t="n"/>
    </row>
    <row r="7" ht="49" customHeight="1" s="173">
      <c r="A7" s="307" t="n"/>
      <c r="B7" s="307" t="n"/>
      <c r="C7" s="307" t="n">
        <v>1</v>
      </c>
      <c r="D7" s="307" t="inlineStr">
        <is>
          <t>Call EnableAsset with valid input arguments (a valid ProductInstanceUri of an asset exposed by the Server).</t>
        </is>
      </c>
      <c r="E7" s="307" t="inlineStr">
        <is>
          <t>The EnableAsset method is callable.</t>
        </is>
      </c>
      <c r="F7" s="307" t="inlineStr">
        <is>
          <t>The Call Service returns Good; Status = 0 (OK) with a StatusMessage. The asset is enabled or disabled.</t>
        </is>
      </c>
      <c r="G7" s="307" t="inlineStr">
        <is>
          <t>Good</t>
        </is>
      </c>
      <c r="H7" s="307" t="inlineStr">
        <is>
          <t>Status = 0 (OK)</t>
        </is>
      </c>
      <c r="I7" s="307" t="n"/>
      <c r="J7" s="307" t="inlineStr">
        <is>
          <t>OPC 40450-1 Section 7.6 Table 66;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y</t>
        </is>
      </c>
      <c r="B9" s="366" t="n">
        <v>3</v>
      </c>
      <c r="C9" s="366" t="n">
        <v>0</v>
      </c>
      <c r="D9" s="366" t="inlineStr">
        <is>
          <t>Verify EnableAsset rejects an invalid ProductInstanceUri</t>
        </is>
      </c>
      <c r="E9" s="366" t="n"/>
      <c r="F9" s="366" t="n"/>
      <c r="G9" s="366" t="n"/>
      <c r="H9" s="366" t="n"/>
      <c r="I9" s="366" t="inlineStr">
        <is>
          <t>n</t>
        </is>
      </c>
      <c r="J9" s="366" t="inlineStr">
        <is>
          <t>OPC 40450-1 Section 7.6 Table 66; Section 7.4 status</t>
        </is>
      </c>
      <c r="K9" s="366" t="n"/>
    </row>
    <row r="10" ht="64" customHeight="1" s="173">
      <c r="A10" s="307" t="n"/>
      <c r="B10" s="307" t="n"/>
      <c r="C10" s="307" t="n">
        <v>1</v>
      </c>
      <c r="D10" s="307" t="inlineStr">
        <is>
          <t>Call EnableAsset with a ProductInstanceUri that is not exposed by the Server; all other arguments valid.</t>
        </is>
      </c>
      <c r="E10" s="307" t="inlineStr">
        <is>
          <t>The EnableAsset method is exposed.</t>
        </is>
      </c>
      <c r="F10" s="307" t="inlineStr">
        <is>
          <t>The Call Service returns Good (ResponseHeader.ServiceResult = Good); CallMethodResult.StatusCode = Uncertain; Status output = 2 (ProductInstanceUri not found) with a StatusMessage.</t>
        </is>
      </c>
      <c r="G10" s="307" t="inlineStr">
        <is>
          <t>Good</t>
        </is>
      </c>
      <c r="H10" s="307" t="inlineStr">
        <is>
          <t>CallMethodResult.StatusCode = Uncertain; Status output = 2</t>
        </is>
      </c>
      <c r="I10" s="307" t="n"/>
      <c r="J10" s="307" t="inlineStr">
        <is>
          <t>OPC 40450-1 Section 7.6 Table 66; Section 7.4 status</t>
        </is>
      </c>
      <c r="K10" s="307" t="n"/>
    </row>
    <row r="11" ht="49" customHeight="1" s="173"/>
    <row r="12" ht="90" customHeight="1" s="173"/>
    <row r="13" ht="49" customHeight="1" s="173"/>
    <row r="14" ht="64" customHeight="1" s="173"/>
    <row r="15" ht="34" customHeight="1" s="173"/>
    <row r="16" ht="64" customHeight="1" s="173"/>
    <row r="17" ht="34" customHeight="1" s="173"/>
    <row r="18" ht="79" customHeight="1" s="173"/>
    <row r="19" ht="34" customHeight="1" s="173"/>
    <row r="20" ht="64" customHeight="1" s="173"/>
    <row r="21" ht="34" customHeight="1" s="173"/>
    <row r="22" ht="90" customHeight="1" s="173"/>
  </sheetData>
  <mergeCells count="2">
    <mergeCell ref="A1:K1"/>
    <mergeCell ref="C2:J2"/>
  </mergeCells>
  <pageMargins left="0.7" right="0.7" top="0.75" bottom="0.75" header="0.3" footer="0.3"/>
</worksheet>
</file>

<file path=xl/worksheets/sheet70.xml><?xml version="1.0" encoding="utf-8"?>
<worksheet xmlns="http://schemas.openxmlformats.org/spreadsheetml/2006/main">
  <sheetPr codeName="Sheet68">
    <tabColor rgb="FF2E75B6"/>
    <outlinePr summaryBelow="1" summaryRight="1"/>
    <pageSetUpPr/>
  </sheetPr>
  <dimension ref="A1:N14"/>
  <sheetViews>
    <sheetView workbookViewId="0">
      <pane ySplit="3" topLeftCell="A4" activePane="bottomLeft" state="frozen"/>
      <selection pane="bottomLeft" activeCell="E11" sqref="E11"/>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CU-67: IJT Send Identifiers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CU-67 — IJT Send Identifiers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at least one identifier-configuration method</t>
        </is>
      </c>
      <c r="E4" s="304" t="n"/>
      <c r="F4" s="304" t="n"/>
      <c r="G4" s="304" t="n"/>
      <c r="H4" s="304" t="n"/>
      <c r="I4" s="304" t="inlineStr">
        <is>
          <t>n</t>
        </is>
      </c>
      <c r="J4" s="304" t="inlineStr">
        <is>
          <t>OPC 40450-1 Section 7.6.12-13 Tables 84-87; Section 9 ResultMetaData</t>
        </is>
      </c>
      <c r="K4" s="305" t="n"/>
      <c r="L4" s="25" t="n"/>
      <c r="M4" s="26" t="n"/>
      <c r="N4" s="26" t="n"/>
    </row>
    <row r="5" ht="79" customHeight="1" s="173">
      <c r="A5" s="329" t="n"/>
      <c r="B5" s="330" t="n"/>
      <c r="C5" s="331" t="n">
        <v>1</v>
      </c>
      <c r="D5" s="331" t="inlineStr">
        <is>
          <t>Verify the Server exposes at least one of: SendIdentifiers (ProductInstanceUri (String), EntityList (EntityDataType[])); SendTextIdentifiers (ProductInstanceUri (String), IdentifierList (TrimmedString[])); or StartJoiningProcess with AssociatedEntities. Read the InputArguments and OutputArguments.</t>
        </is>
      </c>
      <c r="E5" s="331" t="inlineStr">
        <is>
          <t>The Server exposes at least one identifier-configuration method.</t>
        </is>
      </c>
      <c r="F5" s="331" t="inlineStr">
        <is>
          <t>At least one of the methods is present; its OutputArguments = Status (Int64), StatusMessage (LocalizedText).</t>
        </is>
      </c>
      <c r="G5" s="331" t="inlineStr">
        <is>
          <t>Good</t>
        </is>
      </c>
      <c r="H5" s="331" t="inlineStr">
        <is>
          <t>Good</t>
        </is>
      </c>
      <c r="I5" s="331" t="n"/>
      <c r="J5" s="331" t="inlineStr">
        <is>
          <t>OPC 40450-1 Section 7.6.12-13 Tables 84-87; Section 9 ResultMetaData</t>
        </is>
      </c>
      <c r="K5" s="332" t="n"/>
      <c r="L5" s="25" t="n"/>
      <c r="M5" s="26" t="n"/>
      <c r="N5" s="26" t="n"/>
    </row>
    <row r="6" ht="49" customHeight="1" s="173">
      <c r="A6" s="302" t="inlineStr">
        <is>
          <t>y</t>
        </is>
      </c>
      <c r="B6" s="303" t="n">
        <v>2</v>
      </c>
      <c r="C6" s="304" t="n">
        <v>0</v>
      </c>
      <c r="D6" s="304" t="inlineStr">
        <is>
          <t>Call the supported method with a set of identifiers</t>
        </is>
      </c>
      <c r="E6" s="304" t="n"/>
      <c r="F6" s="304" t="n"/>
      <c r="G6" s="304" t="n"/>
      <c r="H6" s="304" t="n"/>
      <c r="I6" s="304" t="inlineStr">
        <is>
          <t>n</t>
        </is>
      </c>
      <c r="J6" s="304" t="inlineStr">
        <is>
          <t>OPC 40450-1 Section 7.6.12-13 Tables 84-87; Section 9 ResultMetaData</t>
        </is>
      </c>
      <c r="K6" s="305" t="n"/>
      <c r="L6" s="25" t="n"/>
      <c r="M6" s="26" t="n"/>
      <c r="N6" s="26" t="n"/>
    </row>
    <row r="7" ht="49" customHeight="1" s="173">
      <c r="A7" s="329" t="n"/>
      <c r="B7" s="330" t="n"/>
      <c r="C7" s="331" t="n">
        <v>1</v>
      </c>
      <c r="D7" s="331" t="inlineStr">
        <is>
          <t>Call the supported method with a set of identifiers (EntityList / IdentifierList / AssociatedEntities).</t>
        </is>
      </c>
      <c r="E7" s="331" t="inlineStr">
        <is>
          <t>The identifier-configuration method is callable.</t>
        </is>
      </c>
      <c r="F7" s="331" t="inlineStr">
        <is>
          <t>The Call Service returns Good; Status = 0 (OK) with a StatusMessage.</t>
        </is>
      </c>
      <c r="G7" s="331" t="inlineStr">
        <is>
          <t>Good</t>
        </is>
      </c>
      <c r="H7" s="331" t="inlineStr">
        <is>
          <t>Status = 0 (OK)</t>
        </is>
      </c>
      <c r="I7" s="331" t="n"/>
      <c r="J7" s="331" t="inlineStr">
        <is>
          <t>OPC 40450-1 Section 7.6.12-13 Tables 84-87; Section 9 ResultMetaData</t>
        </is>
      </c>
      <c r="K7" s="332" t="n"/>
      <c r="L7" s="25" t="n"/>
      <c r="M7" s="26" t="n"/>
      <c r="N7" s="26" t="n"/>
    </row>
    <row r="8" ht="49" customHeight="1" s="173">
      <c r="A8" s="302" t="inlineStr">
        <is>
          <t>n</t>
        </is>
      </c>
      <c r="B8" s="303" t="n">
        <v>3</v>
      </c>
      <c r="C8" s="304" t="n">
        <v>0</v>
      </c>
      <c r="D8" s="304" t="inlineStr">
        <is>
          <t>Verify the identifiers are reported in the result AssociatedEntities</t>
        </is>
      </c>
      <c r="E8" s="304" t="n"/>
      <c r="F8" s="304" t="n"/>
      <c r="G8" s="304" t="n"/>
      <c r="H8" s="304" t="n"/>
      <c r="I8" s="304" t="inlineStr">
        <is>
          <t>n</t>
        </is>
      </c>
      <c r="J8" s="304" t="inlineStr">
        <is>
          <t>OPC 40450-1 Section 7.6.12-13 Tables 84-87; Section 9 ResultMetaData</t>
        </is>
      </c>
      <c r="K8" s="305" t="n"/>
      <c r="L8" s="25" t="n"/>
      <c r="M8" s="26" t="n"/>
      <c r="N8" s="26" t="n"/>
    </row>
    <row r="9" ht="49" customHeight="1" s="173">
      <c r="A9" s="329" t="n"/>
      <c r="B9" s="330" t="n"/>
      <c r="C9" s="331" t="n">
        <v>1</v>
      </c>
      <c r="D9" s="331" t="inlineStr">
        <is>
          <t>After a successful call, generate a result and inspect Result.ResultMetaData.AssociatedEntities[].</t>
        </is>
      </c>
      <c r="E9" s="331" t="inlineStr">
        <is>
          <t>A result is generated after the identifier-configuration call.</t>
        </is>
      </c>
      <c r="F9" s="331" t="inlineStr">
        <is>
          <t>The received identifiers appear in Result.ResultMetaData.AssociatedEntities[]; each corresponding element has IsExternal = TRUE.</t>
        </is>
      </c>
      <c r="G9" s="331" t="inlineStr">
        <is>
          <t>Good</t>
        </is>
      </c>
      <c r="H9" s="331" t="inlineStr">
        <is>
          <t>Good</t>
        </is>
      </c>
      <c r="I9" s="331" t="n"/>
      <c r="J9" s="331" t="inlineStr">
        <is>
          <t>OPC 40450-1 Section 7.6.12-13 Tables 84-87; Section 9 ResultMetaData</t>
        </is>
      </c>
      <c r="K9" s="332" t="n"/>
      <c r="L9" s="25" t="n"/>
      <c r="M9" s="26" t="n"/>
      <c r="N9" s="26" t="n"/>
    </row>
    <row r="10" ht="20.05" customHeight="1" s="173">
      <c r="A10" s="368" t="inlineStr">
        <is>
          <t>Error Test Cases</t>
        </is>
      </c>
      <c r="B10" s="369" t="n"/>
      <c r="C10" s="370" t="n"/>
      <c r="D10" s="370" t="n"/>
      <c r="E10" s="370" t="n"/>
      <c r="F10" s="370" t="n"/>
      <c r="G10" s="370" t="n"/>
      <c r="H10" s="370" t="n"/>
      <c r="I10" s="370" t="n"/>
      <c r="J10" s="370" t="n"/>
      <c r="K10" s="371" t="n"/>
      <c r="L10" s="25" t="n"/>
      <c r="M10" s="26" t="n"/>
      <c r="N10" s="26" t="n"/>
    </row>
    <row r="11" ht="49" customHeight="1" s="173">
      <c r="A11" s="372" t="inlineStr">
        <is>
          <t>y</t>
        </is>
      </c>
      <c r="B11" s="373" t="n">
        <v>4</v>
      </c>
      <c r="C11" s="374" t="n">
        <v>0</v>
      </c>
      <c r="D11" s="374" t="inlineStr">
        <is>
          <t>Verify supported identifier-configuration rejects an invalid ProductInstanceUri</t>
        </is>
      </c>
      <c r="E11" s="374" t="n"/>
      <c r="F11" s="374" t="n"/>
      <c r="G11" s="374" t="n"/>
      <c r="H11" s="374" t="n"/>
      <c r="I11" s="374" t="inlineStr">
        <is>
          <t>n</t>
        </is>
      </c>
      <c r="J11" s="374" t="inlineStr">
        <is>
          <t>OPC 40450-1 Section 7.6.12-13 Tables 84-87; Section 9 ResultMetaData</t>
        </is>
      </c>
      <c r="K11" s="375" t="n"/>
      <c r="L11" s="25" t="n"/>
      <c r="M11" s="26" t="n"/>
      <c r="N11" s="26" t="n"/>
    </row>
    <row r="12" ht="64" customHeight="1" s="173">
      <c r="A12" s="329" t="n"/>
      <c r="B12" s="330" t="n"/>
      <c r="C12" s="331" t="n">
        <v>1</v>
      </c>
      <c r="D12" s="331" t="inlineStr">
        <is>
          <t>Call supported identifier-configuration with a ProductInstanceUri that is not exposed by the Server; all other arguments valid.</t>
        </is>
      </c>
      <c r="E12" s="331" t="inlineStr">
        <is>
          <t>The supported identifier-configuration method is exposed.</t>
        </is>
      </c>
      <c r="F12" s="331" t="inlineStr">
        <is>
          <t>The Call Service returns Good (ResponseHeader.ServiceResult = Good); CallMethodResult.StatusCode = Uncertain; Status output = 2 (ProductInstanceUri not found) with a StatusMessage.</t>
        </is>
      </c>
      <c r="G12" s="331" t="inlineStr">
        <is>
          <t>Good</t>
        </is>
      </c>
      <c r="H12" s="331" t="inlineStr">
        <is>
          <t>CallMethodResult.StatusCode = Uncertain; Status output = 2</t>
        </is>
      </c>
      <c r="I12" s="331" t="n"/>
      <c r="J12" s="331" t="inlineStr">
        <is>
          <t>OPC 40450-1 Section 7.6.12-13 Tables 84-87; Section 9 ResultMetaData</t>
        </is>
      </c>
      <c r="K12" s="332" t="n"/>
      <c r="L12" s="25" t="n"/>
      <c r="M12" s="26" t="n"/>
      <c r="N12" s="26" t="n"/>
    </row>
    <row r="13" ht="49" customHeight="1" s="173">
      <c r="A13" s="372" t="inlineStr">
        <is>
          <t>y</t>
        </is>
      </c>
      <c r="B13" s="373" t="n">
        <v>6</v>
      </c>
      <c r="C13" s="374" t="n">
        <v>0</v>
      </c>
      <c r="D13" s="374" t="inlineStr">
        <is>
          <t>Verify the identifier-configuration method rejects invalid input</t>
        </is>
      </c>
      <c r="E13" s="374" t="n"/>
      <c r="F13" s="374" t="n"/>
      <c r="G13" s="374" t="n"/>
      <c r="H13" s="374" t="n"/>
      <c r="I13" s="374" t="inlineStr">
        <is>
          <t>n</t>
        </is>
      </c>
      <c r="J13" s="374" t="inlineStr">
        <is>
          <t>OPC 40450-1 Section 7.6.12-13 Tables 84-87; Section 9 ResultMetaData</t>
        </is>
      </c>
      <c r="K13" s="375" t="n"/>
      <c r="L13" s="25" t="n"/>
      <c r="M13" s="26" t="n"/>
      <c r="N13" s="26" t="n"/>
    </row>
    <row r="14" ht="79" customHeight="1" s="173">
      <c r="A14" s="329" t="n"/>
      <c r="B14" s="330" t="n"/>
      <c r="C14" s="331" t="n">
        <v>1</v>
      </c>
      <c r="D14" s="331" t="inlineStr">
        <is>
          <t>Call the supported identifier-configuration method with a malformed identifier set (e.g. an empty mandatory identifier value, or an EntityDataType element missing its mandatory EntityId).</t>
        </is>
      </c>
      <c r="E14" s="331" t="inlineStr">
        <is>
          <t>The identifier-configuration method is callable.</t>
        </is>
      </c>
      <c r="F14" s="331" t="inlineStr">
        <is>
          <t>The Call Service returns Good (ResponseHeader.ServiceResult = Good); CallMethodResult.StatusCode = Uncertain; Status output = 5 (Invalid input) with a StatusMessage; no identifiers are stored for the current joining process.</t>
        </is>
      </c>
      <c r="G14" s="331" t="inlineStr">
        <is>
          <t>Good</t>
        </is>
      </c>
      <c r="H14" s="331" t="inlineStr">
        <is>
          <t>CallMethodResult.StatusCode = Uncertain; Status output = 5</t>
        </is>
      </c>
      <c r="I14" s="331" t="n"/>
      <c r="J14" s="331" t="inlineStr">
        <is>
          <t>OPC 40450-1 Section 7.6.12-13 Tables 84-87; Section 9 ResultMetaData</t>
        </is>
      </c>
      <c r="K14" s="332" t="n"/>
      <c r="L14" s="25" t="n"/>
      <c r="M14" s="26" t="n"/>
      <c r="N14" s="26" t="n"/>
    </row>
    <row r="15" ht="49" customHeight="1" s="173"/>
    <row r="16" ht="79" customHeight="1" s="173"/>
    <row r="17" ht="34" customHeight="1" s="173"/>
    <row r="18" ht="64" customHeight="1" s="173"/>
    <row r="19" ht="34" customHeight="1" s="173"/>
    <row r="20" ht="64" customHeight="1" s="173"/>
    <row r="21" ht="34" customHeight="1" s="173"/>
    <row r="22" ht="49" customHeight="1" s="173"/>
    <row r="24" ht="39" customHeight="1" s="173"/>
    <row r="25" ht="26.1" customHeight="1" s="173"/>
    <row r="28" ht="39" customHeight="1" s="173"/>
    <row r="29" ht="26.1" customHeight="1" s="173"/>
    <row r="32" ht="39" customHeight="1" s="173"/>
    <row r="33" ht="26.1" customHeight="1" s="173"/>
    <row r="36" ht="26.1" customHeight="1" s="173"/>
    <row r="37" ht="26.1" customHeight="1" s="173"/>
    <row r="39" ht="26.1" customHeight="1" s="173"/>
    <row r="40" ht="26.1" customHeight="1" s="173"/>
    <row r="42" ht="26.1" customHeight="1" s="173"/>
    <row r="43" ht="26.1" customHeight="1" s="173"/>
    <row r="47" customFormat="1" s="2"/>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9">
    <tabColor rgb="FF2E75B6"/>
    <outlinePr summaryBelow="1" summaryRight="1"/>
    <pageSetUpPr/>
  </sheetPr>
  <dimension ref="A1:N1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CU-68: IJT Get Identifiers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CU-68 — IJT Get Identifiers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GetIdentifiers method signature</t>
        </is>
      </c>
      <c r="E4" s="304" t="n"/>
      <c r="F4" s="304" t="n"/>
      <c r="G4" s="304" t="n"/>
      <c r="H4" s="304" t="n"/>
      <c r="I4" s="304" t="inlineStr">
        <is>
          <t>n</t>
        </is>
      </c>
      <c r="J4" s="304" t="inlineStr">
        <is>
          <t>OPC 40450-1 Section 7.6 Table 88; Section 7.4 status</t>
        </is>
      </c>
      <c r="K4" s="305" t="inlineStr"/>
      <c r="L4" s="25" t="n"/>
      <c r="M4" s="26" t="n"/>
      <c r="N4" s="26" t="n"/>
    </row>
    <row r="5" ht="64" customHeight="1" s="173">
      <c r="A5" s="329" t="n"/>
      <c r="B5" s="330" t="n"/>
      <c r="C5" s="331" t="n">
        <v>1</v>
      </c>
      <c r="D5" s="331" t="inlineStr">
        <is>
          <t>Browse the asset MethodSet for GetIdentifiers and read its InputArguments and OutputArguments.</t>
        </is>
      </c>
      <c r="E5" s="331" t="inlineStr">
        <is>
          <t>The Server exposes the GetIdentifiers method.</t>
        </is>
      </c>
      <c r="F5" s="331" t="inlineStr">
        <is>
          <t>GetIdentifiers is a Method. InputArguments = ProductInstanceUri (String), IdentifierNames (TrimmedString[]). OutputArguments = EntityList (EntityDataType[]), Status (Int64), StatusMessage (LocalizedText).</t>
        </is>
      </c>
      <c r="G5" s="331" t="inlineStr">
        <is>
          <t>Good</t>
        </is>
      </c>
      <c r="H5" s="331" t="inlineStr">
        <is>
          <t>Good</t>
        </is>
      </c>
      <c r="I5" s="331" t="n"/>
      <c r="J5" s="331" t="inlineStr">
        <is>
          <t>OPC 40450-1 Section 7.6 Table 88; Section 7.4 status</t>
        </is>
      </c>
      <c r="K5" s="332" t="n"/>
      <c r="L5" s="25" t="n"/>
      <c r="M5" s="26" t="n"/>
      <c r="N5" s="26" t="n"/>
    </row>
    <row r="6" ht="49" customHeight="1" s="173">
      <c r="A6" s="302" t="inlineStr">
        <is>
          <t>y</t>
        </is>
      </c>
      <c r="B6" s="303" t="n">
        <v>2</v>
      </c>
      <c r="C6" s="304" t="n">
        <v>0</v>
      </c>
      <c r="D6" s="304" t="inlineStr">
        <is>
          <t>Call GetIdentifiers and verify the outcome</t>
        </is>
      </c>
      <c r="E6" s="304" t="n"/>
      <c r="F6" s="304" t="n"/>
      <c r="G6" s="304" t="n"/>
      <c r="H6" s="304" t="n"/>
      <c r="I6" s="304" t="inlineStr">
        <is>
          <t>n</t>
        </is>
      </c>
      <c r="J6" s="304" t="inlineStr">
        <is>
          <t>OPC 40450-1 Section 7.6 Table 88; Section 7.4 status</t>
        </is>
      </c>
      <c r="K6" s="305" t="n"/>
      <c r="L6" s="25" t="n"/>
      <c r="M6" s="26" t="n"/>
      <c r="N6" s="26" t="n"/>
    </row>
    <row r="7" ht="90" customHeight="1" s="173">
      <c r="A7" s="329" t="n"/>
      <c r="B7" s="330" t="n"/>
      <c r="C7" s="331" t="n">
        <v>1</v>
      </c>
      <c r="D7" s="331" t="inlineStr">
        <is>
          <t>Call GetIdentifiers with valid input arguments (a valid ProductInstanceUri of an asset exposed by the Server).</t>
        </is>
      </c>
      <c r="E7" s="331" t="inlineStr">
        <is>
          <t>The GetIdentifiers method is callable.</t>
        </is>
      </c>
      <c r="F7" s="331" t="inlineStr">
        <is>
          <t>The Call Service returns Good; Status = 0 (OK) with a StatusMessage. EntityList returns the identifiers available for the current joining process (those sent by a Client or other external interface); an empty IdentifierNames returns all available identifiers.</t>
        </is>
      </c>
      <c r="G7" s="331" t="inlineStr">
        <is>
          <t>Good</t>
        </is>
      </c>
      <c r="H7" s="331" t="inlineStr">
        <is>
          <t>Status = 0 (OK)</t>
        </is>
      </c>
      <c r="I7" s="331" t="n"/>
      <c r="J7" s="331" t="inlineStr">
        <is>
          <t>OPC 40450-1 Section 7.6 Table 88;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GetIdentifiers rejects an invalid ProductInstanceUri</t>
        </is>
      </c>
      <c r="E9" s="374" t="n"/>
      <c r="F9" s="374" t="n"/>
      <c r="G9" s="374" t="n"/>
      <c r="H9" s="374" t="n"/>
      <c r="I9" s="374" t="inlineStr">
        <is>
          <t>n</t>
        </is>
      </c>
      <c r="J9" s="374" t="inlineStr">
        <is>
          <t>OPC 40450-1 Section 7.6 Table 88; Section 7.4 status</t>
        </is>
      </c>
      <c r="K9" s="375" t="n"/>
      <c r="L9" s="25" t="n"/>
      <c r="M9" s="26" t="n"/>
      <c r="N9" s="26" t="n"/>
    </row>
    <row r="10" ht="64" customHeight="1" s="173">
      <c r="A10" s="329" t="n"/>
      <c r="B10" s="330" t="n"/>
      <c r="C10" s="331" t="n">
        <v>1</v>
      </c>
      <c r="D10" s="331" t="inlineStr">
        <is>
          <t>Call GetIdentifiers with a ProductInstanceUri that is not exposed by the Server; all other arguments valid.</t>
        </is>
      </c>
      <c r="E10" s="331" t="inlineStr">
        <is>
          <t>The GetIdentifiers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7.6 Table 88; Section 7.4 status</t>
        </is>
      </c>
      <c r="K10" s="332" t="n"/>
      <c r="L10" s="25" t="n"/>
      <c r="M10" s="26" t="n"/>
      <c r="N10" s="26" t="n"/>
    </row>
    <row r="11" ht="49" customHeight="1" s="173"/>
    <row r="12" ht="64" customHeight="1" s="173"/>
    <row r="13" ht="34" customHeight="1" s="173"/>
    <row r="14" ht="49" customHeight="1" s="173"/>
    <row r="15" ht="34" customHeight="1" s="173"/>
    <row r="16" ht="49" customHeight="1" s="173"/>
    <row r="17" ht="34" customHeight="1" s="173"/>
    <row r="18" ht="64" customHeight="1" s="173"/>
    <row r="19" customFormat="1" s="2"/>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70">
    <tabColor rgb="FF2E75B6"/>
    <outlinePr summaryBelow="1" summaryRight="1"/>
    <pageSetUpPr/>
  </sheetPr>
  <dimension ref="A1:N1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CU-69: IJT Reset Identifiers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CU-69 — IJT Reset Identifiers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ResetIdentifiers method signature</t>
        </is>
      </c>
      <c r="E4" s="304" t="n"/>
      <c r="F4" s="304" t="n"/>
      <c r="G4" s="304" t="n"/>
      <c r="H4" s="304" t="n"/>
      <c r="I4" s="304" t="inlineStr">
        <is>
          <t>n</t>
        </is>
      </c>
      <c r="J4" s="304" t="inlineStr">
        <is>
          <t>OPC 40450-1 Section 7.6 Table 90; Section 7.4 status</t>
        </is>
      </c>
      <c r="K4" s="305" t="inlineStr"/>
      <c r="L4" s="25" t="n"/>
      <c r="M4" s="26" t="n"/>
      <c r="N4" s="26" t="n"/>
    </row>
    <row r="5" ht="79" customHeight="1" s="173">
      <c r="A5" s="329" t="n"/>
      <c r="B5" s="330" t="n"/>
      <c r="C5" s="331" t="n">
        <v>1</v>
      </c>
      <c r="D5" s="331" t="inlineStr">
        <is>
          <t>Browse the asset MethodSet for ResetIdentifiers and read its InputArguments and OutputArguments.</t>
        </is>
      </c>
      <c r="E5" s="331" t="inlineStr">
        <is>
          <t>The Server exposes the ResetIdentifiers method.</t>
        </is>
      </c>
      <c r="F5" s="331" t="inlineStr">
        <is>
          <t>ResetIdentifiers is a Method. InputArguments = ProductInstanceUri (String), IdentifierList (TrimmedString[]), ResetAll (Boolean), ResetLatest (Boolean). OutputArguments = Status (Int64), StatusMessage (LocalizedText).</t>
        </is>
      </c>
      <c r="G5" s="331" t="inlineStr">
        <is>
          <t>Good</t>
        </is>
      </c>
      <c r="H5" s="331" t="inlineStr">
        <is>
          <t>Good</t>
        </is>
      </c>
      <c r="I5" s="331" t="n"/>
      <c r="J5" s="331" t="inlineStr">
        <is>
          <t>OPC 40450-1 Section 7.6 Table 90; Section 7.4 status</t>
        </is>
      </c>
      <c r="K5" s="332" t="n"/>
      <c r="L5" s="25" t="n"/>
      <c r="M5" s="26" t="n"/>
      <c r="N5" s="26" t="n"/>
    </row>
    <row r="6" ht="49" customHeight="1" s="173">
      <c r="A6" s="302" t="inlineStr">
        <is>
          <t>y</t>
        </is>
      </c>
      <c r="B6" s="303" t="n">
        <v>2</v>
      </c>
      <c r="C6" s="304" t="n">
        <v>0</v>
      </c>
      <c r="D6" s="304" t="inlineStr">
        <is>
          <t>Call ResetIdentifiers and verify the outcome</t>
        </is>
      </c>
      <c r="E6" s="304" t="n"/>
      <c r="F6" s="304" t="n"/>
      <c r="G6" s="304" t="n"/>
      <c r="H6" s="304" t="n"/>
      <c r="I6" s="304" t="inlineStr">
        <is>
          <t>n</t>
        </is>
      </c>
      <c r="J6" s="304" t="inlineStr">
        <is>
          <t>OPC 40450-1 Section 7.6 Table 90; Section 7.4 status</t>
        </is>
      </c>
      <c r="K6" s="305" t="n"/>
      <c r="L6" s="25" t="n"/>
      <c r="M6" s="26" t="n"/>
      <c r="N6" s="26" t="n"/>
    </row>
    <row r="7" ht="64" customHeight="1" s="173">
      <c r="A7" s="329" t="n"/>
      <c r="B7" s="330" t="n"/>
      <c r="C7" s="331" t="n">
        <v>1</v>
      </c>
      <c r="D7" s="331" t="inlineStr">
        <is>
          <t>Call ResetIdentifiers with valid input arguments (a valid ProductInstanceUri of an asset exposed by the Server).</t>
        </is>
      </c>
      <c r="E7" s="331" t="inlineStr">
        <is>
          <t>The ResetIdentifiers method is callable.</t>
        </is>
      </c>
      <c r="F7" s="331" t="inlineStr">
        <is>
          <t>The Call Service returns Good; Status = 0 (OK) with a StatusMessage. The identifiers of the current joining process are reset; only identifiers with IsExternal = TRUE are reset.</t>
        </is>
      </c>
      <c r="G7" s="331" t="inlineStr">
        <is>
          <t>Good</t>
        </is>
      </c>
      <c r="H7" s="331" t="inlineStr">
        <is>
          <t>Status = 0 (OK)</t>
        </is>
      </c>
      <c r="I7" s="331" t="n"/>
      <c r="J7" s="331" t="inlineStr">
        <is>
          <t>OPC 40450-1 Section 7.6 Table 90;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ResetIdentifiers rejects an invalid ProductInstanceUri</t>
        </is>
      </c>
      <c r="E9" s="374" t="n"/>
      <c r="F9" s="374" t="n"/>
      <c r="G9" s="374" t="n"/>
      <c r="H9" s="374" t="n"/>
      <c r="I9" s="374" t="inlineStr">
        <is>
          <t>n</t>
        </is>
      </c>
      <c r="J9" s="374" t="inlineStr">
        <is>
          <t>OPC 40450-1 Section 7.6 Table 90; Section 7.4 status</t>
        </is>
      </c>
      <c r="K9" s="375" t="n"/>
      <c r="L9" s="25" t="n"/>
      <c r="M9" s="26" t="n"/>
      <c r="N9" s="26" t="n"/>
    </row>
    <row r="10" ht="64" customHeight="1" s="173">
      <c r="A10" s="329" t="n"/>
      <c r="B10" s="330" t="n"/>
      <c r="C10" s="331" t="n">
        <v>1</v>
      </c>
      <c r="D10" s="331" t="inlineStr">
        <is>
          <t>Call ResetIdentifiers with a ProductInstanceUri that is not exposed by the Server; all other arguments valid.</t>
        </is>
      </c>
      <c r="E10" s="331" t="inlineStr">
        <is>
          <t>The ResetIdentifiers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7.6 Table 90; Section 7.4 status</t>
        </is>
      </c>
      <c r="K10" s="332" t="n"/>
      <c r="L10" s="25" t="n"/>
      <c r="M10" s="26" t="n"/>
      <c r="N10" s="26" t="n"/>
    </row>
    <row r="11" ht="49" customHeight="1" s="173"/>
    <row r="12" ht="64" customHeight="1" s="173"/>
    <row r="13" ht="34" customHeight="1" s="173"/>
    <row r="14" ht="49" customHeight="1" s="173"/>
    <row r="15" ht="34" customHeight="1" s="173"/>
    <row r="16" ht="34" customHeight="1" s="173"/>
    <row r="17" ht="34" customHeight="1" s="173"/>
    <row r="18" ht="49" customHeight="1" s="173"/>
    <row r="19" customFormat="1" s="2"/>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tabColor rgb="FF2E75B6"/>
    <outlinePr summaryBelow="1" summaryRight="1"/>
    <pageSetUpPr/>
  </sheetPr>
  <dimension ref="A1:K14"/>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CU-70: IJT Set Calibration</t>
        </is>
      </c>
    </row>
    <row r="2" ht="22" customHeight="1" s="173">
      <c r="A2" s="340">
        <f>HYPERLINK("#'Home'!A1","⌂ Home")</f>
        <v/>
      </c>
      <c r="C2" s="341" t="inlineStr">
        <is>
          <t>CU-70 — IJT Set Calibration</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SetCalibration method signature</t>
        </is>
      </c>
      <c r="E4" s="313" t="n"/>
      <c r="F4" s="313" t="n"/>
      <c r="G4" s="313" t="n"/>
      <c r="H4" s="313" t="n"/>
      <c r="I4" s="313" t="inlineStr">
        <is>
          <t>n</t>
        </is>
      </c>
      <c r="J4" s="313" t="inlineStr">
        <is>
          <t>OPC 40450-1 Section 7.6 Table 64; Section 7.4 status</t>
        </is>
      </c>
      <c r="K4" s="313" t="inlineStr"/>
    </row>
    <row r="5" ht="64" customHeight="1" s="173">
      <c r="A5" s="307" t="n"/>
      <c r="B5" s="307" t="n"/>
      <c r="C5" s="307" t="n">
        <v>1</v>
      </c>
      <c r="D5" s="307" t="inlineStr">
        <is>
          <t>Browse the asset MethodSet for SetCalibration and read its InputArguments and OutputArguments.</t>
        </is>
      </c>
      <c r="E5" s="307" t="inlineStr">
        <is>
          <t>The Server exposes the SetCalibration method.</t>
        </is>
      </c>
      <c r="F5" s="307" t="inlineStr">
        <is>
          <t>SetCalibration is a Method. InputArguments = ProductInstanceUri (String), CalibrationData (CalibrationDataType). OutputArguments = Status (Int64), StatusMessage (LocalizedText).</t>
        </is>
      </c>
      <c r="G5" s="307" t="inlineStr">
        <is>
          <t>Good</t>
        </is>
      </c>
      <c r="H5" s="307" t="inlineStr">
        <is>
          <t>Good</t>
        </is>
      </c>
      <c r="I5" s="307" t="n"/>
      <c r="J5" s="307" t="inlineStr">
        <is>
          <t>OPC 40450-1 Section 7.6 Table 64; Section 7.4 status</t>
        </is>
      </c>
      <c r="K5" s="307" t="n"/>
    </row>
    <row r="6" ht="49" customHeight="1" s="173">
      <c r="A6" s="313" t="inlineStr">
        <is>
          <t>y</t>
        </is>
      </c>
      <c r="B6" s="313" t="n">
        <v>2</v>
      </c>
      <c r="C6" s="313" t="n">
        <v>0</v>
      </c>
      <c r="D6" s="313" t="inlineStr">
        <is>
          <t>Call SetCalibration and verify the outcome</t>
        </is>
      </c>
      <c r="E6" s="313" t="n"/>
      <c r="F6" s="313" t="n"/>
      <c r="G6" s="313" t="n"/>
      <c r="H6" s="313" t="n"/>
      <c r="I6" s="313" t="inlineStr">
        <is>
          <t>n</t>
        </is>
      </c>
      <c r="J6" s="313" t="inlineStr">
        <is>
          <t>OPC 40450-1 Section 7.6 Table 64; Section 7.4 status</t>
        </is>
      </c>
      <c r="K6" s="313" t="n"/>
    </row>
    <row r="7" ht="64" customHeight="1" s="173">
      <c r="A7" s="307" t="n"/>
      <c r="B7" s="307" t="n"/>
      <c r="C7" s="307" t="n">
        <v>1</v>
      </c>
      <c r="D7" s="307" t="inlineStr">
        <is>
          <t>Call SetCalibration with valid input arguments (a valid ProductInstanceUri of an asset exposed by the Server).</t>
        </is>
      </c>
      <c r="E7" s="307" t="inlineStr">
        <is>
          <t>The SetCalibration method is callable.</t>
        </is>
      </c>
      <c r="F7" s="307" t="inlineStr">
        <is>
          <t>The Call Service returns Good; Status = 0 (OK) with a StatusMessage. The asset's Calibration information is updated (primarily a Sensor, otherwise the Tool).</t>
        </is>
      </c>
      <c r="G7" s="307" t="inlineStr">
        <is>
          <t>Good</t>
        </is>
      </c>
      <c r="H7" s="307" t="inlineStr">
        <is>
          <t>Status = 0 (OK)</t>
        </is>
      </c>
      <c r="I7" s="307" t="n"/>
      <c r="J7" s="307" t="inlineStr">
        <is>
          <t>OPC 40450-1 Section 7.6 Table 64;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y</t>
        </is>
      </c>
      <c r="B9" s="366" t="n">
        <v>3</v>
      </c>
      <c r="C9" s="366" t="n">
        <v>0</v>
      </c>
      <c r="D9" s="366" t="inlineStr">
        <is>
          <t>Verify SetCalibration rejects an invalid ProductInstanceUri</t>
        </is>
      </c>
      <c r="E9" s="366" t="n"/>
      <c r="F9" s="366" t="n"/>
      <c r="G9" s="366" t="n"/>
      <c r="H9" s="366" t="n"/>
      <c r="I9" s="366" t="inlineStr">
        <is>
          <t>n</t>
        </is>
      </c>
      <c r="J9" s="366" t="inlineStr">
        <is>
          <t>OPC 40450-1 Section 7.6 Table 64; Section 7.4 status</t>
        </is>
      </c>
      <c r="K9" s="366" t="n"/>
    </row>
    <row r="10" ht="64" customHeight="1" s="173">
      <c r="A10" s="307" t="n"/>
      <c r="B10" s="307" t="n"/>
      <c r="C10" s="307" t="n">
        <v>1</v>
      </c>
      <c r="D10" s="307" t="inlineStr">
        <is>
          <t>Call SetCalibration with a ProductInstanceUri that is not exposed by the Server; all other arguments valid.</t>
        </is>
      </c>
      <c r="E10" s="307" t="inlineStr">
        <is>
          <t>The SetCalibration method is exposed.</t>
        </is>
      </c>
      <c r="F10" s="307" t="inlineStr">
        <is>
          <t>The Call Service returns Good (ResponseHeader.ServiceResult = Good); CallMethodResult.StatusCode = Uncertain; Status output = 2 (ProductInstanceUri not found) with a StatusMessage.</t>
        </is>
      </c>
      <c r="G10" s="307" t="inlineStr">
        <is>
          <t>Good</t>
        </is>
      </c>
      <c r="H10" s="307" t="inlineStr">
        <is>
          <t>CallMethodResult.StatusCode = Uncertain; Status output = 2</t>
        </is>
      </c>
      <c r="I10" s="307" t="n"/>
      <c r="J10" s="307" t="inlineStr">
        <is>
          <t>OPC 40450-1 Section 7.6 Table 64; Section 7.4 status</t>
        </is>
      </c>
      <c r="K10" s="307" t="n"/>
    </row>
    <row r="11" ht="49" customHeight="1" s="173">
      <c r="A11" s="366" t="inlineStr">
        <is>
          <t>y</t>
        </is>
      </c>
      <c r="B11" s="366" t="n">
        <v>4</v>
      </c>
      <c r="C11" s="366" t="n">
        <v>0</v>
      </c>
      <c r="D11" s="366" t="inlineStr">
        <is>
          <t>Verify SetCalibration rejects a present but invalid input value</t>
        </is>
      </c>
      <c r="E11" s="366" t="n"/>
      <c r="F11" s="366" t="n"/>
      <c r="G11" s="366" t="n"/>
      <c r="H11" s="366" t="n"/>
      <c r="I11" s="366" t="inlineStr">
        <is>
          <t>n</t>
        </is>
      </c>
      <c r="J11" s="366" t="inlineStr">
        <is>
          <t>OPC 40450-1 Section 7.6 Table 64; Section 7.4 status</t>
        </is>
      </c>
      <c r="K11" s="366" t="n"/>
    </row>
    <row r="12" ht="64" customHeight="1" s="173">
      <c r="A12" s="307" t="n"/>
      <c r="B12" s="307" t="n"/>
      <c r="C12" s="307" t="n">
        <v>1</v>
      </c>
      <c r="D12" s="307" t="inlineStr">
        <is>
          <t>Call SetCalibration with a present and decodable CalibrationData value whose content violates the method's documented input constraints.</t>
        </is>
      </c>
      <c r="E12" s="307" t="inlineStr">
        <is>
          <t>The SetCalibration method is exposed.</t>
        </is>
      </c>
      <c r="F12" s="307" t="inlineStr">
        <is>
          <t>The Call Service returns Good (ResponseHeader.ServiceResult = Good); CallMethodResult.StatusCode = Uncertain; Status output = 5 (Invalid input) with a StatusMessage.</t>
        </is>
      </c>
      <c r="G12" s="307" t="inlineStr">
        <is>
          <t>Good</t>
        </is>
      </c>
      <c r="H12" s="307" t="inlineStr">
        <is>
          <t>CallMethodResult.StatusCode = Uncertain; Status output = 5</t>
        </is>
      </c>
      <c r="I12" s="307" t="n"/>
      <c r="J12" s="307" t="inlineStr">
        <is>
          <t>OPC 40450-1 Section 7.6 Table 64; Section 7.4 status</t>
        </is>
      </c>
      <c r="K12" s="307" t="n"/>
    </row>
    <row r="13" ht="49" customHeight="1" s="173">
      <c r="A13" s="366" t="inlineStr">
        <is>
          <t>y</t>
        </is>
      </c>
      <c r="B13" s="366" t="n">
        <v>5</v>
      </c>
      <c r="C13" s="366" t="n">
        <v>0</v>
      </c>
      <c r="D13" s="366" t="inlineStr">
        <is>
          <t>Verify SetCalibration rejects a missing mandatory input argument</t>
        </is>
      </c>
      <c r="E13" s="366" t="n"/>
      <c r="F13" s="366" t="n"/>
      <c r="G13" s="366" t="n"/>
      <c r="H13" s="366" t="n"/>
      <c r="I13" s="366" t="inlineStr">
        <is>
          <t>n</t>
        </is>
      </c>
      <c r="J13" s="366" t="inlineStr">
        <is>
          <t>OPC 40450-1 Section 7.6 Table 64; Section 7.4 status</t>
        </is>
      </c>
      <c r="K13" s="366" t="n"/>
    </row>
    <row r="14" ht="64" customHeight="1" s="173">
      <c r="A14" s="307" t="n"/>
      <c r="B14" s="307" t="n"/>
      <c r="C14" s="307" t="n">
        <v>1</v>
      </c>
      <c r="D14" s="307" t="inlineStr">
        <is>
          <t>Invoke SetCalibration with one mandatory input argument omitted from the Call request.</t>
        </is>
      </c>
      <c r="E14" s="307" t="inlineStr">
        <is>
          <t>The SetCalibration method is exposed and its complete InputArguments signature is known.</t>
        </is>
      </c>
      <c r="F14" s="307" t="inlineStr">
        <is>
          <t>The Call Service returns Good (ResponseHeader.ServiceResult = Good); CallMethodResult.StatusCode = Bad_ArgumentsMissing. OutputArguments is empty, so no Status or StatusMessage output is returned.</t>
        </is>
      </c>
      <c r="G14" s="307" t="inlineStr">
        <is>
          <t>Good</t>
        </is>
      </c>
      <c r="H14" s="307" t="inlineStr">
        <is>
          <t>CallMethodResult.StatusCode = Bad_ArgumentsMissing; no output arguments</t>
        </is>
      </c>
      <c r="I14" s="307" t="n"/>
      <c r="J14" s="307" t="inlineStr">
        <is>
          <t>OPC 40450-1 Section 7.6 Table 64; Section 7.4 status</t>
        </is>
      </c>
      <c r="K14" s="307" t="n"/>
    </row>
    <row r="15" ht="49" customHeight="1" s="173"/>
    <row r="16" ht="64" customHeight="1" s="173"/>
    <row r="17" ht="34" customHeight="1" s="173"/>
    <row r="18" ht="64" customHeight="1" s="173"/>
    <row r="19" ht="34" customHeight="1" s="173"/>
    <row r="20" ht="90" customHeight="1" s="173"/>
  </sheetData>
  <mergeCells count="2">
    <mergeCell ref="A1:K1"/>
    <mergeCell ref="C2:J2"/>
  </mergeCells>
  <pageMargins left="0.75" right="0.75" top="1" bottom="1" header="0.5" footer="0.5"/>
</worksheet>
</file>

<file path=xl/worksheets/sheet74.xml><?xml version="1.0" encoding="utf-8"?>
<worksheet xmlns="http://schemas.openxmlformats.org/spreadsheetml/2006/main">
  <sheetPr>
    <tabColor rgb="FF2E75B6"/>
    <outlinePr summaryBelow="1" summaryRight="1"/>
    <pageSetUpPr/>
  </sheetPr>
  <dimension ref="A1:K10"/>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CU-71: IJT Reboot Asset</t>
        </is>
      </c>
    </row>
    <row r="2" ht="22" customHeight="1" s="173">
      <c r="A2" s="340">
        <f>HYPERLINK("#'Home'!A1","⌂ Home")</f>
        <v/>
      </c>
      <c r="C2" s="341" t="inlineStr">
        <is>
          <t>CU-71 — IJT Reboot Asset</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RebootAsset method signature</t>
        </is>
      </c>
      <c r="E4" s="313" t="n"/>
      <c r="F4" s="313" t="n"/>
      <c r="G4" s="313" t="n"/>
      <c r="H4" s="313" t="n"/>
      <c r="I4" s="313" t="inlineStr">
        <is>
          <t>n</t>
        </is>
      </c>
      <c r="J4" s="313" t="inlineStr">
        <is>
          <t>OPC 40450-1 Section 7.6 Table 70; Section 7.4 status</t>
        </is>
      </c>
      <c r="K4" s="313" t="inlineStr"/>
    </row>
    <row r="5" ht="49" customHeight="1" s="173">
      <c r="A5" s="307" t="n"/>
      <c r="B5" s="307" t="n"/>
      <c r="C5" s="307" t="n">
        <v>1</v>
      </c>
      <c r="D5" s="307" t="inlineStr">
        <is>
          <t>Browse the asset MethodSet for RebootAsset and read its InputArguments and OutputArguments.</t>
        </is>
      </c>
      <c r="E5" s="307" t="inlineStr">
        <is>
          <t>The Server exposes the RebootAsset method.</t>
        </is>
      </c>
      <c r="F5" s="307" t="inlineStr">
        <is>
          <t>RebootAsset is a Method. InputArguments = ProductInstanceUri (String). OutputArguments = Status (Int64), StatusMessage (LocalizedText).</t>
        </is>
      </c>
      <c r="G5" s="307" t="inlineStr">
        <is>
          <t>Good</t>
        </is>
      </c>
      <c r="H5" s="307" t="inlineStr">
        <is>
          <t>Good</t>
        </is>
      </c>
      <c r="I5" s="307" t="n"/>
      <c r="J5" s="307" t="inlineStr">
        <is>
          <t>OPC 40450-1 Section 7.6 Table 70; Section 7.4 status</t>
        </is>
      </c>
      <c r="K5" s="307" t="n"/>
    </row>
    <row r="6" ht="49" customHeight="1" s="173">
      <c r="A6" s="313" t="inlineStr">
        <is>
          <t>y</t>
        </is>
      </c>
      <c r="B6" s="313" t="n">
        <v>2</v>
      </c>
      <c r="C6" s="313" t="n">
        <v>0</v>
      </c>
      <c r="D6" s="313" t="inlineStr">
        <is>
          <t>Call RebootAsset and verify the outcome</t>
        </is>
      </c>
      <c r="E6" s="313" t="n"/>
      <c r="F6" s="313" t="n"/>
      <c r="G6" s="313" t="n"/>
      <c r="H6" s="313" t="n"/>
      <c r="I6" s="313" t="inlineStr">
        <is>
          <t>n</t>
        </is>
      </c>
      <c r="J6" s="313" t="inlineStr">
        <is>
          <t>OPC 40450-1 Section 7.6 Table 70; Section 7.4 status</t>
        </is>
      </c>
      <c r="K6" s="313" t="n"/>
    </row>
    <row r="7" ht="79" customHeight="1" s="173">
      <c r="A7" s="307" t="n"/>
      <c r="B7" s="307" t="n"/>
      <c r="C7" s="307" t="n">
        <v>1</v>
      </c>
      <c r="D7" s="307" t="inlineStr">
        <is>
          <t>Call RebootAsset with valid input arguments (a valid ProductInstanceUri of an asset exposed by the Server).</t>
        </is>
      </c>
      <c r="E7" s="307" t="inlineStr">
        <is>
          <t>The RebootAsset method is callable.</t>
        </is>
      </c>
      <c r="F7" s="307" t="inlineStr">
        <is>
          <t>The Call Service returns Good; Status = 0 (OK) with a StatusMessage. Whether (and when) the asset actually reboots is application-specific and is not asserted here; this case verifies only that the Server accepts the RebootAsset call.</t>
        </is>
      </c>
      <c r="G7" s="307" t="inlineStr">
        <is>
          <t>Good</t>
        </is>
      </c>
      <c r="H7" s="307" t="inlineStr">
        <is>
          <t>Status = 0 (OK)</t>
        </is>
      </c>
      <c r="I7" s="307" t="n"/>
      <c r="J7" s="307" t="inlineStr">
        <is>
          <t>OPC 40450-1 Section 7.6 Table 70;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y</t>
        </is>
      </c>
      <c r="B9" s="366" t="n">
        <v>3</v>
      </c>
      <c r="C9" s="366" t="n">
        <v>0</v>
      </c>
      <c r="D9" s="366" t="inlineStr">
        <is>
          <t>Verify RebootAsset rejects an invalid ProductInstanceUri</t>
        </is>
      </c>
      <c r="E9" s="366" t="n"/>
      <c r="F9" s="366" t="n"/>
      <c r="G9" s="366" t="n"/>
      <c r="H9" s="366" t="n"/>
      <c r="I9" s="366" t="inlineStr">
        <is>
          <t>n</t>
        </is>
      </c>
      <c r="J9" s="366" t="inlineStr">
        <is>
          <t>OPC 40450-1 Section 7.6 Table 70; Section 7.4 status</t>
        </is>
      </c>
      <c r="K9" s="366" t="n"/>
    </row>
    <row r="10" ht="64" customHeight="1" s="173">
      <c r="A10" s="307" t="n"/>
      <c r="B10" s="307" t="n"/>
      <c r="C10" s="307" t="n">
        <v>1</v>
      </c>
      <c r="D10" s="307" t="inlineStr">
        <is>
          <t>Call RebootAsset with a ProductInstanceUri that is not exposed by the Server; all other arguments valid.</t>
        </is>
      </c>
      <c r="E10" s="307" t="inlineStr">
        <is>
          <t>The RebootAsset method is exposed.</t>
        </is>
      </c>
      <c r="F10" s="307" t="inlineStr">
        <is>
          <t>The Call Service returns Good (ResponseHeader.ServiceResult = Good); CallMethodResult.StatusCode = Uncertain; Status output = 2 (ProductInstanceUri not found) with a StatusMessage.</t>
        </is>
      </c>
      <c r="G10" s="307" t="inlineStr">
        <is>
          <t>Good</t>
        </is>
      </c>
      <c r="H10" s="307" t="inlineStr">
        <is>
          <t>CallMethodResult.StatusCode = Uncertain; Status output = 2</t>
        </is>
      </c>
      <c r="I10" s="307" t="n"/>
      <c r="J10" s="307" t="inlineStr">
        <is>
          <t>OPC 40450-1 Section 7.6 Table 70; Section 7.4 status</t>
        </is>
      </c>
      <c r="K10" s="307" t="n"/>
    </row>
    <row r="11" ht="49" customHeight="1" s="173"/>
    <row r="12" ht="64" customHeight="1" s="173"/>
    <row r="13" ht="60" customHeight="1" s="173"/>
    <row r="14" ht="90" customHeight="1" s="173"/>
    <row r="15" ht="34" customHeight="1" s="173"/>
    <row r="16" ht="64" customHeight="1" s="173"/>
    <row r="17" ht="34" customHeight="1" s="173"/>
    <row r="18" ht="64" customHeight="1" s="173"/>
    <row r="19" ht="34" customHeight="1" s="173"/>
    <row r="20" ht="49" customHeight="1" s="173"/>
  </sheetData>
  <mergeCells count="2">
    <mergeCell ref="A1:K1"/>
    <mergeCell ref="C2:J2"/>
  </mergeCells>
  <pageMargins left="0.75" right="0.75" top="1" bottom="1" header="0.5" footer="0.5"/>
</worksheet>
</file>

<file path=xl/worksheets/sheet75.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CU-72: IJT Feedback Methods</t>
        </is>
      </c>
    </row>
    <row r="2" ht="22" customHeight="1" s="173">
      <c r="A2" s="340">
        <f>HYPERLINK("#'Home'!A1","⌂ Home")</f>
        <v/>
      </c>
      <c r="C2" s="341" t="inlineStr">
        <is>
          <t>CU-72 — IJT Feedback Methods</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SendFeedback method signature</t>
        </is>
      </c>
      <c r="E4" s="313" t="n"/>
      <c r="F4" s="313" t="n"/>
      <c r="G4" s="313" t="n"/>
      <c r="H4" s="313" t="n"/>
      <c r="I4" s="313" t="inlineStr">
        <is>
          <t>n</t>
        </is>
      </c>
      <c r="J4" s="313" t="inlineStr">
        <is>
          <t>OPC 40450-1 Section 7.6.6-7 Tables 72-75; Section 7.4 status</t>
        </is>
      </c>
      <c r="K4" s="313" t="n"/>
    </row>
    <row r="5" ht="64" customHeight="1" s="173">
      <c r="A5" s="307" t="n"/>
      <c r="B5" s="307" t="n"/>
      <c r="C5" s="307" t="n">
        <v>1</v>
      </c>
      <c r="D5" s="307" t="inlineStr">
        <is>
          <t>Browse the asset MethodSet for SendFeedback and read its InputArguments and OutputArguments.</t>
        </is>
      </c>
      <c r="E5" s="307" t="inlineStr">
        <is>
          <t>The Server exposes the SendFeedback method.</t>
        </is>
      </c>
      <c r="F5" s="307" t="inlineStr">
        <is>
          <t>SendFeedback is a Method. InputArguments = ProductInstanceUri (String), FeedbackType (Int16), FeedbackText (String), FeedbackFile (String). OutputArguments = Status (Int64), StatusMessage (LocalizedText).</t>
        </is>
      </c>
      <c r="G5" s="307" t="inlineStr">
        <is>
          <t>Good</t>
        </is>
      </c>
      <c r="H5" s="307" t="inlineStr">
        <is>
          <t>Good</t>
        </is>
      </c>
      <c r="I5" s="307" t="n"/>
      <c r="J5" s="307" t="inlineStr">
        <is>
          <t>OPC 40450-1 Section 7.6.6-7 Tables 72-75; Section 7.4 status</t>
        </is>
      </c>
      <c r="K5" s="307" t="n"/>
    </row>
    <row r="6" ht="49" customHeight="1" s="173">
      <c r="A6" s="313" t="inlineStr">
        <is>
          <t>y</t>
        </is>
      </c>
      <c r="B6" s="313" t="n">
        <v>2</v>
      </c>
      <c r="C6" s="313" t="n">
        <v>0</v>
      </c>
      <c r="D6" s="313" t="inlineStr">
        <is>
          <t>Verify the GetFeedbackFileList method signature</t>
        </is>
      </c>
      <c r="E6" s="313" t="n"/>
      <c r="F6" s="313" t="n"/>
      <c r="G6" s="313" t="n"/>
      <c r="H6" s="313" t="n"/>
      <c r="I6" s="313" t="inlineStr">
        <is>
          <t>n</t>
        </is>
      </c>
      <c r="J6" s="313" t="inlineStr">
        <is>
          <t>OPC 40450-1 Section 7.6.6-7 Tables 72-75; Section 7.4 status</t>
        </is>
      </c>
      <c r="K6" s="313" t="n"/>
    </row>
    <row r="7" ht="64" customHeight="1" s="173">
      <c r="A7" s="307" t="n"/>
      <c r="B7" s="307" t="n"/>
      <c r="C7" s="307" t="n">
        <v>1</v>
      </c>
      <c r="D7" s="307" t="inlineStr">
        <is>
          <t>Browse the asset MethodSet for GetFeedbackFileList and read its InputArguments and OutputArguments.</t>
        </is>
      </c>
      <c r="E7" s="307" t="inlineStr">
        <is>
          <t>The Server exposes the GetFeedbackFileList method.</t>
        </is>
      </c>
      <c r="F7" s="307" t="inlineStr">
        <is>
          <t>GetFeedbackFileList is a Method. InputArguments = ProductInstanceUri (String). OutputArguments = FeedbackFileList (String[]), Status (Int64), StatusMessage (LocalizedText).</t>
        </is>
      </c>
      <c r="G7" s="307" t="inlineStr">
        <is>
          <t>Good</t>
        </is>
      </c>
      <c r="H7" s="307" t="inlineStr">
        <is>
          <t>Good</t>
        </is>
      </c>
      <c r="I7" s="307" t="n"/>
      <c r="J7" s="307" t="inlineStr">
        <is>
          <t>OPC 40450-1 Section 7.6.6-7 Tables 72-75; Section 7.4 status</t>
        </is>
      </c>
      <c r="K7" s="307" t="n"/>
    </row>
    <row r="8" ht="49" customHeight="1" s="173">
      <c r="A8" s="313" t="inlineStr">
        <is>
          <t>y</t>
        </is>
      </c>
      <c r="B8" s="313" t="n">
        <v>3</v>
      </c>
      <c r="C8" s="313" t="n">
        <v>0</v>
      </c>
      <c r="D8" s="313" t="inlineStr">
        <is>
          <t>Call SendFeedback with text feedback</t>
        </is>
      </c>
      <c r="E8" s="313" t="n"/>
      <c r="F8" s="313" t="n"/>
      <c r="G8" s="313" t="n"/>
      <c r="H8" s="313" t="n"/>
      <c r="I8" s="313" t="inlineStr">
        <is>
          <t>n</t>
        </is>
      </c>
      <c r="J8" s="313" t="inlineStr">
        <is>
          <t>OPC 40450-1 Section 7.6.6-7 Tables 72-75; Section 7.4 status</t>
        </is>
      </c>
      <c r="K8" s="313" t="n"/>
    </row>
    <row r="9" ht="49" customHeight="1" s="173">
      <c r="A9" s="307" t="n"/>
      <c r="B9" s="307" t="n"/>
      <c r="C9" s="307" t="n">
        <v>1</v>
      </c>
      <c r="D9" s="307" t="inlineStr">
        <is>
          <t>Call SendFeedback with FeedbackType = 2 (TEXT), FeedbackText set and FeedbackFile empty.</t>
        </is>
      </c>
      <c r="E9" s="307" t="inlineStr">
        <is>
          <t>SendFeedback is callable.</t>
        </is>
      </c>
      <c r="F9" s="307" t="inlineStr">
        <is>
          <t>The Call Service returns Good; Status = 0 (OK) with a StatusMessage; the text feedback is delivered to the asset.</t>
        </is>
      </c>
      <c r="G9" s="307" t="inlineStr">
        <is>
          <t>Good</t>
        </is>
      </c>
      <c r="H9" s="307" t="inlineStr">
        <is>
          <t>Status = 0 (OK)</t>
        </is>
      </c>
      <c r="I9" s="307" t="n"/>
      <c r="J9" s="307" t="inlineStr">
        <is>
          <t>OPC 40450-1 Section 7.6.6-7 Tables 72-75; Section 7.4 status</t>
        </is>
      </c>
      <c r="K9" s="307" t="n"/>
    </row>
    <row r="10" ht="49" customHeight="1" s="173">
      <c r="A10" s="313" t="inlineStr">
        <is>
          <t>y</t>
        </is>
      </c>
      <c r="B10" s="313" t="n">
        <v>4</v>
      </c>
      <c r="C10" s="313" t="n">
        <v>0</v>
      </c>
      <c r="D10" s="313" t="inlineStr">
        <is>
          <t>Call GetFeedbackFileList then SendFeedback for non-text feedback</t>
        </is>
      </c>
      <c r="E10" s="313" t="n"/>
      <c r="F10" s="313" t="n"/>
      <c r="G10" s="313" t="n"/>
      <c r="H10" s="313" t="n"/>
      <c r="I10" s="313" t="inlineStr">
        <is>
          <t>n</t>
        </is>
      </c>
      <c r="J10" s="313" t="inlineStr">
        <is>
          <t>OPC 40450-1 Section 7.6.6-7 Tables 72-75; Section 7.4 status</t>
        </is>
      </c>
      <c r="K10" s="313" t="n"/>
    </row>
    <row r="11" ht="64" customHeight="1" s="173">
      <c r="A11" s="307" t="n"/>
      <c r="B11" s="307" t="n"/>
      <c r="C11" s="307" t="n">
        <v>1</v>
      </c>
      <c r="D11" s="307" t="inlineStr">
        <is>
          <t>Call GetFeedbackFileList to obtain FeedbackFileList, then call SendFeedback with a non-text FeedbackType (e.g. 3 VISUAL / 4 AUDIO / 5 VIBRATE) and FeedbackFile taken from the returned list.</t>
        </is>
      </c>
      <c r="E11" s="307" t="inlineStr">
        <is>
          <t>GetFeedbackFileList and SendFeedback are callable and the asset provides feedback files.</t>
        </is>
      </c>
      <c r="F11" s="307" t="inlineStr">
        <is>
          <t>GetFeedbackFileList returns Good with FeedbackFileList; the subsequent SendFeedback returns Good; Status = 0 (OK); the selected non-text feedback is delivered.</t>
        </is>
      </c>
      <c r="G11" s="307" t="inlineStr">
        <is>
          <t>Good</t>
        </is>
      </c>
      <c r="H11" s="307" t="inlineStr">
        <is>
          <t>Status = 0 (OK)</t>
        </is>
      </c>
      <c r="I11" s="307" t="n"/>
      <c r="J11" s="307" t="inlineStr">
        <is>
          <t>OPC 40450-1 Section 7.6.6-7 Tables 72-75; Section 7.4 status</t>
        </is>
      </c>
      <c r="K11" s="307" t="n"/>
    </row>
    <row r="12" ht="20.05" customHeight="1" s="173">
      <c r="A12" s="365" t="inlineStr">
        <is>
          <t>Error Test Cases</t>
        </is>
      </c>
      <c r="B12" s="365" t="n"/>
      <c r="C12" s="365" t="n"/>
      <c r="D12" s="365" t="n"/>
      <c r="E12" s="365" t="n"/>
      <c r="F12" s="365" t="n"/>
      <c r="G12" s="365" t="n"/>
      <c r="H12" s="365" t="n"/>
      <c r="I12" s="365" t="n"/>
      <c r="J12" s="365" t="n"/>
      <c r="K12" s="365" t="n"/>
    </row>
    <row r="13" ht="49" customHeight="1" s="173">
      <c r="A13" s="366" t="inlineStr">
        <is>
          <t>y</t>
        </is>
      </c>
      <c r="B13" s="366" t="n">
        <v>5</v>
      </c>
      <c r="C13" s="366" t="n">
        <v>0</v>
      </c>
      <c r="D13" s="366" t="inlineStr">
        <is>
          <t>Verify feedback rejects an invalid ProductInstanceUri</t>
        </is>
      </c>
      <c r="E13" s="366" t="n"/>
      <c r="F13" s="366" t="n"/>
      <c r="G13" s="366" t="n"/>
      <c r="H13" s="366" t="n"/>
      <c r="I13" s="366" t="inlineStr">
        <is>
          <t>n</t>
        </is>
      </c>
      <c r="J13" s="366" t="inlineStr">
        <is>
          <t>OPC 40450-1 Section 7.6.6-7 Tables 72-75; Section 7.4 status</t>
        </is>
      </c>
      <c r="K13" s="366" t="n"/>
    </row>
    <row r="14" ht="64" customHeight="1" s="173">
      <c r="A14" s="307" t="n"/>
      <c r="B14" s="307" t="n"/>
      <c r="C14" s="307" t="n">
        <v>1</v>
      </c>
      <c r="D14" s="307" t="inlineStr">
        <is>
          <t>Call feedback with a ProductInstanceUri that is not exposed by the Server; all other arguments valid.</t>
        </is>
      </c>
      <c r="E14" s="307" t="inlineStr">
        <is>
          <t>The feedback method is exposed.</t>
        </is>
      </c>
      <c r="F14" s="307" t="inlineStr">
        <is>
          <t>The Call Service returns Good (ResponseHeader.ServiceResult = Good); CallMethodResult.StatusCode = Uncertain; Status output = 2 (ProductInstanceUri not found) with a StatusMessage.</t>
        </is>
      </c>
      <c r="G14" s="307" t="inlineStr">
        <is>
          <t>Good</t>
        </is>
      </c>
      <c r="H14" s="307" t="inlineStr">
        <is>
          <t>CallMethodResult.StatusCode = Uncertain; Status output = 2</t>
        </is>
      </c>
      <c r="I14" s="307" t="n"/>
      <c r="J14" s="307" t="inlineStr">
        <is>
          <t>OPC 40450-1 Section 7.6.6-7 Tables 72-75; Section 7.4 status</t>
        </is>
      </c>
      <c r="K14" s="307" t="n"/>
    </row>
    <row r="15" ht="49" customHeight="1" s="173">
      <c r="A15" s="366" t="inlineStr">
        <is>
          <t>y</t>
        </is>
      </c>
      <c r="B15" s="366" t="n">
        <v>7</v>
      </c>
      <c r="C15" s="366" t="n">
        <v>0</v>
      </c>
      <c r="D15" s="366" t="inlineStr">
        <is>
          <t>Verify SendFeedback rejects invalid input</t>
        </is>
      </c>
      <c r="E15" s="366" t="n"/>
      <c r="F15" s="366" t="n"/>
      <c r="G15" s="366" t="n"/>
      <c r="H15" s="366" t="n"/>
      <c r="I15" s="366" t="inlineStr">
        <is>
          <t>n</t>
        </is>
      </c>
      <c r="J15" s="366" t="inlineStr">
        <is>
          <t>OPC 40450-1 Section 7.6.6-7 Tables 72-75; Section 7.4 status</t>
        </is>
      </c>
      <c r="K15" s="366" t="n"/>
    </row>
    <row r="16" ht="64" customHeight="1" s="173">
      <c r="A16" s="307" t="n"/>
      <c r="B16" s="307" t="n"/>
      <c r="C16" s="307" t="n">
        <v>1</v>
      </c>
      <c r="D16" s="307" t="inlineStr">
        <is>
          <t>Call SendFeedback with a non-text FeedbackType (e.g. 3 VISUAL) but a FeedbackFile that is not one of the entries returned by GetFeedbackFileList (an unknown/invalid file reference).</t>
        </is>
      </c>
      <c r="E16" s="307" t="inlineStr">
        <is>
          <t>SendFeedback is callable.</t>
        </is>
      </c>
      <c r="F16" s="307" t="inlineStr">
        <is>
          <t>The Call Service returns Good (ResponseHeader.ServiceResult = Good); CallMethodResult.StatusCode = Uncertain; Status output = 5 (Invalid input) with a StatusMessage; no feedback is delivered.</t>
        </is>
      </c>
      <c r="G16" s="307" t="inlineStr">
        <is>
          <t>Good</t>
        </is>
      </c>
      <c r="H16" s="307" t="inlineStr">
        <is>
          <t>CallMethodResult.StatusCode = Uncertain; Status output = 5</t>
        </is>
      </c>
      <c r="I16" s="307" t="n"/>
      <c r="J16" s="307" t="inlineStr">
        <is>
          <t>OPC 40450-1 Section 7.6.6-7 Tables 72-75; Section 7.4 status</t>
        </is>
      </c>
      <c r="K16" s="307" t="n"/>
    </row>
    <row r="17" ht="49" customHeight="1" s="173"/>
    <row r="18" ht="64" customHeight="1" s="173"/>
    <row r="19" ht="34" customHeight="1" s="173"/>
    <row r="20" ht="64" customHeight="1" s="173"/>
  </sheetData>
  <mergeCells count="2">
    <mergeCell ref="A1:K1"/>
    <mergeCell ref="C2:J2"/>
  </mergeCells>
  <pageMargins left="0.75" right="0.75" top="1" bottom="1" header="0.5" footer="0.5"/>
</worksheet>
</file>

<file path=xl/worksheets/sheet76.xml><?xml version="1.0" encoding="utf-8"?>
<worksheet xmlns="http://schemas.openxmlformats.org/spreadsheetml/2006/main">
  <sheetPr>
    <tabColor rgb="FF2E75B6"/>
    <outlinePr summaryBelow="1" summaryRight="1"/>
    <pageSetUpPr/>
  </sheetPr>
  <dimension ref="A1:K14"/>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CU-73: IJT Set Time</t>
        </is>
      </c>
    </row>
    <row r="2" ht="22" customHeight="1" s="173">
      <c r="A2" s="340">
        <f>HYPERLINK("#'Home'!A1","⌂ Home")</f>
        <v/>
      </c>
      <c r="C2" s="341" t="inlineStr">
        <is>
          <t>CU-73 — IJT Set Time</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SetTime method signature</t>
        </is>
      </c>
      <c r="E4" s="313" t="n"/>
      <c r="F4" s="313" t="n"/>
      <c r="G4" s="313" t="n"/>
      <c r="H4" s="313" t="n"/>
      <c r="I4" s="313" t="inlineStr">
        <is>
          <t>n</t>
        </is>
      </c>
      <c r="J4" s="313" t="inlineStr">
        <is>
          <t>OPC 40450-1 Section 7.6 Table 76; Section 7.4 status</t>
        </is>
      </c>
      <c r="K4" s="313" t="inlineStr"/>
    </row>
    <row r="5" ht="49" customHeight="1" s="173">
      <c r="A5" s="307" t="n"/>
      <c r="B5" s="307" t="n"/>
      <c r="C5" s="307" t="n">
        <v>1</v>
      </c>
      <c r="D5" s="307" t="inlineStr">
        <is>
          <t>Browse the asset MethodSet for SetTime and read its InputArguments and OutputArguments.</t>
        </is>
      </c>
      <c r="E5" s="307" t="inlineStr">
        <is>
          <t>The Server exposes the SetTime method.</t>
        </is>
      </c>
      <c r="F5" s="307" t="inlineStr">
        <is>
          <t>SetTime is a Method. InputArguments = ProductInstanceUri (String), InputTime (UtcTime). OutputArguments = Status (Int64), StatusMessage (LocalizedText).</t>
        </is>
      </c>
      <c r="G5" s="307" t="inlineStr">
        <is>
          <t>Good</t>
        </is>
      </c>
      <c r="H5" s="307" t="inlineStr">
        <is>
          <t>Good</t>
        </is>
      </c>
      <c r="I5" s="307" t="n"/>
      <c r="J5" s="307" t="inlineStr">
        <is>
          <t>OPC 40450-1 Section 7.6 Table 76; Section 7.4 status</t>
        </is>
      </c>
      <c r="K5" s="307" t="n"/>
    </row>
    <row r="6" ht="49" customHeight="1" s="173">
      <c r="A6" s="313" t="inlineStr">
        <is>
          <t>y</t>
        </is>
      </c>
      <c r="B6" s="313" t="n">
        <v>2</v>
      </c>
      <c r="C6" s="313" t="n">
        <v>0</v>
      </c>
      <c r="D6" s="313" t="inlineStr">
        <is>
          <t>Call SetTime and verify the outcome</t>
        </is>
      </c>
      <c r="E6" s="313" t="n"/>
      <c r="F6" s="313" t="n"/>
      <c r="G6" s="313" t="n"/>
      <c r="H6" s="313" t="n"/>
      <c r="I6" s="313" t="inlineStr">
        <is>
          <t>n</t>
        </is>
      </c>
      <c r="J6" s="313" t="inlineStr">
        <is>
          <t>OPC 40450-1 Section 7.6 Table 76; Section 7.4 status</t>
        </is>
      </c>
      <c r="K6" s="313" t="n"/>
    </row>
    <row r="7" ht="49" customHeight="1" s="173">
      <c r="A7" s="307" t="n"/>
      <c r="B7" s="307" t="n"/>
      <c r="C7" s="307" t="n">
        <v>1</v>
      </c>
      <c r="D7" s="307" t="inlineStr">
        <is>
          <t>Call SetTime with valid input arguments (a valid ProductInstanceUri of an asset exposed by the Server).</t>
        </is>
      </c>
      <c r="E7" s="307" t="inlineStr">
        <is>
          <t>The SetTime method is callable.</t>
        </is>
      </c>
      <c r="F7" s="307" t="inlineStr">
        <is>
          <t>The Call Service returns Good; Status = 0 (OK) with a StatusMessage. The asset's time is set to InputTime.</t>
        </is>
      </c>
      <c r="G7" s="307" t="inlineStr">
        <is>
          <t>Good</t>
        </is>
      </c>
      <c r="H7" s="307" t="inlineStr">
        <is>
          <t>Status = 0 (OK)</t>
        </is>
      </c>
      <c r="I7" s="307" t="n"/>
      <c r="J7" s="307" t="inlineStr">
        <is>
          <t>OPC 40450-1 Section 7.6 Table 76;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y</t>
        </is>
      </c>
      <c r="B9" s="366" t="n">
        <v>3</v>
      </c>
      <c r="C9" s="366" t="n">
        <v>0</v>
      </c>
      <c r="D9" s="366" t="inlineStr">
        <is>
          <t>Verify SetTime rejects an invalid ProductInstanceUri</t>
        </is>
      </c>
      <c r="E9" s="366" t="n"/>
      <c r="F9" s="366" t="n"/>
      <c r="G9" s="366" t="n"/>
      <c r="H9" s="366" t="n"/>
      <c r="I9" s="366" t="inlineStr">
        <is>
          <t>n</t>
        </is>
      </c>
      <c r="J9" s="366" t="inlineStr">
        <is>
          <t>OPC 40450-1 Section 7.6 Table 76; Section 7.4 status</t>
        </is>
      </c>
      <c r="K9" s="366" t="n"/>
    </row>
    <row r="10" ht="64" customHeight="1" s="173">
      <c r="A10" s="307" t="n"/>
      <c r="B10" s="307" t="n"/>
      <c r="C10" s="307" t="n">
        <v>1</v>
      </c>
      <c r="D10" s="307" t="inlineStr">
        <is>
          <t>Call SetTime with a ProductInstanceUri that is not exposed by the Server; all other arguments valid.</t>
        </is>
      </c>
      <c r="E10" s="307" t="inlineStr">
        <is>
          <t>The SetTime method is exposed.</t>
        </is>
      </c>
      <c r="F10" s="307" t="inlineStr">
        <is>
          <t>The Call Service returns Good (ResponseHeader.ServiceResult = Good); CallMethodResult.StatusCode = Uncertain; Status output = 2 (ProductInstanceUri not found) with a StatusMessage.</t>
        </is>
      </c>
      <c r="G10" s="307" t="inlineStr">
        <is>
          <t>Good</t>
        </is>
      </c>
      <c r="H10" s="307" t="inlineStr">
        <is>
          <t>CallMethodResult.StatusCode = Uncertain; Status output = 2</t>
        </is>
      </c>
      <c r="I10" s="307" t="n"/>
      <c r="J10" s="307" t="inlineStr">
        <is>
          <t>OPC 40450-1 Section 7.6 Table 76; Section 7.4 status</t>
        </is>
      </c>
      <c r="K10" s="307" t="n"/>
    </row>
    <row r="11" ht="49" customHeight="1" s="173">
      <c r="A11" s="366" t="inlineStr">
        <is>
          <t>y</t>
        </is>
      </c>
      <c r="B11" s="366" t="n">
        <v>4</v>
      </c>
      <c r="C11" s="366" t="n">
        <v>0</v>
      </c>
      <c r="D11" s="366" t="inlineStr">
        <is>
          <t>Verify SetTime rejects a present but invalid input value</t>
        </is>
      </c>
      <c r="E11" s="366" t="n"/>
      <c r="F11" s="366" t="n"/>
      <c r="G11" s="366" t="n"/>
      <c r="H11" s="366" t="n"/>
      <c r="I11" s="366" t="inlineStr">
        <is>
          <t>n</t>
        </is>
      </c>
      <c r="J11" s="366" t="inlineStr">
        <is>
          <t>OPC 40450-1 Section 7.6 Table 76; Section 7.4 status</t>
        </is>
      </c>
      <c r="K11" s="366" t="n"/>
    </row>
    <row r="12" ht="64" customHeight="1" s="173">
      <c r="A12" s="307" t="n"/>
      <c r="B12" s="307" t="n"/>
      <c r="C12" s="307" t="n">
        <v>1</v>
      </c>
      <c r="D12" s="307" t="inlineStr">
        <is>
          <t>Call SetTime with a present and decodable InputTime value that is invalid under the method's documented input constraints.</t>
        </is>
      </c>
      <c r="E12" s="307" t="inlineStr">
        <is>
          <t>The SetTime method is exposed.</t>
        </is>
      </c>
      <c r="F12" s="307" t="inlineStr">
        <is>
          <t>The Call Service returns Good (ResponseHeader.ServiceResult = Good); CallMethodResult.StatusCode = Uncertain; Status output = 5 (Invalid input) with a StatusMessage.</t>
        </is>
      </c>
      <c r="G12" s="307" t="inlineStr">
        <is>
          <t>Good</t>
        </is>
      </c>
      <c r="H12" s="307" t="inlineStr">
        <is>
          <t>CallMethodResult.StatusCode = Uncertain; Status output = 5</t>
        </is>
      </c>
      <c r="I12" s="307" t="n"/>
      <c r="J12" s="307" t="inlineStr">
        <is>
          <t>OPC 40450-1 Section 7.6 Table 76; Section 7.4 status</t>
        </is>
      </c>
      <c r="K12" s="307" t="n"/>
    </row>
    <row r="13" ht="49" customHeight="1" s="173">
      <c r="A13" s="366" t="inlineStr">
        <is>
          <t>y</t>
        </is>
      </c>
      <c r="B13" s="366" t="n">
        <v>5</v>
      </c>
      <c r="C13" s="366" t="n">
        <v>0</v>
      </c>
      <c r="D13" s="366" t="inlineStr">
        <is>
          <t>Verify SetTime rejects a missing mandatory input argument</t>
        </is>
      </c>
      <c r="E13" s="366" t="n"/>
      <c r="F13" s="366" t="n"/>
      <c r="G13" s="366" t="n"/>
      <c r="H13" s="366" t="n"/>
      <c r="I13" s="366" t="inlineStr">
        <is>
          <t>n</t>
        </is>
      </c>
      <c r="J13" s="366" t="inlineStr">
        <is>
          <t>OPC 40450-1 Section 7.6 Table 76; Section 7.4 status</t>
        </is>
      </c>
      <c r="K13" s="366" t="n"/>
    </row>
    <row r="14" ht="64" customHeight="1" s="173">
      <c r="A14" s="307" t="n"/>
      <c r="B14" s="307" t="n"/>
      <c r="C14" s="307" t="n">
        <v>1</v>
      </c>
      <c r="D14" s="307" t="inlineStr">
        <is>
          <t>Invoke SetTime with one mandatory input argument omitted from the Call request.</t>
        </is>
      </c>
      <c r="E14" s="307" t="inlineStr">
        <is>
          <t>The SetTime method is exposed and its complete InputArguments signature is known.</t>
        </is>
      </c>
      <c r="F14" s="307" t="inlineStr">
        <is>
          <t>The Call Service returns Good (ResponseHeader.ServiceResult = Good); CallMethodResult.StatusCode = Bad_ArgumentsMissing. OutputArguments is empty, so no Status or StatusMessage output is returned.</t>
        </is>
      </c>
      <c r="G14" s="307" t="inlineStr">
        <is>
          <t>Good</t>
        </is>
      </c>
      <c r="H14" s="307" t="inlineStr">
        <is>
          <t>CallMethodResult.StatusCode = Bad_ArgumentsMissing; no output arguments</t>
        </is>
      </c>
      <c r="I14" s="307" t="n"/>
      <c r="J14" s="307" t="inlineStr">
        <is>
          <t>OPC 40450-1 Section 7.6 Table 76; Section 7.4 status</t>
        </is>
      </c>
      <c r="K14" s="307" t="n"/>
    </row>
    <row r="15" ht="49" customHeight="1" s="173"/>
    <row r="16" ht="64" customHeight="1" s="173"/>
    <row r="18" ht="25.8" customHeight="1" s="173"/>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14"/>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CU-74: IJT Set Offline Timer</t>
        </is>
      </c>
    </row>
    <row r="2" ht="22" customHeight="1" s="173">
      <c r="A2" s="340">
        <f>HYPERLINK("#'Home'!A1","⌂ Home")</f>
        <v/>
      </c>
      <c r="C2" s="341" t="inlineStr">
        <is>
          <t>CU-74 — IJT Set Offline Timer</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SetOfflineTimer method signature</t>
        </is>
      </c>
      <c r="E4" s="313" t="n"/>
      <c r="F4" s="313" t="n"/>
      <c r="G4" s="313" t="n"/>
      <c r="H4" s="313" t="n"/>
      <c r="I4" s="313" t="inlineStr">
        <is>
          <t>n</t>
        </is>
      </c>
      <c r="J4" s="313" t="inlineStr">
        <is>
          <t>OPC 40450-1 Section 7.6 Table 78; Section 7.4 status</t>
        </is>
      </c>
      <c r="K4" s="313" t="inlineStr"/>
    </row>
    <row r="5" ht="64" customHeight="1" s="173">
      <c r="A5" s="307" t="n"/>
      <c r="B5" s="307" t="n"/>
      <c r="C5" s="307" t="n">
        <v>1</v>
      </c>
      <c r="D5" s="307" t="inlineStr">
        <is>
          <t>Browse the asset MethodSet for SetOfflineTimer and read its InputArguments and OutputArguments.</t>
        </is>
      </c>
      <c r="E5" s="307" t="inlineStr">
        <is>
          <t>The Server exposes the SetOfflineTimer method.</t>
        </is>
      </c>
      <c r="F5" s="307" t="inlineStr">
        <is>
          <t>SetOfflineTimer is a Method. InputArguments = ProductInstanceUri (String), OfflineTimer (Duration). OutputArguments = Status (Int64), StatusMessage (LocalizedText).</t>
        </is>
      </c>
      <c r="G5" s="307" t="inlineStr">
        <is>
          <t>Good</t>
        </is>
      </c>
      <c r="H5" s="307" t="inlineStr">
        <is>
          <t>Good</t>
        </is>
      </c>
      <c r="I5" s="307" t="n"/>
      <c r="J5" s="307" t="inlineStr">
        <is>
          <t>OPC 40450-1 Section 7.6 Table 78; Section 7.4 status</t>
        </is>
      </c>
      <c r="K5" s="307" t="n"/>
    </row>
    <row r="6" ht="49" customHeight="1" s="173">
      <c r="A6" s="313" t="inlineStr">
        <is>
          <t>y</t>
        </is>
      </c>
      <c r="B6" s="313" t="n">
        <v>2</v>
      </c>
      <c r="C6" s="313" t="n">
        <v>0</v>
      </c>
      <c r="D6" s="313" t="inlineStr">
        <is>
          <t>Call SetOfflineTimer and verify the outcome</t>
        </is>
      </c>
      <c r="E6" s="313" t="n"/>
      <c r="F6" s="313" t="n"/>
      <c r="G6" s="313" t="n"/>
      <c r="H6" s="313" t="n"/>
      <c r="I6" s="313" t="inlineStr">
        <is>
          <t>n</t>
        </is>
      </c>
      <c r="J6" s="313" t="inlineStr">
        <is>
          <t>OPC 40450-1 Section 7.6 Table 78; Section 7.4 status</t>
        </is>
      </c>
      <c r="K6" s="313" t="n"/>
    </row>
    <row r="7" ht="64" customHeight="1" s="173">
      <c r="A7" s="307" t="n"/>
      <c r="B7" s="307" t="n"/>
      <c r="C7" s="307" t="n">
        <v>1</v>
      </c>
      <c r="D7" s="307" t="inlineStr">
        <is>
          <t>Call SetOfflineTimer with valid input arguments (a valid ProductInstanceUri of an asset exposed by the Server).</t>
        </is>
      </c>
      <c r="E7" s="307" t="inlineStr">
        <is>
          <t>The SetOfflineTimer method is callable.</t>
        </is>
      </c>
      <c r="F7" s="307" t="inlineStr">
        <is>
          <t>The Call Service returns Good; Status = 0 (OK) with a StatusMessage. The asset's offline timer is set; results generated while offline set IsGeneratedOffline = TRUE.</t>
        </is>
      </c>
      <c r="G7" s="307" t="inlineStr">
        <is>
          <t>Good</t>
        </is>
      </c>
      <c r="H7" s="307" t="inlineStr">
        <is>
          <t>Status = 0 (OK)</t>
        </is>
      </c>
      <c r="I7" s="307" t="n"/>
      <c r="J7" s="307" t="inlineStr">
        <is>
          <t>OPC 40450-1 Section 7.6 Table 78;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y</t>
        </is>
      </c>
      <c r="B9" s="366" t="n">
        <v>3</v>
      </c>
      <c r="C9" s="366" t="n">
        <v>0</v>
      </c>
      <c r="D9" s="366" t="inlineStr">
        <is>
          <t>Verify SetOfflineTimer rejects an invalid ProductInstanceUri</t>
        </is>
      </c>
      <c r="E9" s="366" t="n"/>
      <c r="F9" s="366" t="n"/>
      <c r="G9" s="366" t="n"/>
      <c r="H9" s="366" t="n"/>
      <c r="I9" s="366" t="inlineStr">
        <is>
          <t>n</t>
        </is>
      </c>
      <c r="J9" s="366" t="inlineStr">
        <is>
          <t>OPC 40450-1 Section 7.6 Table 78; Section 7.4 status</t>
        </is>
      </c>
      <c r="K9" s="366" t="n"/>
    </row>
    <row r="10" ht="64" customHeight="1" s="173">
      <c r="A10" s="307" t="n"/>
      <c r="B10" s="307" t="n"/>
      <c r="C10" s="307" t="n">
        <v>1</v>
      </c>
      <c r="D10" s="307" t="inlineStr">
        <is>
          <t>Call SetOfflineTimer with a ProductInstanceUri that is not exposed by the Server; all other arguments valid.</t>
        </is>
      </c>
      <c r="E10" s="307" t="inlineStr">
        <is>
          <t>The SetOfflineTimer method is exposed.</t>
        </is>
      </c>
      <c r="F10" s="307" t="inlineStr">
        <is>
          <t>The Call Service returns Good (ResponseHeader.ServiceResult = Good); CallMethodResult.StatusCode = Uncertain; Status output = 2 (ProductInstanceUri not found) with a StatusMessage.</t>
        </is>
      </c>
      <c r="G10" s="307" t="inlineStr">
        <is>
          <t>Good</t>
        </is>
      </c>
      <c r="H10" s="307" t="inlineStr">
        <is>
          <t>CallMethodResult.StatusCode = Uncertain; Status output = 2</t>
        </is>
      </c>
      <c r="I10" s="307" t="n"/>
      <c r="J10" s="307" t="inlineStr">
        <is>
          <t>OPC 40450-1 Section 7.6 Table 78; Section 7.4 status</t>
        </is>
      </c>
      <c r="K10" s="307" t="n"/>
    </row>
    <row r="11" ht="49" customHeight="1" s="173">
      <c r="A11" s="366" t="inlineStr">
        <is>
          <t>y</t>
        </is>
      </c>
      <c r="B11" s="366" t="n">
        <v>4</v>
      </c>
      <c r="C11" s="366" t="n">
        <v>0</v>
      </c>
      <c r="D11" s="366" t="inlineStr">
        <is>
          <t>Verify SetOfflineTimer rejects a present but invalid input value</t>
        </is>
      </c>
      <c r="E11" s="366" t="n"/>
      <c r="F11" s="366" t="n"/>
      <c r="G11" s="366" t="n"/>
      <c r="H11" s="366" t="n"/>
      <c r="I11" s="366" t="inlineStr">
        <is>
          <t>n</t>
        </is>
      </c>
      <c r="J11" s="366" t="inlineStr">
        <is>
          <t>OPC 40450-1 Section 7.6 Table 78; Section 7.4 status</t>
        </is>
      </c>
      <c r="K11" s="366" t="n"/>
    </row>
    <row r="12" ht="64" customHeight="1" s="173">
      <c r="A12" s="307" t="n"/>
      <c r="B12" s="307" t="n"/>
      <c r="C12" s="307" t="n">
        <v>1</v>
      </c>
      <c r="D12" s="307" t="inlineStr">
        <is>
          <t>Call SetOfflineTimer with a present and decodable OfflineTimer value outside the method's documented supported range.</t>
        </is>
      </c>
      <c r="E12" s="307" t="inlineStr">
        <is>
          <t>The SetOfflineTimer method is exposed.</t>
        </is>
      </c>
      <c r="F12" s="307" t="inlineStr">
        <is>
          <t>The Call Service returns Good (ResponseHeader.ServiceResult = Good); CallMethodResult.StatusCode = Uncertain; Status output = 5 (Invalid input) with a StatusMessage.</t>
        </is>
      </c>
      <c r="G12" s="307" t="inlineStr">
        <is>
          <t>Good</t>
        </is>
      </c>
      <c r="H12" s="307" t="inlineStr">
        <is>
          <t>CallMethodResult.StatusCode = Uncertain; Status output = 5</t>
        </is>
      </c>
      <c r="I12" s="307" t="n"/>
      <c r="J12" s="307" t="inlineStr">
        <is>
          <t>OPC 40450-1 Section 7.6 Table 78; Section 7.4 status</t>
        </is>
      </c>
      <c r="K12" s="307" t="n"/>
    </row>
    <row r="13" ht="49" customHeight="1" s="173">
      <c r="A13" s="366" t="inlineStr">
        <is>
          <t>y</t>
        </is>
      </c>
      <c r="B13" s="366" t="n">
        <v>5</v>
      </c>
      <c r="C13" s="366" t="n">
        <v>0</v>
      </c>
      <c r="D13" s="366" t="inlineStr">
        <is>
          <t>Verify SetOfflineTimer rejects a missing mandatory input argument</t>
        </is>
      </c>
      <c r="E13" s="366" t="n"/>
      <c r="F13" s="366" t="n"/>
      <c r="G13" s="366" t="n"/>
      <c r="H13" s="366" t="n"/>
      <c r="I13" s="366" t="inlineStr">
        <is>
          <t>n</t>
        </is>
      </c>
      <c r="J13" s="366" t="inlineStr">
        <is>
          <t>OPC 40450-1 Section 7.6 Table 78; Section 7.4 status</t>
        </is>
      </c>
      <c r="K13" s="366" t="n"/>
    </row>
    <row r="14" ht="64" customHeight="1" s="173">
      <c r="A14" s="307" t="n"/>
      <c r="B14" s="307" t="n"/>
      <c r="C14" s="307" t="n">
        <v>1</v>
      </c>
      <c r="D14" s="307" t="inlineStr">
        <is>
          <t>Invoke SetOfflineTimer with one mandatory input argument omitted from the Call request.</t>
        </is>
      </c>
      <c r="E14" s="307" t="inlineStr">
        <is>
          <t>The SetOfflineTimer method is exposed and its complete InputArguments signature is known.</t>
        </is>
      </c>
      <c r="F14" s="307" t="inlineStr">
        <is>
          <t>The Call Service returns Good (ResponseHeader.ServiceResult = Good); CallMethodResult.StatusCode = Bad_ArgumentsMissing. OutputArguments is empty, so no Status or StatusMessage output is returned.</t>
        </is>
      </c>
      <c r="G14" s="307" t="inlineStr">
        <is>
          <t>Good</t>
        </is>
      </c>
      <c r="H14" s="307" t="inlineStr">
        <is>
          <t>CallMethodResult.StatusCode = Bad_ArgumentsMissing; no output arguments</t>
        </is>
      </c>
      <c r="I14" s="307" t="n"/>
      <c r="J14" s="307" t="inlineStr">
        <is>
          <t>OPC 40450-1 Section 7.6 Table 78; Section 7.4 status</t>
        </is>
      </c>
      <c r="K14" s="307" t="n"/>
    </row>
    <row r="15" ht="49" customHeight="1" s="173"/>
    <row r="16" ht="64" customHeight="1" s="173"/>
    <row r="17" ht="34" customHeight="1" s="173"/>
    <row r="18" ht="49" customHeight="1" s="173"/>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CU-75: IJT IO Signals Methods</t>
        </is>
      </c>
    </row>
    <row r="2" ht="22" customHeight="1" s="173">
      <c r="A2" s="340">
        <f>HYPERLINK("#'Home'!A1","⌂ Home")</f>
        <v/>
      </c>
      <c r="C2" s="341" t="inlineStr">
        <is>
          <t>CU-75 — IJT IO Signals Methods</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SetIOSignals method signature</t>
        </is>
      </c>
      <c r="E4" s="313" t="n"/>
      <c r="F4" s="313" t="n"/>
      <c r="G4" s="313" t="n"/>
      <c r="H4" s="313" t="n"/>
      <c r="I4" s="313" t="inlineStr">
        <is>
          <t>n</t>
        </is>
      </c>
      <c r="J4" s="313" t="inlineStr">
        <is>
          <t>OPC 40450-1 Section 7.6.10-11 Tables 80-83; Section 7.4 status</t>
        </is>
      </c>
      <c r="K4" s="313" t="inlineStr">
        <is>
          <t>Contract's method name is a typo; the model method is SetIOSignals (Section 7.6.10).</t>
        </is>
      </c>
    </row>
    <row r="5" ht="64" customHeight="1" s="173">
      <c r="A5" s="307" t="n"/>
      <c r="B5" s="307" t="n"/>
      <c r="C5" s="307" t="n">
        <v>1</v>
      </c>
      <c r="D5" s="307" t="inlineStr">
        <is>
          <t>Browse the asset MethodSet for SetIOSignals and read its InputArguments and OutputArguments.</t>
        </is>
      </c>
      <c r="E5" s="307" t="inlineStr">
        <is>
          <t>The Server exposes the SetIOSignals method.</t>
        </is>
      </c>
      <c r="F5" s="307" t="inlineStr">
        <is>
          <t>SetIOSignals is a Method. InputArguments = ProductInstanceUri (String), SignalList (SignalDataType[]). OutputArguments = SignalStatusList (Int32[]), Status (Int64), StatusMessage (LocalizedText).</t>
        </is>
      </c>
      <c r="G5" s="307" t="inlineStr">
        <is>
          <t>Good</t>
        </is>
      </c>
      <c r="H5" s="307" t="inlineStr">
        <is>
          <t>Good</t>
        </is>
      </c>
      <c r="I5" s="307" t="n"/>
      <c r="J5" s="307" t="inlineStr">
        <is>
          <t>OPC 40450-1 Section 7.6.10-11 Tables 80-83; Section 7.4 status</t>
        </is>
      </c>
      <c r="K5" s="307" t="n"/>
    </row>
    <row r="6" ht="49" customHeight="1" s="173">
      <c r="A6" s="313" t="inlineStr">
        <is>
          <t>y</t>
        </is>
      </c>
      <c r="B6" s="313" t="n">
        <v>2</v>
      </c>
      <c r="C6" s="313" t="n">
        <v>0</v>
      </c>
      <c r="D6" s="313" t="inlineStr">
        <is>
          <t>Verify the GetIOSignals method signature</t>
        </is>
      </c>
      <c r="E6" s="313" t="n"/>
      <c r="F6" s="313" t="n"/>
      <c r="G6" s="313" t="n"/>
      <c r="H6" s="313" t="n"/>
      <c r="I6" s="313" t="inlineStr">
        <is>
          <t>n</t>
        </is>
      </c>
      <c r="J6" s="313" t="inlineStr">
        <is>
          <t>OPC 40450-1 Section 7.6.10-11 Tables 80-83; Section 7.4 status</t>
        </is>
      </c>
      <c r="K6" s="313" t="n"/>
    </row>
    <row r="7" ht="64" customHeight="1" s="173">
      <c r="A7" s="307" t="n"/>
      <c r="B7" s="307" t="n"/>
      <c r="C7" s="307" t="n">
        <v>1</v>
      </c>
      <c r="D7" s="307" t="inlineStr">
        <is>
          <t>Browse the asset MethodSet for GetIOSignals and read its InputArguments and OutputArguments.</t>
        </is>
      </c>
      <c r="E7" s="307" t="inlineStr">
        <is>
          <t>The Server exposes the GetIOSignals method.</t>
        </is>
      </c>
      <c r="F7" s="307" t="inlineStr">
        <is>
          <t>GetIOSignals is a Method. InputArguments = ProductInstanceUri (String), SignalIdList (TrimmedString[]). OutputArguments = SignalList (SignalDataType[]), Status (Int64), StatusMessage (LocalizedText).</t>
        </is>
      </c>
      <c r="G7" s="307" t="inlineStr">
        <is>
          <t>Good</t>
        </is>
      </c>
      <c r="H7" s="307" t="inlineStr">
        <is>
          <t>Good</t>
        </is>
      </c>
      <c r="I7" s="307" t="n"/>
      <c r="J7" s="307" t="inlineStr">
        <is>
          <t>OPC 40450-1 Section 7.6.10-11 Tables 80-83; Section 7.4 status</t>
        </is>
      </c>
      <c r="K7" s="307" t="n"/>
    </row>
    <row r="8" ht="49" customHeight="1" s="173">
      <c r="A8" s="313" t="inlineStr">
        <is>
          <t>y</t>
        </is>
      </c>
      <c r="B8" s="313" t="n">
        <v>3</v>
      </c>
      <c r="C8" s="313" t="n">
        <v>0</v>
      </c>
      <c r="D8" s="313" t="inlineStr">
        <is>
          <t>Call GetIOSignals and verify the returned signals</t>
        </is>
      </c>
      <c r="E8" s="313" t="n"/>
      <c r="F8" s="313" t="n"/>
      <c r="G8" s="313" t="n"/>
      <c r="H8" s="313" t="n"/>
      <c r="I8" s="313" t="inlineStr">
        <is>
          <t>n</t>
        </is>
      </c>
      <c r="J8" s="313" t="inlineStr">
        <is>
          <t>OPC 40450-1 Section 7.6.10-11 Tables 80-83; Section 7.4 status</t>
        </is>
      </c>
      <c r="K8" s="313" t="n"/>
    </row>
    <row r="9" ht="49" customHeight="1" s="173">
      <c r="A9" s="307" t="n"/>
      <c r="B9" s="307" t="n"/>
      <c r="C9" s="307" t="n">
        <v>1</v>
      </c>
      <c r="D9" s="307" t="inlineStr">
        <is>
          <t>Call GetIOSignals with an empty SignalIdList to request all available signals.</t>
        </is>
      </c>
      <c r="E9" s="307" t="inlineStr">
        <is>
          <t>GetIOSignals is callable.</t>
        </is>
      </c>
      <c r="F9" s="307" t="inlineStr">
        <is>
          <t>The Call Service returns Good; Status = 0 (OK); SignalList contains all available signals from the asset.</t>
        </is>
      </c>
      <c r="G9" s="307" t="inlineStr">
        <is>
          <t>Good</t>
        </is>
      </c>
      <c r="H9" s="307" t="inlineStr">
        <is>
          <t>Status = 0 (OK)</t>
        </is>
      </c>
      <c r="I9" s="307" t="n"/>
      <c r="J9" s="307" t="inlineStr">
        <is>
          <t>OPC 40450-1 Section 7.6.10-11 Tables 80-83; Section 7.4 status</t>
        </is>
      </c>
      <c r="K9" s="307" t="n"/>
    </row>
    <row r="10" ht="49" customHeight="1" s="173">
      <c r="A10" s="313" t="inlineStr">
        <is>
          <t>y</t>
        </is>
      </c>
      <c r="B10" s="313" t="n">
        <v>4</v>
      </c>
      <c r="C10" s="313" t="n">
        <v>0</v>
      </c>
      <c r="D10" s="313" t="inlineStr">
        <is>
          <t>Call SetIOSignals and verify per-signal status</t>
        </is>
      </c>
      <c r="E10" s="313" t="n"/>
      <c r="F10" s="313" t="n"/>
      <c r="G10" s="313" t="n"/>
      <c r="H10" s="313" t="n"/>
      <c r="I10" s="313" t="inlineStr">
        <is>
          <t>n</t>
        </is>
      </c>
      <c r="J10" s="313" t="inlineStr">
        <is>
          <t>OPC 40450-1 Section 7.6.10-11 Tables 80-83; Section 7.4 status</t>
        </is>
      </c>
      <c r="K10" s="313" t="n"/>
    </row>
    <row r="11" ht="49" customHeight="1" s="173">
      <c r="A11" s="307" t="n"/>
      <c r="B11" s="307" t="n"/>
      <c r="C11" s="307" t="n">
        <v>1</v>
      </c>
      <c r="D11" s="307" t="inlineStr">
        <is>
          <t>Call SetIOSignals with a SignalList to set one or more signals on the asset.</t>
        </is>
      </c>
      <c r="E11" s="307" t="inlineStr">
        <is>
          <t>SetIOSignals is callable.</t>
        </is>
      </c>
      <c r="F11" s="307" t="inlineStr">
        <is>
          <t>The Call Service returns Good; Status = 0 (OK); SignalStatusList reports a per-signal status (0 = OK) for each input signal.</t>
        </is>
      </c>
      <c r="G11" s="307" t="inlineStr">
        <is>
          <t>Good</t>
        </is>
      </c>
      <c r="H11" s="307" t="inlineStr">
        <is>
          <t>Status = 0 (OK)</t>
        </is>
      </c>
      <c r="I11" s="307" t="n"/>
      <c r="J11" s="307" t="inlineStr">
        <is>
          <t>OPC 40450-1 Section 7.6.10-11 Tables 80-83; Section 7.4 status</t>
        </is>
      </c>
      <c r="K11" s="307" t="n"/>
    </row>
    <row r="12" ht="20.05" customHeight="1" s="173">
      <c r="A12" s="365" t="inlineStr">
        <is>
          <t>Error Test Cases</t>
        </is>
      </c>
      <c r="B12" s="365" t="n"/>
      <c r="C12" s="365" t="n"/>
      <c r="D12" s="365" t="n"/>
      <c r="E12" s="365" t="n"/>
      <c r="F12" s="365" t="n"/>
      <c r="G12" s="365" t="n"/>
      <c r="H12" s="365" t="n"/>
      <c r="I12" s="365" t="n"/>
      <c r="J12" s="365" t="n"/>
      <c r="K12" s="365" t="n"/>
    </row>
    <row r="13" ht="49" customHeight="1" s="173">
      <c r="A13" s="366" t="inlineStr">
        <is>
          <t>y</t>
        </is>
      </c>
      <c r="B13" s="366" t="n">
        <v>5</v>
      </c>
      <c r="C13" s="366" t="n">
        <v>0</v>
      </c>
      <c r="D13" s="366" t="inlineStr">
        <is>
          <t>Verify IO-signal rejects an invalid ProductInstanceUri</t>
        </is>
      </c>
      <c r="E13" s="366" t="n"/>
      <c r="F13" s="366" t="n"/>
      <c r="G13" s="366" t="n"/>
      <c r="H13" s="366" t="n"/>
      <c r="I13" s="366" t="inlineStr">
        <is>
          <t>n</t>
        </is>
      </c>
      <c r="J13" s="366" t="inlineStr">
        <is>
          <t>OPC 40450-1 Section 7.6.10-11 Tables 80-83; Section 7.4 status</t>
        </is>
      </c>
      <c r="K13" s="366" t="n"/>
    </row>
    <row r="14" ht="64" customHeight="1" s="173">
      <c r="A14" s="307" t="n"/>
      <c r="B14" s="307" t="n"/>
      <c r="C14" s="307" t="n">
        <v>1</v>
      </c>
      <c r="D14" s="307" t="inlineStr">
        <is>
          <t>Call IO-signal with a ProductInstanceUri that is not exposed by the Server; all other arguments valid.</t>
        </is>
      </c>
      <c r="E14" s="307" t="inlineStr">
        <is>
          <t>The IO-signal method is exposed.</t>
        </is>
      </c>
      <c r="F14" s="307" t="inlineStr">
        <is>
          <t>The Call Service returns Good (ResponseHeader.ServiceResult = Good); CallMethodResult.StatusCode = Uncertain; Status output = 2 (ProductInstanceUri not found) with a StatusMessage.</t>
        </is>
      </c>
      <c r="G14" s="307" t="inlineStr">
        <is>
          <t>Good</t>
        </is>
      </c>
      <c r="H14" s="307" t="inlineStr">
        <is>
          <t>CallMethodResult.StatusCode = Uncertain; Status output = 2</t>
        </is>
      </c>
      <c r="I14" s="307" t="n"/>
      <c r="J14" s="307" t="inlineStr">
        <is>
          <t>OPC 40450-1 Section 7.6.10-11 Tables 80-83; Section 7.4 status</t>
        </is>
      </c>
      <c r="K14" s="307" t="n"/>
    </row>
    <row r="15" ht="49" customHeight="1" s="173">
      <c r="A15" s="366" t="inlineStr">
        <is>
          <t>y</t>
        </is>
      </c>
      <c r="B15" s="366" t="n">
        <v>7</v>
      </c>
      <c r="C15" s="366" t="n">
        <v>0</v>
      </c>
      <c r="D15" s="366" t="inlineStr">
        <is>
          <t>Verify SetIOSignals rejects an invalid signal</t>
        </is>
      </c>
      <c r="E15" s="366" t="n"/>
      <c r="F15" s="366" t="n"/>
      <c r="G15" s="366" t="n"/>
      <c r="H15" s="366" t="n"/>
      <c r="I15" s="366" t="inlineStr">
        <is>
          <t>n</t>
        </is>
      </c>
      <c r="J15" s="366" t="inlineStr">
        <is>
          <t>OPC 40450-1 Section 7.6.10-11 Tables 80-83; Section 7.4 status</t>
        </is>
      </c>
      <c r="K15" s="366" t="n"/>
    </row>
    <row r="16" ht="79" customHeight="1" s="173">
      <c r="A16" s="307" t="n"/>
      <c r="B16" s="307" t="n"/>
      <c r="C16" s="307" t="n">
        <v>1</v>
      </c>
      <c r="D16" s="307" t="inlineStr">
        <is>
          <t>Call SetIOSignals with a SignalList containing a signal whose SignalId is not defined by the asset (an unknown or malformed SignalDataType element).</t>
        </is>
      </c>
      <c r="E16" s="307" t="inlineStr">
        <is>
          <t>SetIOSignals is callable.</t>
        </is>
      </c>
      <c r="F16" s="307" t="inlineStr">
        <is>
          <t>The Call Service returns Good (ResponseHeader.ServiceResult = Good); CallMethodResult.StatusCode = Uncertain; Status output = 5 (Invalid input) with a StatusMessage; SignalStatusList reports a non-zero per-signal status for the invalid signal.</t>
        </is>
      </c>
      <c r="G16" s="307" t="inlineStr">
        <is>
          <t>Good</t>
        </is>
      </c>
      <c r="H16" s="307" t="inlineStr">
        <is>
          <t>CallMethodResult.StatusCode = Uncertain; Status output = 5</t>
        </is>
      </c>
      <c r="I16" s="307" t="n"/>
      <c r="J16" s="307" t="inlineStr">
        <is>
          <t>OPC 40450-1 Section 7.6.10-11 Tables 80-83; Section 7.4 status</t>
        </is>
      </c>
      <c r="K16" s="307" t="n"/>
    </row>
    <row r="17" ht="49" customHeight="1" s="173"/>
    <row r="18" ht="79" customHeight="1" s="173"/>
    <row r="20" ht="38.7" customHeight="1" s="173"/>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2"/>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CU-76: IJT Get Error Information</t>
        </is>
      </c>
    </row>
    <row r="2" ht="22" customHeight="1" s="173">
      <c r="A2" s="340">
        <f>HYPERLINK("#'Home'!A1","⌂ Home")</f>
        <v/>
      </c>
      <c r="C2" s="341" t="inlineStr">
        <is>
          <t>CU-76 — IJT Get Error Information</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GetErrorInformation method signature</t>
        </is>
      </c>
      <c r="E4" s="313" t="n"/>
      <c r="F4" s="313" t="n"/>
      <c r="G4" s="313" t="n"/>
      <c r="H4" s="313" t="n"/>
      <c r="I4" s="313" t="inlineStr">
        <is>
          <t>n</t>
        </is>
      </c>
      <c r="J4" s="313" t="inlineStr">
        <is>
          <t>OPC 40450-1 Section 7.6 Table 92; Section 7.4 status</t>
        </is>
      </c>
      <c r="K4" s="313" t="inlineStr"/>
    </row>
    <row r="5" ht="64" customHeight="1" s="173">
      <c r="A5" s="307" t="n"/>
      <c r="B5" s="307" t="n"/>
      <c r="C5" s="307" t="n">
        <v>1</v>
      </c>
      <c r="D5" s="307" t="inlineStr">
        <is>
          <t>Browse the asset MethodSet for GetErrorInformation and read its InputArguments and OutputArguments.</t>
        </is>
      </c>
      <c r="E5" s="307" t="inlineStr">
        <is>
          <t>The Server exposes the GetErrorInformation method.</t>
        </is>
      </c>
      <c r="F5" s="307" t="inlineStr">
        <is>
          <t>GetErrorInformation is a Method. InputArguments = ProductInstanceUri (String), ErrorId (TrimmedString). OutputArguments = ErrorContent (BaseDataType), Status (Int64), StatusMessage (LocalizedText).</t>
        </is>
      </c>
      <c r="G5" s="307" t="inlineStr">
        <is>
          <t>Good</t>
        </is>
      </c>
      <c r="H5" s="307" t="inlineStr">
        <is>
          <t>Good</t>
        </is>
      </c>
      <c r="I5" s="307" t="n"/>
      <c r="J5" s="307" t="inlineStr">
        <is>
          <t>OPC 40450-1 Section 7.6 Table 92; Section 7.4 status</t>
        </is>
      </c>
      <c r="K5" s="307" t="n"/>
    </row>
    <row r="6" ht="49" customHeight="1" s="173">
      <c r="A6" s="313" t="inlineStr">
        <is>
          <t>y</t>
        </is>
      </c>
      <c r="B6" s="313" t="n">
        <v>2</v>
      </c>
      <c r="C6" s="313" t="n">
        <v>0</v>
      </c>
      <c r="D6" s="313" t="inlineStr">
        <is>
          <t>Call GetErrorInformation and verify the outcome</t>
        </is>
      </c>
      <c r="E6" s="313" t="n"/>
      <c r="F6" s="313" t="n"/>
      <c r="G6" s="313" t="n"/>
      <c r="H6" s="313" t="n"/>
      <c r="I6" s="313" t="inlineStr">
        <is>
          <t>n</t>
        </is>
      </c>
      <c r="J6" s="313" t="inlineStr">
        <is>
          <t>OPC 40450-1 Section 7.6 Table 92; Section 7.4 status</t>
        </is>
      </c>
      <c r="K6" s="313" t="n"/>
    </row>
    <row r="7" ht="64" customHeight="1" s="173">
      <c r="A7" s="307" t="n"/>
      <c r="B7" s="307" t="n"/>
      <c r="C7" s="307" t="n">
        <v>1</v>
      </c>
      <c r="D7" s="307" t="inlineStr">
        <is>
          <t>Call GetErrorInformation with valid input arguments (a valid ProductInstanceUri of an asset exposed by the Server).</t>
        </is>
      </c>
      <c r="E7" s="307" t="inlineStr">
        <is>
          <t>The GetErrorInformation method is callable.</t>
        </is>
      </c>
      <c r="F7" s="307" t="inlineStr">
        <is>
          <t>The Call Service returns Good; Status = 0 (OK) with a StatusMessage. ErrorContent returns the detailed error information for the given ErrorId (application-specific content).</t>
        </is>
      </c>
      <c r="G7" s="307" t="inlineStr">
        <is>
          <t>Good</t>
        </is>
      </c>
      <c r="H7" s="307" t="inlineStr">
        <is>
          <t>Status = 0 (OK)</t>
        </is>
      </c>
      <c r="I7" s="307" t="n"/>
      <c r="J7" s="307" t="inlineStr">
        <is>
          <t>OPC 40450-1 Section 7.6 Table 92;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y</t>
        </is>
      </c>
      <c r="B9" s="366" t="n">
        <v>3</v>
      </c>
      <c r="C9" s="366" t="n">
        <v>0</v>
      </c>
      <c r="D9" s="366" t="inlineStr">
        <is>
          <t>Verify GetErrorInformation rejects an invalid ProductInstanceUri</t>
        </is>
      </c>
      <c r="E9" s="366" t="n"/>
      <c r="F9" s="366" t="n"/>
      <c r="G9" s="366" t="n"/>
      <c r="H9" s="366" t="n"/>
      <c r="I9" s="366" t="inlineStr">
        <is>
          <t>n</t>
        </is>
      </c>
      <c r="J9" s="366" t="inlineStr">
        <is>
          <t>OPC 40450-1 Section 7.6 Table 92; Section 7.4 status</t>
        </is>
      </c>
      <c r="K9" s="366" t="n"/>
    </row>
    <row r="10" ht="64" customHeight="1" s="173">
      <c r="A10" s="307" t="n"/>
      <c r="B10" s="307" t="n"/>
      <c r="C10" s="307" t="n">
        <v>1</v>
      </c>
      <c r="D10" s="307" t="inlineStr">
        <is>
          <t>Call GetErrorInformation with a ProductInstanceUri that is not exposed by the Server; all other arguments valid.</t>
        </is>
      </c>
      <c r="E10" s="307" t="inlineStr">
        <is>
          <t>The GetErrorInformation method is exposed.</t>
        </is>
      </c>
      <c r="F10" s="307" t="inlineStr">
        <is>
          <t>The Call Service returns Good (ResponseHeader.ServiceResult = Good); CallMethodResult.StatusCode = Uncertain; Status output = 2 (ProductInstanceUri not found) with a StatusMessage.</t>
        </is>
      </c>
      <c r="G10" s="307" t="inlineStr">
        <is>
          <t>Good</t>
        </is>
      </c>
      <c r="H10" s="307" t="inlineStr">
        <is>
          <t>CallMethodResult.StatusCode = Uncertain; Status output = 2</t>
        </is>
      </c>
      <c r="I10" s="307" t="n"/>
      <c r="J10" s="307" t="inlineStr">
        <is>
          <t>OPC 40450-1 Section 7.6 Table 92; Section 7.4 status</t>
        </is>
      </c>
      <c r="K10" s="307" t="n"/>
    </row>
    <row r="11" ht="49" customHeight="1" s="173">
      <c r="A11" s="366" t="inlineStr">
        <is>
          <t>y</t>
        </is>
      </c>
      <c r="B11" s="366" t="n">
        <v>4</v>
      </c>
      <c r="C11" s="366" t="n">
        <v>0</v>
      </c>
      <c r="D11" s="366" t="inlineStr">
        <is>
          <t>Verify GetErrorInformation rejects an unknown ErrorId</t>
        </is>
      </c>
      <c r="E11" s="366" t="n"/>
      <c r="F11" s="366" t="n"/>
      <c r="G11" s="366" t="n"/>
      <c r="H11" s="366" t="n"/>
      <c r="I11" s="366" t="inlineStr">
        <is>
          <t>n</t>
        </is>
      </c>
      <c r="J11" s="366" t="inlineStr">
        <is>
          <t>OPC 40450-1 Section 7.6 Table 92; Section 7.4 status</t>
        </is>
      </c>
      <c r="K11" s="366" t="n"/>
    </row>
    <row r="12" ht="64" customHeight="1" s="173">
      <c r="A12" s="307" t="n"/>
      <c r="B12" s="307" t="n"/>
      <c r="C12" s="307" t="n">
        <v>1</v>
      </c>
      <c r="D12" s="307" t="inlineStr">
        <is>
          <t>Call GetErrorInformation with a ErrorId that does not exist on the Server; ProductInstanceUri and all other arguments valid.</t>
        </is>
      </c>
      <c r="E12" s="307" t="inlineStr">
        <is>
          <t>The GetErrorInformation method is exposed.</t>
        </is>
      </c>
      <c r="F12" s="307" t="inlineStr">
        <is>
          <t>The Call Service returns Good (ResponseHeader.ServiceResult = Good); CallMethodResult.StatusCode = Uncertain; Status output = 4 (Input identifier/entity not found) with a StatusMessage.</t>
        </is>
      </c>
      <c r="G12" s="307" t="inlineStr">
        <is>
          <t>Good</t>
        </is>
      </c>
      <c r="H12" s="307" t="inlineStr">
        <is>
          <t>CallMethodResult.StatusCode = Uncertain; Status output = 4</t>
        </is>
      </c>
      <c r="I12" s="307" t="n"/>
      <c r="J12" s="307" t="inlineStr">
        <is>
          <t>OPC 40450-1 Section 7.6 Table 92; Section 7.4 status</t>
        </is>
      </c>
      <c r="K12" s="307" t="n"/>
    </row>
    <row r="13" ht="49" customHeight="1" s="173"/>
    <row r="14" ht="64" customHeight="1" s="173"/>
    <row r="15" ht="34" customHeight="1" s="173"/>
    <row r="16" ht="64" customHeight="1" s="173"/>
    <row r="18" ht="25.8" customHeight="1" s="173"/>
    <row r="20" ht="25.8" customHeight="1" s="173"/>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0"/>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CU-77: IJT Execute Operation</t>
        </is>
      </c>
    </row>
    <row r="2" ht="22" customHeight="1" s="173">
      <c r="A2" s="340">
        <f>HYPERLINK("#'Home'!A1","⌂ Home")</f>
        <v/>
      </c>
      <c r="C2" s="341" t="inlineStr">
        <is>
          <t>CU-77 — IJT Execute Operation</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ExecuteOperation method signature</t>
        </is>
      </c>
      <c r="E4" s="313" t="n"/>
      <c r="F4" s="313" t="n"/>
      <c r="G4" s="313" t="n"/>
      <c r="H4" s="313" t="n"/>
      <c r="I4" s="313" t="inlineStr">
        <is>
          <t>n</t>
        </is>
      </c>
      <c r="J4" s="313" t="inlineStr">
        <is>
          <t>OPC 40450-1 Section 7.6 Table 94; Section 7.4 status</t>
        </is>
      </c>
      <c r="K4" s="313" t="inlineStr"/>
    </row>
    <row r="5" ht="79" customHeight="1" s="173">
      <c r="A5" s="307" t="n"/>
      <c r="B5" s="307" t="n"/>
      <c r="C5" s="307" t="n">
        <v>1</v>
      </c>
      <c r="D5" s="307" t="inlineStr">
        <is>
          <t>Browse the asset MethodSet for ExecuteOperation and read its InputArguments and OutputArguments.</t>
        </is>
      </c>
      <c r="E5" s="307" t="inlineStr">
        <is>
          <t>The Server exposes the ExecuteOperation method.</t>
        </is>
      </c>
      <c r="F5" s="307" t="inlineStr">
        <is>
          <t>ExecuteOperation is a Method. InputArguments = ProductInstanceUri (String), OperationType (Int32), OperationText (String), VendorName (String). OutputArguments = Status (Int64), StatusMessage (LocalizedText).</t>
        </is>
      </c>
      <c r="G5" s="307" t="inlineStr">
        <is>
          <t>Good</t>
        </is>
      </c>
      <c r="H5" s="307" t="inlineStr">
        <is>
          <t>Good</t>
        </is>
      </c>
      <c r="I5" s="307" t="n"/>
      <c r="J5" s="307" t="inlineStr">
        <is>
          <t>OPC 40450-1 Section 7.6 Table 94; Section 7.4 status</t>
        </is>
      </c>
      <c r="K5" s="307" t="n"/>
    </row>
    <row r="6" ht="49" customHeight="1" s="173">
      <c r="A6" s="313" t="inlineStr">
        <is>
          <t>y</t>
        </is>
      </c>
      <c r="B6" s="313" t="n">
        <v>2</v>
      </c>
      <c r="C6" s="313" t="n">
        <v>0</v>
      </c>
      <c r="D6" s="313" t="inlineStr">
        <is>
          <t>Call ExecuteOperation and verify the outcome</t>
        </is>
      </c>
      <c r="E6" s="313" t="n"/>
      <c r="F6" s="313" t="n"/>
      <c r="G6" s="313" t="n"/>
      <c r="H6" s="313" t="n"/>
      <c r="I6" s="313" t="inlineStr">
        <is>
          <t>n</t>
        </is>
      </c>
      <c r="J6" s="313" t="inlineStr">
        <is>
          <t>OPC 40450-1 Section 7.6 Table 94; Section 7.4 status</t>
        </is>
      </c>
      <c r="K6" s="313" t="n"/>
    </row>
    <row r="7" ht="49" customHeight="1" s="173">
      <c r="A7" s="307" t="n"/>
      <c r="B7" s="307" t="n"/>
      <c r="C7" s="307" t="n">
        <v>1</v>
      </c>
      <c r="D7" s="307" t="inlineStr">
        <is>
          <t>Call ExecuteOperation with valid input arguments (a valid ProductInstanceUri of an asset exposed by the Server).</t>
        </is>
      </c>
      <c r="E7" s="307" t="inlineStr">
        <is>
          <t>The ExecuteOperation method is callable.</t>
        </is>
      </c>
      <c r="F7" s="307" t="inlineStr">
        <is>
          <t>The Call Service returns Good; Status = 0 (OK) with a StatusMessage. The requested application-specific operation is executed.</t>
        </is>
      </c>
      <c r="G7" s="307" t="inlineStr">
        <is>
          <t>Good</t>
        </is>
      </c>
      <c r="H7" s="307" t="inlineStr">
        <is>
          <t>Status = 0 (OK)</t>
        </is>
      </c>
      <c r="I7" s="307" t="n"/>
      <c r="J7" s="307" t="inlineStr">
        <is>
          <t>OPC 40450-1 Section 7.6 Table 94;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y</t>
        </is>
      </c>
      <c r="B9" s="366" t="n">
        <v>3</v>
      </c>
      <c r="C9" s="366" t="n">
        <v>0</v>
      </c>
      <c r="D9" s="366" t="inlineStr">
        <is>
          <t>Verify ExecuteOperation rejects an invalid ProductInstanceUri</t>
        </is>
      </c>
      <c r="E9" s="366" t="n"/>
      <c r="F9" s="366" t="n"/>
      <c r="G9" s="366" t="n"/>
      <c r="H9" s="366" t="n"/>
      <c r="I9" s="366" t="inlineStr">
        <is>
          <t>n</t>
        </is>
      </c>
      <c r="J9" s="366" t="inlineStr">
        <is>
          <t>OPC 40450-1 Section 7.6 Table 94; Section 7.4 status</t>
        </is>
      </c>
      <c r="K9" s="366" t="n"/>
    </row>
    <row r="10" ht="64" customHeight="1" s="173">
      <c r="A10" s="307" t="n"/>
      <c r="B10" s="307" t="n"/>
      <c r="C10" s="307" t="n">
        <v>1</v>
      </c>
      <c r="D10" s="307" t="inlineStr">
        <is>
          <t>Call ExecuteOperation with a ProductInstanceUri that is not exposed by the Server; all other arguments valid.</t>
        </is>
      </c>
      <c r="E10" s="307" t="inlineStr">
        <is>
          <t>The ExecuteOperation method is exposed.</t>
        </is>
      </c>
      <c r="F10" s="307" t="inlineStr">
        <is>
          <t>The Call Service returns Good (ResponseHeader.ServiceResult = Good); CallMethodResult.StatusCode = Uncertain; Status output = 2 (ProductInstanceUri not found) with a StatusMessage.</t>
        </is>
      </c>
      <c r="G10" s="307" t="inlineStr">
        <is>
          <t>Good</t>
        </is>
      </c>
      <c r="H10" s="307" t="inlineStr">
        <is>
          <t>CallMethodResult.StatusCode = Uncertain; Status output = 2</t>
        </is>
      </c>
      <c r="I10" s="307" t="n"/>
      <c r="J10" s="307" t="inlineStr">
        <is>
          <t>OPC 40450-1 Section 7.6 Table 94; Section 7.4 status</t>
        </is>
      </c>
      <c r="K10" s="307" t="n"/>
    </row>
    <row r="11" ht="49" customHeight="1" s="173"/>
    <row r="12" ht="64" customHeight="1" s="173"/>
    <row r="13" ht="34" customHeight="1" s="173"/>
    <row r="14" ht="79" customHeight="1" s="173"/>
    <row r="15" ht="34" customHeight="1" s="173"/>
    <row r="16" ht="64" customHeight="1" s="173"/>
    <row r="17" ht="34" customHeight="1" s="173"/>
    <row r="18" ht="90" customHeight="1" s="173"/>
    <row r="20" ht="25.8" customHeight="1" s="173"/>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codeName="Sheet71">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CU-78: IJT Event Payload</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CU-78 — IJT Event Payload</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common event payload</t>
        </is>
      </c>
      <c r="E4" s="304" t="n"/>
      <c r="F4" s="304" t="n"/>
      <c r="G4" s="304" t="n"/>
      <c r="H4" s="304" t="n"/>
      <c r="I4" s="304" t="inlineStr">
        <is>
          <t>n</t>
        </is>
      </c>
      <c r="J4" s="304" t="inlineStr">
        <is>
          <t>OPC 40450-1 Section 9.3 Table 207 (JoiningSystemEventContentType); Section 8</t>
        </is>
      </c>
      <c r="K4" s="305" t="n"/>
    </row>
    <row r="5" ht="64" customFormat="1" customHeight="1" s="2">
      <c r="A5" s="329" t="n"/>
      <c r="B5" s="307" t="n"/>
      <c r="C5" s="307" t="n">
        <v>1</v>
      </c>
      <c r="D5" s="307" t="inlineStr">
        <is>
          <t>Subscribe to events from the joining system and inspect the JoiningSystemEventContent field of a received JoiningSystemEventType or JoiningSystemConditionType event.</t>
        </is>
      </c>
      <c r="E5" s="307" t="inlineStr">
        <is>
          <t>The Server claims the IJT Event Payload CU and generates a JoiningSystem event.</t>
        </is>
      </c>
      <c r="F5" s="307" t="inlineStr">
        <is>
          <t>The event carries JoiningSystemEventContent with JoiningTechnology (LocalizedText), EventText (LocalizedText), and EventCode (Int64), as required by the CU.</t>
        </is>
      </c>
      <c r="G5" s="307" t="inlineStr">
        <is>
          <t>Good</t>
        </is>
      </c>
      <c r="H5" s="307" t="inlineStr">
        <is>
          <t>Good</t>
        </is>
      </c>
      <c r="I5" s="307" t="n"/>
      <c r="J5" s="307" t="inlineStr">
        <is>
          <t>OPC 40450-1 Section 9.3 Table 207 (JoiningSystemEventContentType); Section 8</t>
        </is>
      </c>
      <c r="K5" s="332" t="n"/>
    </row>
    <row r="6" ht="34" customHeight="1" s="173"/>
    <row r="7" ht="79" customHeight="1" s="173"/>
    <row r="8" ht="34" customHeight="1" s="173"/>
    <row r="9" ht="64" customHeight="1" s="173"/>
    <row r="10" ht="34" customHeight="1" s="173"/>
    <row r="11" ht="79" customHeight="1" s="173"/>
    <row r="12" ht="34" customHeight="1" s="173"/>
    <row r="13" ht="64" customHeight="1" s="173"/>
    <row r="14" ht="20.05" customHeight="1" s="173"/>
    <row r="15" ht="49" customHeight="1" s="173"/>
    <row r="16" ht="79" customHeight="1" s="173"/>
    <row r="17" ht="34" customHeight="1" s="173"/>
    <row r="18" ht="34" customHeight="1" s="173"/>
    <row r="19" ht="34" customHeight="1" s="173"/>
    <row r="20" ht="49" customHeight="1" s="173"/>
    <row r="21" ht="34" customHeight="1" s="173"/>
    <row r="22" ht="49" customHeight="1" s="173"/>
  </sheetData>
  <mergeCells count="2">
    <mergeCell ref="A1:K1"/>
    <mergeCell ref="C2:J2"/>
  </mergeCells>
  <pageMargins left="0.7" right="0.7" top="0.75" bottom="0.75" header="0.3" footer="0.3"/>
</worksheet>
</file>

<file path=xl/worksheets/sheet82.xml><?xml version="1.0" encoding="utf-8"?>
<worksheet xmlns="http://schemas.openxmlformats.org/spreadsheetml/2006/main">
  <sheetPr codeName="Sheet72">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CU-79: IJT Event Condition Classes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CU-79 — IJT Event Condition Classes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condition-classification properties</t>
        </is>
      </c>
      <c r="E4" s="304" t="n"/>
      <c r="F4" s="304" t="n"/>
      <c r="G4" s="304" t="n"/>
      <c r="H4" s="304" t="n"/>
      <c r="I4" s="304" t="inlineStr">
        <is>
          <t>n</t>
        </is>
      </c>
      <c r="J4" s="304" t="inlineStr">
        <is>
          <t>OPC 40450-1 Section 9.3 Table 207 (JoiningSystemEventContentType); Section 8</t>
        </is>
      </c>
      <c r="K4" s="305" t="n"/>
    </row>
    <row r="5" ht="64" customFormat="1" customHeight="1" s="2">
      <c r="A5" s="329" t="n"/>
      <c r="B5" s="307" t="n"/>
      <c r="C5" s="307" t="n">
        <v>1</v>
      </c>
      <c r="D5" s="307" t="inlineStr">
        <is>
          <t>On a received JoiningSystem event or condition, read the classification properties.</t>
        </is>
      </c>
      <c r="E5" s="307" t="inlineStr">
        <is>
          <t>The Server generates JoiningSystem events or conditions.</t>
        </is>
      </c>
      <c r="F5" s="307" t="inlineStr">
        <is>
          <t>The event provides ConditionClassId, ConditionClassName, ConditionSubClassId and ConditionSubClassName. When the ConditionClass is already a specific category, the ConditionSubClass may be omitted.</t>
        </is>
      </c>
      <c r="G5" s="307" t="inlineStr">
        <is>
          <t>Good</t>
        </is>
      </c>
      <c r="H5" s="307" t="inlineStr">
        <is>
          <t>Good</t>
        </is>
      </c>
      <c r="I5" s="307" t="n"/>
      <c r="J5" s="307" t="inlineStr">
        <is>
          <t>OPC 40450-1 Section 9.3 Table 207 (JoiningSystemEventContentType); Section 8</t>
        </is>
      </c>
      <c r="K5" s="332" t="n"/>
    </row>
    <row r="6" ht="60" customHeight="1" s="173">
      <c r="A6" s="323" t="inlineStr">
        <is>
          <t>y</t>
        </is>
      </c>
      <c r="B6" s="324" t="n">
        <v>2</v>
      </c>
      <c r="C6" s="325" t="n">
        <v>0</v>
      </c>
      <c r="D6" s="325" t="inlineStr">
        <is>
          <t>Verify classification is not required for result-notification events</t>
        </is>
      </c>
      <c r="E6" s="325" t="n"/>
      <c r="F6" s="325" t="n"/>
      <c r="G6" s="325" t="n"/>
      <c r="H6" s="325" t="n"/>
      <c r="I6" s="325" t="inlineStr">
        <is>
          <t>n</t>
        </is>
      </c>
      <c r="J6" s="325" t="inlineStr">
        <is>
          <t>OPC 40450-1 Section 9.3 Table 207 (JoiningSystemEventContentType); Section 8</t>
        </is>
      </c>
      <c r="K6" s="326" t="n"/>
    </row>
    <row r="7" ht="64" customHeight="1" s="173">
      <c r="A7" s="307" t="n"/>
      <c r="B7" s="307" t="n"/>
      <c r="C7" s="307" t="n">
        <v>1</v>
      </c>
      <c r="D7" s="307" t="inlineStr">
        <is>
          <t>Inspect a ResultReadyEventType, JoiningSystemResultReadyEventType or RequestedResultEventType event.</t>
        </is>
      </c>
      <c r="E7" s="307" t="inlineStr">
        <is>
          <t>The Server generates result-notification events.</t>
        </is>
      </c>
      <c r="F7" s="307" t="inlineStr">
        <is>
          <t>The condition-classification properties are not required for these result-notification event types.</t>
        </is>
      </c>
      <c r="G7" s="307" t="inlineStr">
        <is>
          <t>Good</t>
        </is>
      </c>
      <c r="H7" s="307" t="inlineStr">
        <is>
          <t>Good</t>
        </is>
      </c>
      <c r="I7" s="307" t="n"/>
      <c r="J7" s="307" t="inlineStr">
        <is>
          <t>OPC 40450-1 Section 9.3 Table 207 (JoiningSystemEventContentType); Section 8</t>
        </is>
      </c>
      <c r="K7" s="307" t="n"/>
    </row>
    <row r="8" ht="34" customHeight="1" s="173"/>
    <row r="9" ht="64" customHeight="1" s="173"/>
    <row r="10" ht="34" customHeight="1" s="173"/>
    <row r="11" ht="79" customHeight="1" s="173"/>
    <row r="12" ht="34" customHeight="1" s="173"/>
    <row r="13" ht="64" customHeight="1" s="173"/>
    <row r="14" ht="20.05" customHeight="1" s="173"/>
    <row r="15" ht="34" customHeight="1" s="173"/>
    <row r="16" ht="90" customHeight="1" s="173"/>
    <row r="17" ht="34" customHeight="1" s="173"/>
    <row r="18" ht="49" customHeight="1" s="173"/>
    <row r="19" ht="34" customHeight="1" s="173"/>
    <row r="20" ht="49" customHeight="1" s="173"/>
    <row r="21" ht="34" customHeight="1" s="173"/>
    <row r="22" ht="34" customHeight="1" s="173"/>
  </sheetData>
  <mergeCells count="2">
    <mergeCell ref="A1:K1"/>
    <mergeCell ref="C2:J2"/>
  </mergeCells>
  <pageMargins left="0.7" right="0.7" top="0.75" bottom="0.75" header="0.3" footer="0.3"/>
</worksheet>
</file>

<file path=xl/worksheets/sheet83.xml><?xml version="1.0" encoding="utf-8"?>
<worksheet xmlns="http://schemas.openxmlformats.org/spreadsheetml/2006/main">
  <sheetPr codeName="Sheet73">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CU-80: IJT Asset Connection Event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CU-80 — IJT Asset Connection Event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asset-connected event</t>
        </is>
      </c>
      <c r="E4" s="304" t="n"/>
      <c r="F4" s="304" t="n"/>
      <c r="G4" s="304" t="n"/>
      <c r="H4" s="304" t="n"/>
      <c r="I4" s="304" t="inlineStr">
        <is>
          <t>n</t>
        </is>
      </c>
      <c r="J4" s="304" t="inlineStr">
        <is>
          <t>OPC 40450-1 Section 9.3 Table 207 (JoiningSystemEventContentType); Section 8</t>
        </is>
      </c>
      <c r="K4" s="305" t="n"/>
      <c r="L4" s="25" t="n"/>
      <c r="M4" s="26" t="n"/>
      <c r="N4" s="26" t="n"/>
    </row>
    <row r="5" ht="64" customHeight="1" s="173">
      <c r="A5" s="329" t="n"/>
      <c r="B5" s="330" t="n"/>
      <c r="C5" s="331" t="n">
        <v>1</v>
      </c>
      <c r="D5" s="331" t="inlineStr">
        <is>
          <t>Connect an asset (for example via DisconnectAsset with disconnect = false, or a physical connection) and observe the generated event.</t>
        </is>
      </c>
      <c r="E5" s="331" t="inlineStr">
        <is>
          <t>The optional components and properties described in the test case are supported. An asset can be connected and disconnected.</t>
        </is>
      </c>
      <c r="F5" s="331" t="inlineStr">
        <is>
          <t>A JoiningSystemEventType event is generated with ConditionClass = SystemConditionClassType and ConditionSubClass = AssetConnectedConditionClassType.</t>
        </is>
      </c>
      <c r="G5" s="331" t="inlineStr">
        <is>
          <t>Good</t>
        </is>
      </c>
      <c r="H5" s="331" t="inlineStr">
        <is>
          <t>Good</t>
        </is>
      </c>
      <c r="I5" s="331" t="n"/>
      <c r="J5" s="331" t="inlineStr">
        <is>
          <t>OPC 40450-1 Section 9.3 Table 207 (JoiningSystemEventContentType); Section 8</t>
        </is>
      </c>
      <c r="K5" s="332" t="n"/>
      <c r="L5" s="25" t="n"/>
      <c r="M5" s="26" t="n"/>
      <c r="N5" s="26" t="n"/>
    </row>
    <row r="6" ht="60" customHeight="1" s="173">
      <c r="A6" s="302" t="inlineStr">
        <is>
          <t>y</t>
        </is>
      </c>
      <c r="B6" s="303" t="n">
        <v>2</v>
      </c>
      <c r="C6" s="304" t="n">
        <v>0</v>
      </c>
      <c r="D6" s="304" t="inlineStr">
        <is>
          <t>Verify the asset-disconnected event</t>
        </is>
      </c>
      <c r="E6" s="304" t="n"/>
      <c r="F6" s="304" t="n"/>
      <c r="G6" s="304" t="n"/>
      <c r="H6" s="304" t="n"/>
      <c r="I6" s="304" t="inlineStr">
        <is>
          <t>n</t>
        </is>
      </c>
      <c r="J6" s="304" t="inlineStr">
        <is>
          <t>OPC 40450-1 Section 9.3 Table 207 (JoiningSystemEventContentType); Section 8</t>
        </is>
      </c>
      <c r="K6" s="305" t="n"/>
      <c r="L6" s="25" t="n"/>
      <c r="M6" s="26" t="n"/>
      <c r="N6" s="26" t="n"/>
    </row>
    <row r="7" ht="64" customHeight="1" s="173">
      <c r="A7" s="329" t="n"/>
      <c r="B7" s="330" t="n"/>
      <c r="C7" s="331" t="n">
        <v>1</v>
      </c>
      <c r="D7" s="331" t="inlineStr">
        <is>
          <t>Disconnect an asset (for example via DisconnectAsset with disconnect = true) and observe the generated event.</t>
        </is>
      </c>
      <c r="E7" s="331" t="inlineStr">
        <is>
          <t>The optional components and properties described in the test case are supported. An asset can be connected and disconnected.</t>
        </is>
      </c>
      <c r="F7" s="331" t="inlineStr">
        <is>
          <t>A JoiningSystemEventType event is generated with ConditionClass = SystemConditionClassType and ConditionSubClass = AssetDisconnectedConditionClassType.</t>
        </is>
      </c>
      <c r="G7" s="331" t="inlineStr">
        <is>
          <t>Good</t>
        </is>
      </c>
      <c r="H7" s="331" t="inlineStr">
        <is>
          <t>Good</t>
        </is>
      </c>
      <c r="I7" s="331" t="n"/>
      <c r="J7" s="331" t="inlineStr">
        <is>
          <t>OPC 40450-1 Section 9.3 Table 207 (JoiningSystemEventContentType); Section 8</t>
        </is>
      </c>
      <c r="K7" s="332" t="n"/>
      <c r="L7" s="25" t="n"/>
      <c r="M7" s="26" t="n"/>
      <c r="N7" s="26" t="n"/>
    </row>
    <row r="8" ht="34" customHeight="1" s="173"/>
    <row r="9" ht="64" customHeight="1" s="173"/>
    <row r="10" ht="49" customHeight="1" s="173"/>
    <row r="11" ht="79" customHeight="1" s="173"/>
    <row r="12" ht="20.05" customHeight="1" s="173"/>
    <row r="13" ht="60" customHeight="1" s="173"/>
    <row r="14" ht="90" customHeight="1" s="173"/>
    <row r="15" ht="34" customHeight="1" s="173"/>
    <row r="16" ht="79" customHeight="1" s="173"/>
    <row r="17" ht="34" customFormat="1" customHeight="1" s="2"/>
    <row r="18" ht="79" customHeight="1" s="173"/>
    <row r="19" ht="34" customHeight="1" s="173"/>
    <row r="20" ht="49" customHeight="1" s="173"/>
  </sheetData>
  <mergeCells count="2">
    <mergeCell ref="A1:K1"/>
    <mergeCell ref="C2:J2"/>
  </mergeCells>
  <pageMargins left="0.7" right="0.7" top="0.75" bottom="0.75" header="0.3" footer="0.3"/>
</worksheet>
</file>

<file path=xl/worksheets/sheet84.xml><?xml version="1.0" encoding="utf-8"?>
<worksheet xmlns="http://schemas.openxmlformats.org/spreadsheetml/2006/main">
  <sheetPr codeName="Sheet74">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CU-81: IJT Asset Connection State Event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CU-81 — IJT Asset Connection State Event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event corresponds to the Asset.Parameters.Connected value</t>
        </is>
      </c>
      <c r="E4" s="304" t="n"/>
      <c r="F4" s="304" t="n"/>
      <c r="G4" s="304" t="n"/>
      <c r="H4" s="304" t="n"/>
      <c r="I4" s="304" t="inlineStr">
        <is>
          <t>n</t>
        </is>
      </c>
      <c r="J4" s="304" t="inlineStr">
        <is>
          <t>OPC 40450-1 Section 9.3 Table 207 (JoiningSystemEventContentType); Section 8</t>
        </is>
      </c>
      <c r="K4" s="305" t="n"/>
      <c r="L4" s="25" t="n"/>
      <c r="M4" s="26" t="n"/>
      <c r="N4" s="26" t="n"/>
    </row>
    <row r="5" ht="90" customHeight="1" s="173">
      <c r="A5" s="329" t="n"/>
      <c r="B5" s="330" t="n"/>
      <c r="C5" s="331" t="n">
        <v>1</v>
      </c>
      <c r="D5" s="331" t="inlineStr">
        <is>
          <t>Change the asset connection state and correlate the Asset.Parameters.Connected variable with the generated event.</t>
        </is>
      </c>
      <c r="E5" s="331" t="inlineStr">
        <is>
          <t>The optional components and properties described in the test case are supported. The asset exposes Parameters.Connected.</t>
        </is>
      </c>
      <c r="F5" s="331" t="inlineStr">
        <is>
          <t>When Asset.Parameters.Connected becomes TRUE, a JoiningSystemEventType event with ConditionClass = SystemConditionClassType and ConditionSubClass = AssetConnectedConditionClassType is generated; when it becomes FALSE, the ConditionSubClass is AssetDisconnectedConditionClassType.</t>
        </is>
      </c>
      <c r="G5" s="331" t="inlineStr">
        <is>
          <t>Good</t>
        </is>
      </c>
      <c r="H5" s="331" t="inlineStr">
        <is>
          <t>Good</t>
        </is>
      </c>
      <c r="I5" s="331" t="n"/>
      <c r="J5" s="331" t="inlineStr">
        <is>
          <t>OPC 40450-1 Section 9.3 Table 207 (JoiningSystemEventContentType); Section 8</t>
        </is>
      </c>
      <c r="K5" s="332" t="n"/>
      <c r="L5" s="25" t="n"/>
      <c r="M5" s="26" t="n"/>
      <c r="N5" s="26" t="n"/>
    </row>
    <row r="6" ht="34" customHeight="1" s="173"/>
    <row r="7" ht="79" customHeight="1" s="173"/>
    <row r="8" ht="34" customHeight="1" s="173"/>
    <row r="9" ht="64" customHeight="1" s="173"/>
    <row r="10" ht="34" customHeight="1" s="173"/>
    <row r="11" ht="79" customHeight="1" s="173"/>
    <row r="12" ht="20.05" customHeight="1" s="173"/>
    <row r="13" ht="34" customHeight="1" s="173"/>
    <row r="14" ht="34" customHeight="1" s="173"/>
    <row r="15" ht="60" customHeight="1" s="173"/>
    <row r="16" ht="34" customHeight="1" s="173"/>
    <row r="17" ht="34" customFormat="1" customHeight="1" s="2"/>
    <row r="18" ht="49" customHeight="1" s="173"/>
    <row r="20" ht="25.8" customHeight="1" s="173"/>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5">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CU-82: IJT Asset Enable State Event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CU-82 — IJT Asset Enable State Event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asset-enabled event</t>
        </is>
      </c>
      <c r="E4" s="304" t="n"/>
      <c r="F4" s="304" t="n"/>
      <c r="G4" s="304" t="n"/>
      <c r="H4" s="304" t="n"/>
      <c r="I4" s="304" t="inlineStr">
        <is>
          <t>n</t>
        </is>
      </c>
      <c r="J4" s="304" t="inlineStr">
        <is>
          <t>OPC 40450-1 Section 9.3 Table 207 (JoiningSystemEventContentType); Section 8</t>
        </is>
      </c>
      <c r="K4" s="305" t="n"/>
      <c r="L4" s="25" t="n"/>
      <c r="M4" s="26" t="n"/>
      <c r="N4" s="26" t="n"/>
    </row>
    <row r="5" ht="64" customHeight="1" s="173">
      <c r="A5" s="329" t="n"/>
      <c r="B5" s="330" t="n"/>
      <c r="C5" s="331" t="n">
        <v>1</v>
      </c>
      <c r="D5" s="331" t="inlineStr">
        <is>
          <t>Enable an asset (for example via EnableAsset with enable = true) and observe the generated event.</t>
        </is>
      </c>
      <c r="E5" s="331" t="inlineStr">
        <is>
          <t>The optional components and properties described in the test case are supported. An asset can be enabled and disabled.</t>
        </is>
      </c>
      <c r="F5" s="331" t="inlineStr">
        <is>
          <t>A JoiningSystemEventType event is generated with ConditionClass = SystemConditionClassType and ConditionSubClass = AssetEnabledConditionClassType.</t>
        </is>
      </c>
      <c r="G5" s="331" t="inlineStr">
        <is>
          <t>Good</t>
        </is>
      </c>
      <c r="H5" s="331" t="inlineStr">
        <is>
          <t>Good</t>
        </is>
      </c>
      <c r="I5" s="331" t="n"/>
      <c r="J5" s="331" t="inlineStr">
        <is>
          <t>OPC 40450-1 Section 9.3 Table 207 (JoiningSystemEventContentType); Section 8</t>
        </is>
      </c>
      <c r="K5" s="332" t="n"/>
      <c r="L5" s="25" t="n"/>
      <c r="M5" s="26" t="n"/>
      <c r="N5" s="26" t="n"/>
    </row>
    <row r="6" ht="60" customHeight="1" s="173">
      <c r="A6" s="302" t="inlineStr">
        <is>
          <t>y</t>
        </is>
      </c>
      <c r="B6" s="303" t="n">
        <v>2</v>
      </c>
      <c r="C6" s="304" t="n">
        <v>0</v>
      </c>
      <c r="D6" s="304" t="inlineStr">
        <is>
          <t>Verify the asset-disabled event</t>
        </is>
      </c>
      <c r="E6" s="304" t="n"/>
      <c r="F6" s="304" t="n"/>
      <c r="G6" s="304" t="n"/>
      <c r="H6" s="304" t="n"/>
      <c r="I6" s="304" t="inlineStr">
        <is>
          <t>n</t>
        </is>
      </c>
      <c r="J6" s="304" t="inlineStr">
        <is>
          <t>OPC 40450-1 Section 9.3 Table 207 (JoiningSystemEventContentType); Section 8</t>
        </is>
      </c>
      <c r="K6" s="305" t="n"/>
      <c r="L6" s="25" t="n"/>
      <c r="M6" s="26" t="n"/>
      <c r="N6" s="26" t="n"/>
    </row>
    <row r="7" ht="64" customHeight="1" s="173">
      <c r="A7" s="329" t="n"/>
      <c r="B7" s="330" t="n"/>
      <c r="C7" s="331" t="n">
        <v>1</v>
      </c>
      <c r="D7" s="331" t="inlineStr">
        <is>
          <t>Disable an asset (for example via EnableAsset with enable = false) and observe the generated event.</t>
        </is>
      </c>
      <c r="E7" s="331" t="inlineStr">
        <is>
          <t>The optional components and properties described in the test case are supported. An asset can be enabled and disabled.</t>
        </is>
      </c>
      <c r="F7" s="331" t="inlineStr">
        <is>
          <t>A JoiningSystemEventType event is generated with ConditionClass = SystemConditionClassType and ConditionSubClass = AssetDisabledConditionClassType.</t>
        </is>
      </c>
      <c r="G7" s="331" t="inlineStr">
        <is>
          <t>Good</t>
        </is>
      </c>
      <c r="H7" s="331" t="inlineStr">
        <is>
          <t>Good</t>
        </is>
      </c>
      <c r="I7" s="331" t="n"/>
      <c r="J7" s="331" t="inlineStr">
        <is>
          <t>OPC 40450-1 Section 9.3 Table 207 (JoiningSystemEventContentType); Section 8</t>
        </is>
      </c>
      <c r="K7" s="332" t="n"/>
      <c r="L7" s="25" t="n"/>
      <c r="M7" s="26" t="n"/>
      <c r="N7" s="26" t="n"/>
    </row>
    <row r="8" ht="34" customHeight="1" s="173"/>
    <row r="9" ht="64" customHeight="1" s="173"/>
    <row r="10" ht="34" customHeight="1" s="173"/>
    <row r="11" ht="64" customHeight="1" s="173"/>
    <row r="12" ht="20.05" customHeight="1" s="173"/>
    <row r="13" ht="60" customHeight="1" s="173"/>
    <row r="14" ht="90" customHeight="1" s="173"/>
    <row r="15" ht="34" customHeight="1" s="173"/>
    <row r="16" ht="79" customHeight="1" s="173"/>
    <row r="17" ht="34" customFormat="1" customHeight="1" s="2"/>
    <row r="18" ht="79" customHeight="1" s="173"/>
    <row r="19" ht="34" customHeight="1" s="173"/>
    <row r="20" ht="49" customHeight="1" s="173"/>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6">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CU-83: IJT Event Payload Associated Entities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CU-83 — IJT Event Payload Associated Entities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AssociatedEntities in the event payload</t>
        </is>
      </c>
      <c r="E4" s="304" t="n"/>
      <c r="F4" s="304" t="n"/>
      <c r="G4" s="304" t="n"/>
      <c r="H4" s="304" t="n"/>
      <c r="I4" s="304" t="inlineStr">
        <is>
          <t>n</t>
        </is>
      </c>
      <c r="J4" s="304" t="inlineStr">
        <is>
          <t>OPC 40450-1 Section 9.3 Table 207 (JoiningSystemEventContentType); Section 8</t>
        </is>
      </c>
      <c r="K4" s="305" t="n"/>
    </row>
    <row r="5" ht="64" customFormat="1" customHeight="1" s="2">
      <c r="A5" s="329" t="n"/>
      <c r="B5" s="307" t="n"/>
      <c r="C5" s="307" t="n">
        <v>1</v>
      </c>
      <c r="D5" s="307" t="inlineStr">
        <is>
          <t>On a received event (for example an asset or process event), read JoiningSystemEventContent.AssociatedEntities.</t>
        </is>
      </c>
      <c r="E5" s="307" t="inlineStr">
        <is>
          <t>The Server generates events associated with entities.</t>
        </is>
      </c>
      <c r="F5" s="307" t="inlineStr">
        <is>
          <t>The payload's AssociatedEntities (EntityDataType[]) contains the identifier(s) of the entity the event relates to (for example the asset for an asset event, or the joining process for a process event).</t>
        </is>
      </c>
      <c r="G5" s="307" t="inlineStr">
        <is>
          <t>Good</t>
        </is>
      </c>
      <c r="H5" s="307" t="inlineStr">
        <is>
          <t>Good</t>
        </is>
      </c>
      <c r="I5" s="307" t="n"/>
      <c r="J5" s="307" t="inlineStr">
        <is>
          <t>OPC 40450-1 Section 9.3 Table 207 (JoiningSystemEventContentType); Section 8</t>
        </is>
      </c>
      <c r="K5" s="332" t="n"/>
    </row>
    <row r="6" ht="34" customHeight="1" s="173"/>
    <row r="7" ht="90" customHeight="1" s="173"/>
    <row r="8" ht="34" customHeight="1" s="173"/>
    <row r="9" ht="64" customHeight="1" s="173"/>
    <row r="10" ht="34" customHeight="1" s="173"/>
    <row r="11" ht="64" customHeight="1" s="173"/>
    <row r="12" ht="20.05" customHeight="1" s="173"/>
    <row r="13" ht="49" customHeight="1" s="173"/>
    <row r="14" ht="79" customHeight="1" s="173"/>
    <row r="15" ht="34" customHeight="1" s="173"/>
    <row r="16" ht="49" customHeight="1" s="173"/>
    <row r="17" ht="34" customHeight="1" s="173"/>
    <row r="18" ht="49" customHeight="1" s="173"/>
    <row r="19" ht="34" customHeight="1" s="173"/>
    <row r="20" ht="49" customHeight="1" s="173"/>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7">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CU-84: IJT Event Payload Reported Values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CU-84 — IJT Event Payload Reported Values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n</t>
        </is>
      </c>
      <c r="B4" s="303" t="n">
        <v>1</v>
      </c>
      <c r="C4" s="304" t="n">
        <v>0</v>
      </c>
      <c r="D4" s="304" t="inlineStr">
        <is>
          <t>Verify ReportedValues in the event payload</t>
        </is>
      </c>
      <c r="E4" s="304" t="n"/>
      <c r="F4" s="304" t="n"/>
      <c r="G4" s="304" t="n"/>
      <c r="H4" s="304" t="n"/>
      <c r="I4" s="304" t="inlineStr">
        <is>
          <t>n</t>
        </is>
      </c>
      <c r="J4" s="304" t="inlineStr">
        <is>
          <t>OPC 40450-1 Section 10.12 Table 230 (ReportedValueDataType)</t>
        </is>
      </c>
      <c r="K4" s="305" t="n"/>
    </row>
    <row r="5" ht="79" customFormat="1" customHeight="1" s="2">
      <c r="A5" s="329" t="n"/>
      <c r="B5" s="307" t="n"/>
      <c r="C5" s="307" t="n">
        <v>1</v>
      </c>
      <c r="D5" s="307" t="inlineStr">
        <is>
          <t>On a received event carrying measurement values, read JoiningSystemEventContent.ReportedValues.</t>
        </is>
      </c>
      <c r="E5" s="307" t="inlineStr">
        <is>
          <t>The Server generates events that report measurement values.</t>
        </is>
      </c>
      <c r="F5" s="307" t="inlineStr">
        <is>
          <t>The payload's ReportedValues (ReportedValueDataType[]) contains one or more entries; each entry provides at least a CurrentValue, plus optional Name, PhysicalQuantity, PreviousValue, LowLimit, HighLimit and EngineeringUnits.</t>
        </is>
      </c>
      <c r="G5" s="307" t="inlineStr">
        <is>
          <t>Good</t>
        </is>
      </c>
      <c r="H5" s="307" t="inlineStr">
        <is>
          <t>Good</t>
        </is>
      </c>
      <c r="I5" s="307" t="n"/>
      <c r="J5" s="307" t="inlineStr">
        <is>
          <t>OPC 40450-1 Section 10.12 Table 230 (ReportedValueDataType)</t>
        </is>
      </c>
      <c r="K5" s="332" t="n"/>
    </row>
    <row r="6" ht="49" customHeight="1" s="173">
      <c r="A6" s="323" t="inlineStr">
        <is>
          <t>n</t>
        </is>
      </c>
      <c r="B6" s="324" t="n">
        <v>2</v>
      </c>
      <c r="C6" s="325" t="n">
        <v>0</v>
      </c>
      <c r="D6" s="325" t="inlineStr">
        <is>
          <t>Verify threshold-violation events include the respective ReportedValues</t>
        </is>
      </c>
      <c r="E6" s="325" t="n"/>
      <c r="F6" s="325" t="n"/>
      <c r="G6" s="325" t="n"/>
      <c r="H6" s="325" t="n"/>
      <c r="I6" s="325" t="inlineStr">
        <is>
          <t>n</t>
        </is>
      </c>
      <c r="J6" s="325" t="inlineStr">
        <is>
          <t>OPC 40450-1 Section 10.12 Table 230 (ReportedValueDataType)</t>
        </is>
      </c>
      <c r="K6" s="326" t="n"/>
    </row>
    <row r="7" ht="64" customHeight="1" s="173">
      <c r="A7" s="307" t="n"/>
      <c r="B7" s="307" t="n"/>
      <c r="C7" s="307" t="n">
        <v>1</v>
      </c>
      <c r="D7" s="307" t="inlineStr">
        <is>
          <t>For an event whose ConditionSubClass is ThresholdViolationConditionClassType or ThresholdViolationResolvedConditionClassType, inspect ReportedValues.</t>
        </is>
      </c>
      <c r="E7" s="307" t="inlineStr">
        <is>
          <t>The Server generates threshold-violation events.</t>
        </is>
      </c>
      <c r="F7" s="307" t="inlineStr">
        <is>
          <t>The event includes the respective ReportedValues; each entry provides its CurrentValue and, where the value has a PhysicalQuantity, its LowLimit, HighLimit and EngineeringUnits.</t>
        </is>
      </c>
      <c r="G7" s="307" t="inlineStr">
        <is>
          <t>Good</t>
        </is>
      </c>
      <c r="H7" s="307" t="inlineStr">
        <is>
          <t>Good</t>
        </is>
      </c>
      <c r="I7" s="307" t="n"/>
      <c r="J7" s="307" t="inlineStr">
        <is>
          <t>OPC 40450-1 Section 10.12 Table 230 (ReportedValueDataType)</t>
        </is>
      </c>
      <c r="K7" s="307" t="n"/>
    </row>
    <row r="8" ht="34" customHeight="1" s="173"/>
    <row r="9" ht="90" customHeight="1" s="173"/>
    <row r="10" ht="34" customHeight="1" s="173"/>
    <row r="11" ht="79" customHeight="1" s="173"/>
    <row r="12" ht="20.05" customHeight="1" s="173"/>
    <row r="13" ht="60" customHeight="1" s="173"/>
    <row r="14" ht="64" customHeight="1" s="173"/>
    <row r="15" ht="34" customHeight="1" s="173"/>
    <row r="16" ht="49" customHeight="1" s="173"/>
    <row r="17" ht="34" customHeight="1" s="173"/>
    <row r="18" ht="49" customHeight="1" s="173"/>
    <row r="19" ht="34" customHeight="1" s="173"/>
    <row r="20" ht="49" customHeight="1" s="173"/>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8">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CU-85: IJT Identifiers Event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CU-85 — IJT Identifiers Event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identifiers event</t>
        </is>
      </c>
      <c r="E4" s="304" t="n"/>
      <c r="F4" s="304" t="n"/>
      <c r="G4" s="304" t="n"/>
      <c r="H4" s="304" t="n"/>
      <c r="I4" s="304" t="inlineStr">
        <is>
          <t>n</t>
        </is>
      </c>
      <c r="J4" s="304" t="inlineStr">
        <is>
          <t>OPC 40450-1 Section 9.3 Table 207 (JoiningSystemEventContentType); Section 8</t>
        </is>
      </c>
      <c r="K4" s="305" t="n"/>
    </row>
    <row r="5" ht="64" customFormat="1" customHeight="1" s="2">
      <c r="A5" s="329" t="n"/>
      <c r="B5" s="307" t="n"/>
      <c r="C5" s="307" t="n">
        <v>1</v>
      </c>
      <c r="D5" s="307" t="inlineStr">
        <is>
          <t>Send identifiers via a supported method (SendIdentifiers, SendTextIdentifiers or StartJoiningProcess) or another interface and observe the generated event.</t>
        </is>
      </c>
      <c r="E5" s="307" t="inlineStr">
        <is>
          <t>The Server exposes an identifier-configuration method or interface.</t>
        </is>
      </c>
      <c r="F5" s="307" t="inlineStr">
        <is>
          <t>A JoiningSystemEventType event is generated with the appropriate Condition Classes; its JoiningSystemEventContent.AssociatedEntities includes the received identifiers.</t>
        </is>
      </c>
      <c r="G5" s="307" t="inlineStr">
        <is>
          <t>Good</t>
        </is>
      </c>
      <c r="H5" s="307" t="inlineStr">
        <is>
          <t>Good</t>
        </is>
      </c>
      <c r="I5" s="307" t="n"/>
      <c r="J5" s="307" t="inlineStr">
        <is>
          <t>OPC 40450-1 Section 9.3 Table 207 (JoiningSystemEventContentType); Section 8</t>
        </is>
      </c>
      <c r="K5" s="332" t="n"/>
    </row>
    <row r="6" ht="34" customHeight="1" s="173"/>
    <row r="7" ht="64" customHeight="1" s="173"/>
    <row r="8" ht="34" customHeight="1" s="173"/>
    <row r="9" ht="49" customHeight="1" s="173"/>
    <row r="10" ht="34" customHeight="1" s="173"/>
    <row r="11" ht="64" customHeight="1" s="173"/>
    <row r="12" ht="20.05" customHeight="1" s="173"/>
    <row r="13" ht="49" customHeight="1" s="173"/>
    <row r="14" ht="79" customHeight="1" s="173"/>
    <row r="15" ht="34" customHeight="1" s="173"/>
    <row r="16" ht="49" customHeight="1" s="173"/>
    <row r="17" ht="34" customHeight="1" s="173"/>
    <row r="18" ht="79" customHeight="1" s="173"/>
    <row r="19" ht="34" customHeight="1" s="173"/>
    <row r="20" ht="49" customHeight="1" s="173"/>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9">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CU-86: IJT Select Process Event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CU-86 — IJT Select Process Event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select-process event</t>
        </is>
      </c>
      <c r="E4" s="304" t="n"/>
      <c r="F4" s="304" t="n"/>
      <c r="G4" s="304" t="n"/>
      <c r="H4" s="304" t="n"/>
      <c r="I4" s="304" t="inlineStr">
        <is>
          <t>n</t>
        </is>
      </c>
      <c r="J4" s="304" t="inlineStr">
        <is>
          <t>OPC 40450-1 Section 9.3 Table 207 (JoiningSystemEventContentType); Section 8</t>
        </is>
      </c>
      <c r="K4" s="305" t="n"/>
      <c r="L4" s="25" t="n"/>
      <c r="M4" s="26" t="n"/>
      <c r="N4" s="26" t="n"/>
    </row>
    <row r="5" ht="79" customHeight="1" s="173">
      <c r="A5" s="329" t="n"/>
      <c r="B5" s="330" t="n"/>
      <c r="C5" s="331" t="n">
        <v>1</v>
      </c>
      <c r="D5" s="331" t="inlineStr">
        <is>
          <t>Select a joining process (for example via SelectJoiningProcess) and observe the generated event.</t>
        </is>
      </c>
      <c r="E5" s="331" t="inlineStr">
        <is>
          <t>The optional components and properties described in the test case are supported. A joining process can be selected.</t>
        </is>
      </c>
      <c r="F5" s="331" t="inlineStr">
        <is>
          <t>A JoiningSystemEventType event is generated with ConditionClass = ProcessConditionClassType and ConditionSubClass = SelectedProcessConditionClassType; its AssociatedEntities includes the identifier of the selected joining process.</t>
        </is>
      </c>
      <c r="G5" s="331" t="inlineStr">
        <is>
          <t>Good</t>
        </is>
      </c>
      <c r="H5" s="331" t="inlineStr">
        <is>
          <t>Good</t>
        </is>
      </c>
      <c r="I5" s="331" t="n"/>
      <c r="J5" s="331" t="inlineStr">
        <is>
          <t>OPC 40450-1 Section 9.3 Table 207 (JoiningSystemEventContentType); Section 8</t>
        </is>
      </c>
      <c r="K5" s="332" t="n"/>
      <c r="L5" s="25" t="n"/>
      <c r="M5" s="26" t="n"/>
      <c r="N5" s="26" t="n"/>
    </row>
    <row r="6" ht="34" customHeight="1" s="173"/>
    <row r="7" ht="90" customHeight="1" s="173"/>
    <row r="8" ht="34" customHeight="1" s="173"/>
    <row r="9" ht="49" customHeight="1" s="173"/>
    <row r="10" ht="34" customHeight="1" s="173"/>
    <row r="11" ht="90" customHeight="1" s="173"/>
    <row r="12" ht="20.05" customHeight="1" s="173"/>
    <row r="13" ht="34" customHeight="1" s="173"/>
    <row r="14" ht="79" customHeight="1" s="173"/>
    <row r="15" ht="34" customHeight="1" s="173"/>
    <row r="16" ht="49" customHeight="1" s="173"/>
    <row r="17" ht="60" customFormat="1" customHeight="1" s="2"/>
    <row r="18" ht="64" customHeight="1" s="173"/>
    <row r="19" ht="34" customHeight="1" s="173"/>
    <row r="20" ht="49" customHeight="1" s="173"/>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80">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CU-87: IJT Joining Process Management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CU-87 — IJT Joining Process Management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JoiningProcessManagement instance</t>
        </is>
      </c>
      <c r="E4" s="304" t="n"/>
      <c r="F4" s="304" t="n"/>
      <c r="G4" s="304" t="n"/>
      <c r="H4" s="304" t="n"/>
      <c r="I4" s="304" t="inlineStr">
        <is>
          <t>n</t>
        </is>
      </c>
      <c r="J4" s="304" t="inlineStr">
        <is>
          <t>OPC 40450-1 Section 7.7 Table 96 (JoiningProcessManagementType)</t>
        </is>
      </c>
      <c r="K4" s="305" t="n"/>
      <c r="L4" s="25" t="n"/>
      <c r="M4" s="26" t="n"/>
      <c r="N4" s="26" t="n"/>
    </row>
    <row r="5" ht="49" customHeight="1" s="173">
      <c r="A5" s="329" t="n"/>
      <c r="B5" s="330" t="n"/>
      <c r="C5" s="331" t="n">
        <v>1</v>
      </c>
      <c r="D5" s="331" t="inlineStr">
        <is>
          <t>From a JoiningSystem instance, follow HasComponent References and verify the JoiningProcessManagement object.</t>
        </is>
      </c>
      <c r="E5" s="331" t="inlineStr">
        <is>
          <t>The optional components and properties described in the test case are supported. A JoiningSystem instance is accessible.</t>
        </is>
      </c>
      <c r="F5" s="331" t="inlineStr">
        <is>
          <t>The JoiningSystem exposes an instance of JoiningProcessManagementType using its DefaultInstanceBrowseName (JoiningProcessManagement).</t>
        </is>
      </c>
      <c r="G5" s="331" t="inlineStr">
        <is>
          <t>Good</t>
        </is>
      </c>
      <c r="H5" s="331" t="inlineStr">
        <is>
          <t>Good</t>
        </is>
      </c>
      <c r="I5" s="331" t="n"/>
      <c r="J5" s="331" t="inlineStr">
        <is>
          <t>OPC 40450-1 Section 7.7 Table 96 (JoiningProcessManagementType)</t>
        </is>
      </c>
      <c r="K5" s="332" t="n"/>
      <c r="L5" s="25" t="n"/>
      <c r="M5" s="26" t="n"/>
      <c r="N5" s="26" t="n"/>
    </row>
    <row r="6" ht="34" customHeight="1" s="173"/>
    <row r="7" ht="64" customHeight="1" s="173"/>
    <row r="8" ht="34" customHeight="1" s="173"/>
    <row r="9" ht="64" customHeight="1" s="173"/>
    <row r="10" ht="34" customHeight="1" s="173"/>
    <row r="11" ht="64" customHeight="1" s="173"/>
    <row r="12" ht="34" customHeight="1" s="173"/>
    <row r="13" ht="49" customHeight="1" s="173"/>
    <row r="14" ht="20.05" customHeight="1" s="173"/>
    <row r="15" ht="25.8" customHeight="1" s="173"/>
    <row r="16" ht="51.6" customHeight="1" s="173"/>
    <row r="17" customFormat="1" s="2"/>
    <row r="18" ht="25.8" customHeight="1" s="173"/>
    <row r="20" ht="25.8" customHeight="1" s="173"/>
    <row r="21" ht="38.7" customHeight="1" s="173"/>
    <row r="22" ht="38.7" customHeight="1" s="173"/>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81">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CU-88: IJT Get Joining Process List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CU-88 — IJT Get Joining Process List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GetJoiningProcessList method signature</t>
        </is>
      </c>
      <c r="E4" s="304" t="n"/>
      <c r="F4" s="304" t="n"/>
      <c r="G4" s="304" t="n"/>
      <c r="H4" s="304" t="n"/>
      <c r="I4" s="304" t="inlineStr">
        <is>
          <t>n</t>
        </is>
      </c>
      <c r="J4" s="304" t="inlineStr">
        <is>
          <t>OPC 40450-1 Section 7.7.3 Table 100; Table 246 (JoiningProcessMetaDataType)</t>
        </is>
      </c>
      <c r="K4" s="305" t="n"/>
      <c r="L4" s="25" t="n"/>
      <c r="M4" s="26" t="n"/>
      <c r="N4" s="26" t="n"/>
    </row>
    <row r="5" ht="64" customHeight="1" s="173">
      <c r="A5" s="329" t="n"/>
      <c r="B5" s="330" t="n"/>
      <c r="C5" s="331" t="n">
        <v>1</v>
      </c>
      <c r="D5" s="331" t="inlineStr">
        <is>
          <t>Browse JoiningProcessManagementType for GetJoiningProcessList and read its InputArguments and OutputArguments.</t>
        </is>
      </c>
      <c r="E5" s="331" t="inlineStr">
        <is>
          <t>The Server exposes the GetJoiningProcessList method.</t>
        </is>
      </c>
      <c r="F5" s="331" t="inlineStr">
        <is>
          <t>GetJoiningProcessList is a Method. InputArguments = ProductInstanceUri (String). OutputArguments = JoiningProcessList (JoiningProcessMetaDataType[]), Status (Int64), StatusMessage (LocalizedText).</t>
        </is>
      </c>
      <c r="G5" s="331" t="inlineStr">
        <is>
          <t>Good</t>
        </is>
      </c>
      <c r="H5" s="331" t="inlineStr">
        <is>
          <t>Good</t>
        </is>
      </c>
      <c r="I5" s="331" t="n"/>
      <c r="J5" s="331" t="inlineStr">
        <is>
          <t>OPC 40450-1 Section 7.7.3 Table 100; Table 246 (JoiningProcessMetaDataType)</t>
        </is>
      </c>
      <c r="K5" s="332" t="n"/>
      <c r="L5" s="25" t="n"/>
      <c r="M5" s="26" t="n"/>
      <c r="N5" s="26" t="n"/>
    </row>
    <row r="6" ht="49" customHeight="1" s="173">
      <c r="A6" s="302" t="inlineStr">
        <is>
          <t>y</t>
        </is>
      </c>
      <c r="B6" s="303" t="n">
        <v>2</v>
      </c>
      <c r="C6" s="304" t="n">
        <v>0</v>
      </c>
      <c r="D6" s="304" t="inlineStr">
        <is>
          <t>Call GetJoiningProcessList and verify the returned meta data</t>
        </is>
      </c>
      <c r="E6" s="304" t="n"/>
      <c r="F6" s="304" t="n"/>
      <c r="G6" s="304" t="n"/>
      <c r="H6" s="304" t="n"/>
      <c r="I6" s="304" t="inlineStr">
        <is>
          <t>n</t>
        </is>
      </c>
      <c r="J6" s="304" t="inlineStr">
        <is>
          <t>OPC 40450-1 Section 7.7.3 Table 100; Table 246 (JoiningProcessMetaDataType)</t>
        </is>
      </c>
      <c r="K6" s="305" t="n"/>
      <c r="L6" s="25" t="n"/>
      <c r="M6" s="26" t="n"/>
      <c r="N6" s="26" t="n"/>
    </row>
    <row r="7" ht="90" customHeight="1" s="173">
      <c r="A7" s="329" t="n"/>
      <c r="B7" s="330" t="n"/>
      <c r="C7" s="331" t="n">
        <v>1</v>
      </c>
      <c r="D7" s="331" t="inlineStr">
        <is>
          <t>Call GetJoiningProcessList and inspect the returned JoiningProcessList.</t>
        </is>
      </c>
      <c r="E7" s="331" t="inlineStr">
        <is>
          <t>GetJoiningProcessList is callable.</t>
        </is>
      </c>
      <c r="F7" s="331" t="inlineStr">
        <is>
          <t>The Call Service returns Good; Status = 0 (OK). JoiningProcessList is a list of joining processes available in the system; each JoiningProcessMetaDataType entry contains at least JoiningProcessId, CreationTime, LastUpdatedTime, Name, JoiningTechnology, Classification (Int16).</t>
        </is>
      </c>
      <c r="G7" s="331" t="inlineStr">
        <is>
          <t>Good</t>
        </is>
      </c>
      <c r="H7" s="331" t="inlineStr">
        <is>
          <t>Status = 0 (OK)</t>
        </is>
      </c>
      <c r="I7" s="331" t="n"/>
      <c r="J7" s="331" t="inlineStr">
        <is>
          <t>OPC 40450-1 Section 7.7.3 Table 100; Table 246 (JoiningProcessMetaDataType)</t>
        </is>
      </c>
      <c r="K7" s="332" t="n"/>
      <c r="L7" s="25" t="n"/>
      <c r="M7" s="26" t="n"/>
      <c r="N7" s="26" t="n"/>
    </row>
    <row r="8" ht="49" customHeight="1" s="173">
      <c r="A8" s="302" t="inlineStr">
        <is>
          <t>y</t>
        </is>
      </c>
      <c r="B8" s="303" t="n">
        <v>3</v>
      </c>
      <c r="C8" s="304" t="n">
        <v>0</v>
      </c>
      <c r="D8" s="304" t="inlineStr">
        <is>
          <t>Verify the documented empty ProductInstanceUri handling</t>
        </is>
      </c>
      <c r="E8" s="304" t="n"/>
      <c r="F8" s="304" t="n"/>
      <c r="G8" s="304" t="n"/>
      <c r="H8" s="304" t="n"/>
      <c r="I8" s="304" t="inlineStr">
        <is>
          <t>n</t>
        </is>
      </c>
      <c r="J8" s="304" t="inlineStr">
        <is>
          <t>OPC 40450-1 Section 7.7.3 Table 100; Table 246 (JoiningProcessMetaDataType)</t>
        </is>
      </c>
      <c r="K8" s="305" t="n"/>
      <c r="L8" s="25" t="n"/>
      <c r="M8" s="26" t="n"/>
      <c r="N8" s="26" t="n"/>
    </row>
    <row r="9" ht="90" customHeight="1" s="173">
      <c r="A9" s="329" t="n"/>
      <c r="B9" s="330" t="n"/>
      <c r="C9" s="331" t="n">
        <v>1</v>
      </c>
      <c r="D9" s="331" t="inlineStr">
        <is>
          <t>Call GetJoiningProcessList with ProductInstanceUri set to an empty String.</t>
        </is>
      </c>
      <c r="E9" s="331" t="inlineStr">
        <is>
          <t>GetJoiningProcessList is callable.</t>
        </is>
      </c>
      <c r="F9" s="331" t="inlineStr">
        <is>
          <t>The empty String is a supplied, decodable argument. If the Server resolves it to the asset where it is running, Status = 0 and JoiningProcessList describes that scope; otherwise the method reports its domain outcome through CallMethodResult.StatusCode and Status/StatusMessage. No fixed success or Status = 3 outcome is required.</t>
        </is>
      </c>
      <c r="G9" s="331" t="inlineStr">
        <is>
          <t>Good</t>
        </is>
      </c>
      <c r="H9" s="331" t="inlineStr">
        <is>
          <t>Good or Uncertain with explanatory Status/StatusMessage</t>
        </is>
      </c>
      <c r="I9" s="331" t="n"/>
      <c r="J9" s="331" t="inlineStr">
        <is>
          <t>OPC 40450-1 Section 7.7.3 Table 100; Table 246 (JoiningProcessMetaDataType)</t>
        </is>
      </c>
      <c r="K9" s="332" t="n"/>
      <c r="L9" s="25" t="n"/>
      <c r="M9" s="26" t="n"/>
      <c r="N9" s="26" t="n"/>
    </row>
    <row r="10" ht="20.05" customHeight="1" s="173">
      <c r="A10" s="368" t="inlineStr">
        <is>
          <t>Error Test Cases</t>
        </is>
      </c>
      <c r="B10" s="369" t="n"/>
      <c r="C10" s="370" t="n"/>
      <c r="D10" s="370" t="n"/>
      <c r="E10" s="370" t="n"/>
      <c r="F10" s="370" t="n"/>
      <c r="G10" s="370" t="n"/>
      <c r="H10" s="370" t="n"/>
      <c r="I10" s="370" t="n"/>
      <c r="J10" s="370" t="n"/>
      <c r="K10" s="371" t="n"/>
      <c r="L10" s="25" t="n"/>
      <c r="M10" s="26" t="n"/>
      <c r="N10" s="26" t="n"/>
    </row>
    <row r="11" ht="49" customHeight="1" s="173">
      <c r="A11" s="372" t="inlineStr">
        <is>
          <t>y</t>
        </is>
      </c>
      <c r="B11" s="373" t="n">
        <v>4</v>
      </c>
      <c r="C11" s="374" t="n">
        <v>0</v>
      </c>
      <c r="D11" s="374" t="inlineStr">
        <is>
          <t>Verify GetJoiningProcessList rejects an invalid ProductInstanceUri</t>
        </is>
      </c>
      <c r="E11" s="374" t="n"/>
      <c r="F11" s="374" t="n"/>
      <c r="G11" s="374" t="n"/>
      <c r="H11" s="374" t="n"/>
      <c r="I11" s="374" t="inlineStr">
        <is>
          <t>n</t>
        </is>
      </c>
      <c r="J11" s="374" t="inlineStr">
        <is>
          <t>OPC 40450-1 Section 7.7.3 Table 100; Table 246 (JoiningProcessMetaDataType)</t>
        </is>
      </c>
      <c r="K11" s="375" t="n"/>
      <c r="L11" s="25" t="n"/>
      <c r="M11" s="26" t="n"/>
      <c r="N11" s="26" t="n"/>
    </row>
    <row r="12" ht="64" customHeight="1" s="173">
      <c r="A12" s="329" t="n"/>
      <c r="B12" s="330" t="n"/>
      <c r="C12" s="331" t="n">
        <v>1</v>
      </c>
      <c r="D12" s="331" t="inlineStr">
        <is>
          <t>Call GetJoiningProcessList with a ProductInstanceUri that is not exposed by the Server; all other arguments valid.</t>
        </is>
      </c>
      <c r="E12" s="331" t="inlineStr">
        <is>
          <t>The GetJoiningProcessList method is exposed.</t>
        </is>
      </c>
      <c r="F12" s="331" t="inlineStr">
        <is>
          <t>The Call Service returns Good (ResponseHeader.ServiceResult = Good); CallMethodResult.StatusCode = Uncertain; Status output = 2 (ProductInstanceUri not found) with a StatusMessage.</t>
        </is>
      </c>
      <c r="G12" s="331" t="inlineStr">
        <is>
          <t>Good</t>
        </is>
      </c>
      <c r="H12" s="331" t="inlineStr">
        <is>
          <t>CallMethodResult.StatusCode = Uncertain; Status output = 2</t>
        </is>
      </c>
      <c r="I12" s="331" t="n"/>
      <c r="J12" s="331" t="inlineStr">
        <is>
          <t>OPC 40450-1 Section 7.7.3 Table 100; Table 246 (JoiningProcessMetaDataType)</t>
        </is>
      </c>
      <c r="K12" s="332" t="n"/>
      <c r="L12" s="25" t="n"/>
      <c r="M12" s="26" t="n"/>
      <c r="N12" s="26" t="n"/>
    </row>
    <row r="13" ht="34" customHeight="1" s="173"/>
    <row r="14" ht="64" customHeight="1" s="173"/>
    <row r="15" ht="34" customHeight="1" s="173"/>
    <row r="16" ht="64" customHeight="1" s="173"/>
    <row r="17" ht="34" customHeight="1" s="173"/>
    <row r="18" ht="34" customHeight="1" s="173"/>
    <row r="19" ht="34" customFormat="1" customHeight="1" s="2"/>
    <row r="20" ht="79" customHeight="1" s="173"/>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82">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CU-89: IJT Abort Joining Process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CU-89 — IJT Abort Joining Process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AbortJoiningProcess method signature</t>
        </is>
      </c>
      <c r="E4" s="304" t="n"/>
      <c r="F4" s="304" t="n"/>
      <c r="G4" s="304" t="n"/>
      <c r="H4" s="304" t="n"/>
      <c r="I4" s="304" t="inlineStr">
        <is>
          <t>n</t>
        </is>
      </c>
      <c r="J4" s="304" t="inlineStr">
        <is>
          <t>OPC 40450-1 Section 7.7 Table 126; Section 7.4 status</t>
        </is>
      </c>
      <c r="K4" s="305" t="inlineStr"/>
      <c r="L4" s="25" t="n"/>
      <c r="M4" s="26" t="n"/>
      <c r="N4" s="26" t="n"/>
    </row>
    <row r="5" ht="79" customHeight="1" s="173">
      <c r="A5" s="329" t="n"/>
      <c r="B5" s="330" t="n"/>
      <c r="C5" s="331" t="n">
        <v>1</v>
      </c>
      <c r="D5" s="331" t="inlineStr">
        <is>
          <t>Browse the asset MethodSet for AbortJoiningProcess and read its InputArguments and OutputArguments.</t>
        </is>
      </c>
      <c r="E5" s="331" t="inlineStr">
        <is>
          <t>The Server exposes the AbortJoiningProcess method.</t>
        </is>
      </c>
      <c r="F5" s="331" t="inlineStr">
        <is>
          <t>AbortJoiningProcess is a Method. InputArguments = ProductInstanceUri (String), JoiningProcessIdentification (JoiningProcessIdentificationDataType), AbortMessage (LocalizedText). OutputArguments = Status (Int64), StatusMessage (LocalizedText).</t>
        </is>
      </c>
      <c r="G5" s="331" t="inlineStr">
        <is>
          <t>Good</t>
        </is>
      </c>
      <c r="H5" s="331" t="inlineStr">
        <is>
          <t>Good</t>
        </is>
      </c>
      <c r="I5" s="331" t="n"/>
      <c r="J5" s="331" t="inlineStr">
        <is>
          <t>OPC 40450-1 Section 7.7 Table 126; Section 7.4 status</t>
        </is>
      </c>
      <c r="K5" s="332" t="n"/>
      <c r="L5" s="25" t="n"/>
      <c r="M5" s="26" t="n"/>
      <c r="N5" s="26" t="n"/>
    </row>
    <row r="6" ht="49" customHeight="1" s="173">
      <c r="A6" s="302" t="inlineStr">
        <is>
          <t>y</t>
        </is>
      </c>
      <c r="B6" s="303" t="n">
        <v>2</v>
      </c>
      <c r="C6" s="304" t="n">
        <v>0</v>
      </c>
      <c r="D6" s="304" t="inlineStr">
        <is>
          <t>Call AbortJoiningProcess and verify the outcome</t>
        </is>
      </c>
      <c r="E6" s="304" t="n"/>
      <c r="F6" s="304" t="n"/>
      <c r="G6" s="304" t="n"/>
      <c r="H6" s="304" t="n"/>
      <c r="I6" s="304" t="inlineStr">
        <is>
          <t>n</t>
        </is>
      </c>
      <c r="J6" s="304" t="inlineStr">
        <is>
          <t>OPC 40450-1 Section 7.7 Table 126; Section 7.4 status</t>
        </is>
      </c>
      <c r="K6" s="305" t="n"/>
      <c r="L6" s="25" t="n"/>
      <c r="M6" s="26" t="n"/>
      <c r="N6" s="26" t="n"/>
    </row>
    <row r="7" ht="49" customHeight="1" s="173">
      <c r="A7" s="329" t="n"/>
      <c r="B7" s="330" t="n"/>
      <c r="C7" s="331" t="n">
        <v>1</v>
      </c>
      <c r="D7" s="331" t="inlineStr">
        <is>
          <t>Call AbortJoiningProcess with valid input arguments (a valid ProductInstanceUri of an asset exposed by the Server).</t>
        </is>
      </c>
      <c r="E7" s="331" t="inlineStr">
        <is>
          <t>The AbortJoiningProcess method is callable.</t>
        </is>
      </c>
      <c r="F7" s="331" t="inlineStr">
        <is>
          <t>The Call Service returns Good; Status = 0 (OK) with a StatusMessage. The identified joining process is aborted if it is under execution.</t>
        </is>
      </c>
      <c r="G7" s="331" t="inlineStr">
        <is>
          <t>Good</t>
        </is>
      </c>
      <c r="H7" s="331" t="inlineStr">
        <is>
          <t>Status = 0 (OK)</t>
        </is>
      </c>
      <c r="I7" s="331" t="n"/>
      <c r="J7" s="331" t="inlineStr">
        <is>
          <t>OPC 40450-1 Section 7.7 Table 126;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AbortJoiningProcess rejects an invalid ProductInstanceUri</t>
        </is>
      </c>
      <c r="E9" s="374" t="n"/>
      <c r="F9" s="374" t="n"/>
      <c r="G9" s="374" t="n"/>
      <c r="H9" s="374" t="n"/>
      <c r="I9" s="374" t="inlineStr">
        <is>
          <t>n</t>
        </is>
      </c>
      <c r="J9" s="374" t="inlineStr">
        <is>
          <t>OPC 40450-1 Section 7.7 Table 126; Section 7.4 status</t>
        </is>
      </c>
      <c r="K9" s="375" t="n"/>
      <c r="L9" s="25" t="n"/>
      <c r="M9" s="26" t="n"/>
      <c r="N9" s="26" t="n"/>
    </row>
    <row r="10" ht="64" customHeight="1" s="173">
      <c r="A10" s="329" t="n"/>
      <c r="B10" s="330" t="n"/>
      <c r="C10" s="331" t="n">
        <v>1</v>
      </c>
      <c r="D10" s="331" t="inlineStr">
        <is>
          <t>Call AbortJoiningProcess with a ProductInstanceUri that is not exposed by the Server; all other arguments valid.</t>
        </is>
      </c>
      <c r="E10" s="331" t="inlineStr">
        <is>
          <t>The AbortJoiningProcess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7.7 Table 126; Section 7.4 status</t>
        </is>
      </c>
      <c r="K10" s="332" t="n"/>
      <c r="L10" s="25" t="n"/>
      <c r="M10" s="26" t="n"/>
      <c r="N10" s="26" t="n"/>
    </row>
    <row r="11" ht="49" customHeight="1" s="173">
      <c r="A11" s="372" t="inlineStr">
        <is>
          <t>y</t>
        </is>
      </c>
      <c r="B11" s="373" t="n">
        <v>4</v>
      </c>
      <c r="C11" s="374" t="n">
        <v>0</v>
      </c>
      <c r="D11" s="374" t="inlineStr">
        <is>
          <t>Verify AbortJoiningProcess rejects an unknown JoiningProcessId</t>
        </is>
      </c>
      <c r="E11" s="374" t="n"/>
      <c r="F11" s="374" t="n"/>
      <c r="G11" s="374" t="n"/>
      <c r="H11" s="374" t="n"/>
      <c r="I11" s="374" t="inlineStr">
        <is>
          <t>n</t>
        </is>
      </c>
      <c r="J11" s="374" t="inlineStr">
        <is>
          <t>OPC 40450-1 Section 7.7 Table 126; Section 7.4 status</t>
        </is>
      </c>
      <c r="K11" s="375" t="n"/>
      <c r="L11" s="25" t="n"/>
      <c r="M11" s="26" t="n"/>
      <c r="N11" s="26" t="n"/>
    </row>
    <row r="12" ht="64" customHeight="1" s="173">
      <c r="A12" s="329" t="n"/>
      <c r="B12" s="330" t="n"/>
      <c r="C12" s="331" t="n">
        <v>1</v>
      </c>
      <c r="D12" s="331" t="inlineStr">
        <is>
          <t>Call AbortJoiningProcess with a JoiningProcessId that does not exist on the Server; ProductInstanceUri and all other arguments valid.</t>
        </is>
      </c>
      <c r="E12" s="331" t="inlineStr">
        <is>
          <t>The AbortJoiningProcess method is exposed.</t>
        </is>
      </c>
      <c r="F12" s="331" t="inlineStr">
        <is>
          <t>The Call Service returns Good (ResponseHeader.ServiceResult = Good); CallMethodResult.StatusCode = Uncertain; Status output = 4 (Input identifier/entity not found) with a StatusMessage.</t>
        </is>
      </c>
      <c r="G12" s="331" t="inlineStr">
        <is>
          <t>Good</t>
        </is>
      </c>
      <c r="H12" s="331" t="inlineStr">
        <is>
          <t>CallMethodResult.StatusCode = Uncertain; Status output = 4</t>
        </is>
      </c>
      <c r="I12" s="331" t="n"/>
      <c r="J12" s="331" t="inlineStr">
        <is>
          <t>OPC 40450-1 Section 7.7 Table 126; Section 7.4 status</t>
        </is>
      </c>
      <c r="K12" s="332" t="n"/>
      <c r="L12" s="25" t="n"/>
      <c r="M12" s="26" t="n"/>
      <c r="N12" s="26" t="n"/>
    </row>
    <row r="13" ht="49" customHeight="1" s="173"/>
    <row r="14" ht="64" customHeight="1" s="173"/>
    <row r="15" ht="34" customHeight="1" s="173"/>
    <row r="16" ht="64" customHeight="1" s="173"/>
    <row r="17" ht="34" customHeight="1" s="173"/>
    <row r="18" ht="90" customHeight="1" s="173"/>
    <row r="19" customFormat="1" s="2"/>
    <row r="20" ht="25.8" customHeight="1" s="173"/>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3">
    <tabColor rgb="FF2E75B6"/>
    <outlinePr summaryBelow="1" summaryRight="1"/>
    <pageSetUpPr/>
  </sheetPr>
  <dimension ref="A1:N1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CU-90: IJT Start Selected Joining</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CU-90 — IJT Start Selected Joining</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StartSelectedJoining method signature</t>
        </is>
      </c>
      <c r="E4" s="304" t="n"/>
      <c r="F4" s="304" t="n"/>
      <c r="G4" s="304" t="n"/>
      <c r="H4" s="304" t="n"/>
      <c r="I4" s="304" t="inlineStr">
        <is>
          <t>n</t>
        </is>
      </c>
      <c r="J4" s="304" t="inlineStr">
        <is>
          <t>OPC 40450-1 Section 7.7 Table 114; Section 7.4 status</t>
        </is>
      </c>
      <c r="K4" s="305" t="inlineStr">
        <is>
          <t>Pre-requisite: the device is pre-configured with the remote start option and a joining process is already selected (SelectJoiningProcess / SelectJoint / another interface).</t>
        </is>
      </c>
      <c r="L4" s="25" t="n"/>
      <c r="M4" s="26" t="n"/>
      <c r="N4" s="26" t="n"/>
    </row>
    <row r="5" ht="64" customHeight="1" s="173">
      <c r="A5" s="329" t="n"/>
      <c r="B5" s="330" t="n"/>
      <c r="C5" s="331" t="n">
        <v>1</v>
      </c>
      <c r="D5" s="331" t="inlineStr">
        <is>
          <t>Browse the asset MethodSet for StartSelectedJoining and read its InputArguments and OutputArguments.</t>
        </is>
      </c>
      <c r="E5" s="331" t="inlineStr">
        <is>
          <t>The Server exposes the StartSelectedJoining method.</t>
        </is>
      </c>
      <c r="F5" s="331" t="inlineStr">
        <is>
          <t>StartSelectedJoining is a Method. InputArguments = ProductInstanceUri (String), DeselectAfterJoining (Boolean). OutputArguments = Status (Int64), StatusMessage (LocalizedText).</t>
        </is>
      </c>
      <c r="G5" s="331" t="inlineStr">
        <is>
          <t>Good</t>
        </is>
      </c>
      <c r="H5" s="331" t="inlineStr">
        <is>
          <t>Good</t>
        </is>
      </c>
      <c r="I5" s="331" t="n"/>
      <c r="J5" s="331" t="inlineStr">
        <is>
          <t>OPC 40450-1 Section 7.7 Table 114; Section 7.4 status</t>
        </is>
      </c>
      <c r="K5" s="332" t="n"/>
      <c r="L5" s="25" t="n"/>
      <c r="M5" s="26" t="n"/>
      <c r="N5" s="26" t="n"/>
    </row>
    <row r="6" ht="49" customHeight="1" s="173">
      <c r="A6" s="302" t="inlineStr">
        <is>
          <t>y</t>
        </is>
      </c>
      <c r="B6" s="303" t="n">
        <v>2</v>
      </c>
      <c r="C6" s="304" t="n">
        <v>0</v>
      </c>
      <c r="D6" s="304" t="inlineStr">
        <is>
          <t>Call StartSelectedJoining and verify the outcome</t>
        </is>
      </c>
      <c r="E6" s="304" t="n"/>
      <c r="F6" s="304" t="n"/>
      <c r="G6" s="304" t="n"/>
      <c r="H6" s="304" t="n"/>
      <c r="I6" s="304" t="inlineStr">
        <is>
          <t>n</t>
        </is>
      </c>
      <c r="J6" s="304" t="inlineStr">
        <is>
          <t>OPC 40450-1 Section 7.7 Table 114; Section 7.4 status</t>
        </is>
      </c>
      <c r="K6" s="305" t="n"/>
      <c r="L6" s="25" t="n"/>
      <c r="M6" s="26" t="n"/>
      <c r="N6" s="26" t="n"/>
    </row>
    <row r="7" ht="64" customHeight="1" s="173">
      <c r="A7" s="329" t="n"/>
      <c r="B7" s="330" t="n"/>
      <c r="C7" s="331" t="n">
        <v>1</v>
      </c>
      <c r="D7" s="331" t="inlineStr">
        <is>
          <t>Call StartSelectedJoining with valid input arguments (a valid ProductInstanceUri of an asset exposed by the Server).</t>
        </is>
      </c>
      <c r="E7" s="331" t="inlineStr">
        <is>
          <t>The StartSelectedJoining method is callable.</t>
        </is>
      </c>
      <c r="F7" s="331" t="inlineStr">
        <is>
          <t>The Call Service returns Good; Status = 0 (OK) with a StatusMessage. The selected joining operation is started; if DeselectAfterJoining is true the joining process is deselected after completion.</t>
        </is>
      </c>
      <c r="G7" s="331" t="inlineStr">
        <is>
          <t>Good</t>
        </is>
      </c>
      <c r="H7" s="331" t="inlineStr">
        <is>
          <t>Status = 0 (OK)</t>
        </is>
      </c>
      <c r="I7" s="331" t="n"/>
      <c r="J7" s="331" t="inlineStr">
        <is>
          <t>OPC 40450-1 Section 7.7 Table 114;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StartSelectedJoining rejects an invalid ProductInstanceUri</t>
        </is>
      </c>
      <c r="E9" s="374" t="n"/>
      <c r="F9" s="374" t="n"/>
      <c r="G9" s="374" t="n"/>
      <c r="H9" s="374" t="n"/>
      <c r="I9" s="374" t="inlineStr">
        <is>
          <t>n</t>
        </is>
      </c>
      <c r="J9" s="374" t="inlineStr">
        <is>
          <t>OPC 40450-1 Section 7.7 Table 114; Section 7.4 status</t>
        </is>
      </c>
      <c r="K9" s="375" t="n"/>
      <c r="L9" s="25" t="n"/>
      <c r="M9" s="26" t="n"/>
      <c r="N9" s="26" t="n"/>
    </row>
    <row r="10" ht="64" customHeight="1" s="173">
      <c r="A10" s="329" t="n"/>
      <c r="B10" s="330" t="n"/>
      <c r="C10" s="331" t="n">
        <v>1</v>
      </c>
      <c r="D10" s="331" t="inlineStr">
        <is>
          <t>Call StartSelectedJoining with a ProductInstanceUri that is not exposed by the Server; all other arguments valid.</t>
        </is>
      </c>
      <c r="E10" s="331" t="inlineStr">
        <is>
          <t>The StartSelectedJoining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7.7 Table 114; Section 7.4 status</t>
        </is>
      </c>
      <c r="K10" s="332" t="n"/>
      <c r="L10" s="25" t="n"/>
      <c r="M10" s="26" t="n"/>
      <c r="N10" s="26" t="n"/>
    </row>
    <row r="11" ht="49" customHeight="1" s="173"/>
    <row r="12" ht="64" customHeight="1" s="173"/>
    <row r="13" ht="34" customHeight="1" s="173"/>
    <row r="14" ht="90" customHeight="1" s="173"/>
    <row r="15" ht="60" customHeight="1" s="173"/>
    <row r="16" ht="90" customHeight="1" s="173"/>
    <row r="17" ht="34" customHeight="1" s="173"/>
    <row r="18" ht="90" customHeight="1" s="173"/>
    <row r="19" ht="34" customFormat="1" customHeight="1" s="2"/>
    <row r="20" ht="90" customHeight="1" s="173"/>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4">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CU-91: IJT Select Joining Process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CU-91 — IJT Select Joining Process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SelectJoiningProcess method signature</t>
        </is>
      </c>
      <c r="E4" s="304" t="n"/>
      <c r="F4" s="304" t="n"/>
      <c r="G4" s="304" t="n"/>
      <c r="H4" s="304" t="n"/>
      <c r="I4" s="304" t="inlineStr">
        <is>
          <t>n</t>
        </is>
      </c>
      <c r="J4" s="304" t="inlineStr">
        <is>
          <t>OPC 40450-1 Section 7.7 Table 108; Section 7.4 status</t>
        </is>
      </c>
      <c r="K4" s="305" t="inlineStr"/>
      <c r="L4" s="25" t="n"/>
      <c r="M4" s="26" t="n"/>
      <c r="N4" s="26" t="n"/>
    </row>
    <row r="5" ht="79" customHeight="1" s="173">
      <c r="A5" s="329" t="n"/>
      <c r="B5" s="330" t="n"/>
      <c r="C5" s="331" t="n">
        <v>1</v>
      </c>
      <c r="D5" s="331" t="inlineStr">
        <is>
          <t>Browse the asset MethodSet for SelectJoiningProcess and read its InputArguments and OutputArguments.</t>
        </is>
      </c>
      <c r="E5" s="331" t="inlineStr">
        <is>
          <t>The Server exposes the SelectJoiningProcess method.</t>
        </is>
      </c>
      <c r="F5" s="331" t="inlineStr">
        <is>
          <t>SelectJoiningProcess is a Method. InputArguments = ProductInstanceUri (String), JoiningProcessIdentification (JoiningProcessIdentificationDataType). OutputArguments = Status (Int64), StatusMessage (LocalizedText).</t>
        </is>
      </c>
      <c r="G5" s="331" t="inlineStr">
        <is>
          <t>Good</t>
        </is>
      </c>
      <c r="H5" s="331" t="inlineStr">
        <is>
          <t>Good</t>
        </is>
      </c>
      <c r="I5" s="331" t="n"/>
      <c r="J5" s="331" t="inlineStr">
        <is>
          <t>OPC 40450-1 Section 7.7 Table 108; Section 7.4 status</t>
        </is>
      </c>
      <c r="K5" s="332" t="n"/>
      <c r="L5" s="25" t="n"/>
      <c r="M5" s="26" t="n"/>
      <c r="N5" s="26" t="n"/>
    </row>
    <row r="6" ht="49" customHeight="1" s="173">
      <c r="A6" s="302" t="inlineStr">
        <is>
          <t>y</t>
        </is>
      </c>
      <c r="B6" s="303" t="n">
        <v>2</v>
      </c>
      <c r="C6" s="304" t="n">
        <v>0</v>
      </c>
      <c r="D6" s="304" t="inlineStr">
        <is>
          <t>Call SelectJoiningProcess and verify the outcome</t>
        </is>
      </c>
      <c r="E6" s="304" t="n"/>
      <c r="F6" s="304" t="n"/>
      <c r="G6" s="304" t="n"/>
      <c r="H6" s="304" t="n"/>
      <c r="I6" s="304" t="inlineStr">
        <is>
          <t>n</t>
        </is>
      </c>
      <c r="J6" s="304" t="inlineStr">
        <is>
          <t>OPC 40450-1 Section 7.7 Table 108; Section 7.4 status</t>
        </is>
      </c>
      <c r="K6" s="305" t="n"/>
      <c r="L6" s="25" t="n"/>
      <c r="M6" s="26" t="n"/>
      <c r="N6" s="26" t="n"/>
    </row>
    <row r="7" ht="49" customHeight="1" s="173">
      <c r="A7" s="329" t="n"/>
      <c r="B7" s="330" t="n"/>
      <c r="C7" s="331" t="n">
        <v>1</v>
      </c>
      <c r="D7" s="331" t="inlineStr">
        <is>
          <t>Call SelectJoiningProcess with valid input arguments (a valid ProductInstanceUri of an asset exposed by the Server).</t>
        </is>
      </c>
      <c r="E7" s="331" t="inlineStr">
        <is>
          <t>The SelectJoiningProcess method is callable.</t>
        </is>
      </c>
      <c r="F7" s="331" t="inlineStr">
        <is>
          <t>The Call Service returns Good; Status = 0 (OK) with a StatusMessage. The joining process identified by JoiningProcessIdentification is selected.</t>
        </is>
      </c>
      <c r="G7" s="331" t="inlineStr">
        <is>
          <t>Good</t>
        </is>
      </c>
      <c r="H7" s="331" t="inlineStr">
        <is>
          <t>Status = 0 (OK)</t>
        </is>
      </c>
      <c r="I7" s="331" t="n"/>
      <c r="J7" s="331" t="inlineStr">
        <is>
          <t>OPC 40450-1 Section 7.7 Table 108;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SelectJoiningProcess rejects an invalid ProductInstanceUri</t>
        </is>
      </c>
      <c r="E9" s="374" t="n"/>
      <c r="F9" s="374" t="n"/>
      <c r="G9" s="374" t="n"/>
      <c r="H9" s="374" t="n"/>
      <c r="I9" s="374" t="inlineStr">
        <is>
          <t>n</t>
        </is>
      </c>
      <c r="J9" s="374" t="inlineStr">
        <is>
          <t>OPC 40450-1 Section 7.7 Table 108; Section 7.4 status</t>
        </is>
      </c>
      <c r="K9" s="375" t="n"/>
      <c r="L9" s="25" t="n"/>
      <c r="M9" s="26" t="n"/>
      <c r="N9" s="26" t="n"/>
    </row>
    <row r="10" ht="64" customHeight="1" s="173">
      <c r="A10" s="329" t="n"/>
      <c r="B10" s="330" t="n"/>
      <c r="C10" s="331" t="n">
        <v>1</v>
      </c>
      <c r="D10" s="331" t="inlineStr">
        <is>
          <t>Call SelectJoiningProcess with a ProductInstanceUri that is not exposed by the Server; all other arguments valid.</t>
        </is>
      </c>
      <c r="E10" s="331" t="inlineStr">
        <is>
          <t>The SelectJoiningProcess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7.7 Table 108; Section 7.4 status</t>
        </is>
      </c>
      <c r="K10" s="332" t="n"/>
      <c r="L10" s="25" t="n"/>
      <c r="M10" s="26" t="n"/>
      <c r="N10" s="26" t="n"/>
    </row>
    <row r="11" ht="49" customHeight="1" s="173">
      <c r="A11" s="372" t="inlineStr">
        <is>
          <t>y</t>
        </is>
      </c>
      <c r="B11" s="373" t="n">
        <v>4</v>
      </c>
      <c r="C11" s="374" t="n">
        <v>0</v>
      </c>
      <c r="D11" s="374" t="inlineStr">
        <is>
          <t>Verify SelectJoiningProcess rejects an unknown JoiningProcessId</t>
        </is>
      </c>
      <c r="E11" s="374" t="n"/>
      <c r="F11" s="374" t="n"/>
      <c r="G11" s="374" t="n"/>
      <c r="H11" s="374" t="n"/>
      <c r="I11" s="374" t="inlineStr">
        <is>
          <t>n</t>
        </is>
      </c>
      <c r="J11" s="374" t="inlineStr">
        <is>
          <t>OPC 40450-1 Section 7.7 Table 108; Section 7.4 status</t>
        </is>
      </c>
      <c r="K11" s="375" t="n"/>
      <c r="L11" s="25" t="n"/>
      <c r="M11" s="26" t="n"/>
      <c r="N11" s="26" t="n"/>
    </row>
    <row r="12" ht="64" customHeight="1" s="173">
      <c r="A12" s="329" t="n"/>
      <c r="B12" s="330" t="n"/>
      <c r="C12" s="331" t="n">
        <v>1</v>
      </c>
      <c r="D12" s="331" t="inlineStr">
        <is>
          <t>Call SelectJoiningProcess with a JoiningProcessId that does not exist on the Server; ProductInstanceUri and all other arguments valid.</t>
        </is>
      </c>
      <c r="E12" s="331" t="inlineStr">
        <is>
          <t>The SelectJoiningProcess method is exposed.</t>
        </is>
      </c>
      <c r="F12" s="331" t="inlineStr">
        <is>
          <t>The Call Service returns Good (ResponseHeader.ServiceResult = Good); CallMethodResult.StatusCode = Uncertain; Status output = 4 (Input identifier/entity not found) with a StatusMessage.</t>
        </is>
      </c>
      <c r="G12" s="331" t="inlineStr">
        <is>
          <t>Good</t>
        </is>
      </c>
      <c r="H12" s="331" t="inlineStr">
        <is>
          <t>CallMethodResult.StatusCode = Uncertain; Status output = 4</t>
        </is>
      </c>
      <c r="I12" s="331" t="n"/>
      <c r="J12" s="331" t="inlineStr">
        <is>
          <t>OPC 40450-1 Section 7.7 Table 108; Section 7.4 status</t>
        </is>
      </c>
      <c r="K12" s="332" t="n"/>
      <c r="L12" s="25" t="n"/>
      <c r="M12" s="26" t="n"/>
      <c r="N12" s="26" t="n"/>
    </row>
    <row r="13" ht="49" customHeight="1" s="173"/>
    <row r="14" ht="64" customHeight="1" s="173"/>
    <row r="15" ht="34" customHeight="1" s="173"/>
    <row r="16" ht="90" customHeight="1" s="173"/>
    <row r="18" ht="25.8" customHeight="1" s="173"/>
    <row r="19" customFormat="1" s="2"/>
    <row r="20" ht="64.5" customHeight="1" s="173"/>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5">
    <tabColor rgb="FF2E75B6"/>
    <outlinePr summaryBelow="1" summaryRight="1"/>
    <pageSetUpPr/>
  </sheetPr>
  <dimension ref="A1:N1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CU-92: IJT Deselect Joining Process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CU-92 — IJT Deselect Joining Process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DeselectJoiningProcess method signature</t>
        </is>
      </c>
      <c r="E4" s="304" t="n"/>
      <c r="F4" s="304" t="n"/>
      <c r="G4" s="304" t="n"/>
      <c r="H4" s="304" t="n"/>
      <c r="I4" s="304" t="inlineStr">
        <is>
          <t>n</t>
        </is>
      </c>
      <c r="J4" s="304" t="inlineStr">
        <is>
          <t>OPC 40450-1 Section 7.7 Table 110; Section 7.4 status</t>
        </is>
      </c>
      <c r="K4" s="305" t="inlineStr"/>
      <c r="L4" s="25" t="n"/>
      <c r="M4" s="26" t="n"/>
      <c r="N4" s="26" t="n"/>
    </row>
    <row r="5" ht="49" customHeight="1" s="173">
      <c r="A5" s="329" t="n"/>
      <c r="B5" s="330" t="n"/>
      <c r="C5" s="331" t="n">
        <v>1</v>
      </c>
      <c r="D5" s="331" t="inlineStr">
        <is>
          <t>Browse the asset MethodSet for DeselectJoiningProcess and read its InputArguments and OutputArguments.</t>
        </is>
      </c>
      <c r="E5" s="331" t="inlineStr">
        <is>
          <t>The Server exposes the DeselectJoiningProcess method.</t>
        </is>
      </c>
      <c r="F5" s="331" t="inlineStr">
        <is>
          <t>DeselectJoiningProcess is a Method. InputArguments = ProductInstanceUri (String). OutputArguments = Status (Int64), StatusMessage (LocalizedText).</t>
        </is>
      </c>
      <c r="G5" s="331" t="inlineStr">
        <is>
          <t>Good</t>
        </is>
      </c>
      <c r="H5" s="331" t="inlineStr">
        <is>
          <t>Good</t>
        </is>
      </c>
      <c r="I5" s="331" t="n"/>
      <c r="J5" s="331" t="inlineStr">
        <is>
          <t>OPC 40450-1 Section 7.7 Table 110; Section 7.4 status</t>
        </is>
      </c>
      <c r="K5" s="332" t="n"/>
      <c r="L5" s="25" t="n"/>
      <c r="M5" s="26" t="n"/>
      <c r="N5" s="26" t="n"/>
    </row>
    <row r="6" ht="49" customHeight="1" s="173">
      <c r="A6" s="302" t="inlineStr">
        <is>
          <t>y</t>
        </is>
      </c>
      <c r="B6" s="303" t="n">
        <v>2</v>
      </c>
      <c r="C6" s="304" t="n">
        <v>0</v>
      </c>
      <c r="D6" s="304" t="inlineStr">
        <is>
          <t>Call DeselectJoiningProcess and verify the outcome</t>
        </is>
      </c>
      <c r="E6" s="304" t="n"/>
      <c r="F6" s="304" t="n"/>
      <c r="G6" s="304" t="n"/>
      <c r="H6" s="304" t="n"/>
      <c r="I6" s="304" t="inlineStr">
        <is>
          <t>n</t>
        </is>
      </c>
      <c r="J6" s="304" t="inlineStr">
        <is>
          <t>OPC 40450-1 Section 7.7 Table 110; Section 7.4 status</t>
        </is>
      </c>
      <c r="K6" s="305" t="n"/>
      <c r="L6" s="25" t="n"/>
      <c r="M6" s="26" t="n"/>
      <c r="N6" s="26" t="n"/>
    </row>
    <row r="7" ht="49" customHeight="1" s="173">
      <c r="A7" s="329" t="n"/>
      <c r="B7" s="330" t="n"/>
      <c r="C7" s="331" t="n">
        <v>1</v>
      </c>
      <c r="D7" s="331" t="inlineStr">
        <is>
          <t>Call DeselectJoiningProcess with valid input arguments (a valid ProductInstanceUri of an asset exposed by the Server).</t>
        </is>
      </c>
      <c r="E7" s="331" t="inlineStr">
        <is>
          <t>The DeselectJoiningProcess method is callable.</t>
        </is>
      </c>
      <c r="F7" s="331" t="inlineStr">
        <is>
          <t>The Call Service returns Good; Status = 0 (OK) with a StatusMessage. Any selected joining process is deselected.</t>
        </is>
      </c>
      <c r="G7" s="331" t="inlineStr">
        <is>
          <t>Good</t>
        </is>
      </c>
      <c r="H7" s="331" t="inlineStr">
        <is>
          <t>Status = 0 (OK)</t>
        </is>
      </c>
      <c r="I7" s="331" t="n"/>
      <c r="J7" s="331" t="inlineStr">
        <is>
          <t>OPC 40450-1 Section 7.7 Table 110;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DeselectJoiningProcess rejects an invalid ProductInstanceUri</t>
        </is>
      </c>
      <c r="E9" s="374" t="n"/>
      <c r="F9" s="374" t="n"/>
      <c r="G9" s="374" t="n"/>
      <c r="H9" s="374" t="n"/>
      <c r="I9" s="374" t="inlineStr">
        <is>
          <t>n</t>
        </is>
      </c>
      <c r="J9" s="374" t="inlineStr">
        <is>
          <t>OPC 40450-1 Section 7.7 Table 110; Section 7.4 status</t>
        </is>
      </c>
      <c r="K9" s="375" t="n"/>
      <c r="L9" s="25" t="n"/>
      <c r="M9" s="26" t="n"/>
      <c r="N9" s="26" t="n"/>
    </row>
    <row r="10" ht="64" customHeight="1" s="173">
      <c r="A10" s="329" t="n"/>
      <c r="B10" s="330" t="n"/>
      <c r="C10" s="331" t="n">
        <v>1</v>
      </c>
      <c r="D10" s="331" t="inlineStr">
        <is>
          <t>Call DeselectJoiningProcess with a ProductInstanceUri that is not exposed by the Server; all other arguments valid.</t>
        </is>
      </c>
      <c r="E10" s="331" t="inlineStr">
        <is>
          <t>The DeselectJoiningProcess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7.7 Table 110; Section 7.4 status</t>
        </is>
      </c>
      <c r="K10" s="332" t="n"/>
      <c r="L10" s="25" t="n"/>
      <c r="M10" s="26" t="n"/>
      <c r="N10" s="26" t="n"/>
    </row>
    <row r="11" ht="49" customHeight="1" s="173"/>
    <row r="12" ht="64" customHeight="1" s="173"/>
    <row r="13" ht="34" customHeight="1" s="173"/>
    <row r="14" ht="90" customHeight="1" s="173"/>
    <row r="15" ht="34" customHeight="1" s="173"/>
    <row r="16" ht="90" customHeight="1" s="173"/>
    <row r="19" customFormat="1" s="2"/>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6">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CU-93: IJT Reset Joining Process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CU-93 — IJT Reset Joining Process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ResetJoiningProcess method signature</t>
        </is>
      </c>
      <c r="E4" s="304" t="n"/>
      <c r="F4" s="304" t="n"/>
      <c r="G4" s="304" t="n"/>
      <c r="H4" s="304" t="n"/>
      <c r="I4" s="304" t="inlineStr">
        <is>
          <t>n</t>
        </is>
      </c>
      <c r="J4" s="304" t="inlineStr">
        <is>
          <t>OPC 40450-1 Section 7.7 Table 124; Section 7.4 status</t>
        </is>
      </c>
      <c r="K4" s="305" t="inlineStr"/>
      <c r="L4" s="25" t="n"/>
      <c r="M4" s="26" t="n"/>
      <c r="N4" s="26" t="n"/>
    </row>
    <row r="5" ht="79" customHeight="1" s="173">
      <c r="A5" s="329" t="n"/>
      <c r="B5" s="330" t="n"/>
      <c r="C5" s="331" t="n">
        <v>1</v>
      </c>
      <c r="D5" s="331" t="inlineStr">
        <is>
          <t>Browse the asset MethodSet for ResetJoiningProcess and read its InputArguments and OutputArguments.</t>
        </is>
      </c>
      <c r="E5" s="331" t="inlineStr">
        <is>
          <t>The Server exposes the ResetJoiningProcess method.</t>
        </is>
      </c>
      <c r="F5" s="331" t="inlineStr">
        <is>
          <t>ResetJoiningProcess is a Method. InputArguments = ProductInstanceUri (String), JoiningProcessIdentification (JoiningProcessIdentificationDataType). OutputArguments = Status (Int64), StatusMessage (LocalizedText).</t>
        </is>
      </c>
      <c r="G5" s="331" t="inlineStr">
        <is>
          <t>Good</t>
        </is>
      </c>
      <c r="H5" s="331" t="inlineStr">
        <is>
          <t>Good</t>
        </is>
      </c>
      <c r="I5" s="331" t="n"/>
      <c r="J5" s="331" t="inlineStr">
        <is>
          <t>OPC 40450-1 Section 7.7 Table 124; Section 7.4 status</t>
        </is>
      </c>
      <c r="K5" s="332" t="n"/>
      <c r="L5" s="25" t="n"/>
      <c r="M5" s="26" t="n"/>
      <c r="N5" s="26" t="n"/>
    </row>
    <row r="6" ht="49" customHeight="1" s="173">
      <c r="A6" s="302" t="inlineStr">
        <is>
          <t>y</t>
        </is>
      </c>
      <c r="B6" s="303" t="n">
        <v>2</v>
      </c>
      <c r="C6" s="304" t="n">
        <v>0</v>
      </c>
      <c r="D6" s="304" t="inlineStr">
        <is>
          <t>Call ResetJoiningProcess and verify the outcome</t>
        </is>
      </c>
      <c r="E6" s="304" t="n"/>
      <c r="F6" s="304" t="n"/>
      <c r="G6" s="304" t="n"/>
      <c r="H6" s="304" t="n"/>
      <c r="I6" s="304" t="inlineStr">
        <is>
          <t>n</t>
        </is>
      </c>
      <c r="J6" s="304" t="inlineStr">
        <is>
          <t>OPC 40450-1 Section 7.7 Table 124; Section 7.4 status</t>
        </is>
      </c>
      <c r="K6" s="305" t="n"/>
      <c r="L6" s="25" t="n"/>
      <c r="M6" s="26" t="n"/>
      <c r="N6" s="26" t="n"/>
    </row>
    <row r="7" ht="49" customHeight="1" s="173">
      <c r="A7" s="329" t="n"/>
      <c r="B7" s="330" t="n"/>
      <c r="C7" s="331" t="n">
        <v>1</v>
      </c>
      <c r="D7" s="331" t="inlineStr">
        <is>
          <t>Call ResetJoiningProcess with valid input arguments (a valid ProductInstanceUri of an asset exposed by the Server).</t>
        </is>
      </c>
      <c r="E7" s="331" t="inlineStr">
        <is>
          <t>The ResetJoiningProcess method is callable.</t>
        </is>
      </c>
      <c r="F7" s="331" t="inlineStr">
        <is>
          <t>The Call Service returns Good; Status = 0 (OK) with a StatusMessage. The identified sequential joining process (Job, etc.) is reset/restarted.</t>
        </is>
      </c>
      <c r="G7" s="331" t="inlineStr">
        <is>
          <t>Good</t>
        </is>
      </c>
      <c r="H7" s="331" t="inlineStr">
        <is>
          <t>Status = 0 (OK)</t>
        </is>
      </c>
      <c r="I7" s="331" t="n"/>
      <c r="J7" s="331" t="inlineStr">
        <is>
          <t>OPC 40450-1 Section 7.7 Table 124;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ResetJoiningProcess rejects an invalid ProductInstanceUri</t>
        </is>
      </c>
      <c r="E9" s="374" t="n"/>
      <c r="F9" s="374" t="n"/>
      <c r="G9" s="374" t="n"/>
      <c r="H9" s="374" t="n"/>
      <c r="I9" s="374" t="inlineStr">
        <is>
          <t>n</t>
        </is>
      </c>
      <c r="J9" s="374" t="inlineStr">
        <is>
          <t>OPC 40450-1 Section 7.7 Table 124; Section 7.4 status</t>
        </is>
      </c>
      <c r="K9" s="375" t="n"/>
      <c r="L9" s="25" t="n"/>
      <c r="M9" s="26" t="n"/>
      <c r="N9" s="26" t="n"/>
    </row>
    <row r="10" ht="64" customHeight="1" s="173">
      <c r="A10" s="329" t="n"/>
      <c r="B10" s="330" t="n"/>
      <c r="C10" s="331" t="n">
        <v>1</v>
      </c>
      <c r="D10" s="331" t="inlineStr">
        <is>
          <t>Call ResetJoiningProcess with a ProductInstanceUri that is not exposed by the Server; all other arguments valid.</t>
        </is>
      </c>
      <c r="E10" s="331" t="inlineStr">
        <is>
          <t>The ResetJoiningProcess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7.7 Table 124; Section 7.4 status</t>
        </is>
      </c>
      <c r="K10" s="332" t="n"/>
      <c r="L10" s="25" t="n"/>
      <c r="M10" s="26" t="n"/>
      <c r="N10" s="26" t="n"/>
    </row>
    <row r="11" ht="49" customHeight="1" s="173">
      <c r="A11" s="372" t="inlineStr">
        <is>
          <t>y</t>
        </is>
      </c>
      <c r="B11" s="373" t="n">
        <v>4</v>
      </c>
      <c r="C11" s="374" t="n">
        <v>0</v>
      </c>
      <c r="D11" s="374" t="inlineStr">
        <is>
          <t>Verify ResetJoiningProcess rejects an unknown JoiningProcessId</t>
        </is>
      </c>
      <c r="E11" s="374" t="n"/>
      <c r="F11" s="374" t="n"/>
      <c r="G11" s="374" t="n"/>
      <c r="H11" s="374" t="n"/>
      <c r="I11" s="374" t="inlineStr">
        <is>
          <t>n</t>
        </is>
      </c>
      <c r="J11" s="374" t="inlineStr">
        <is>
          <t>OPC 40450-1 Section 7.7 Table 124; Section 7.4 status</t>
        </is>
      </c>
      <c r="K11" s="375" t="n"/>
      <c r="L11" s="25" t="n"/>
      <c r="M11" s="26" t="n"/>
      <c r="N11" s="26" t="n"/>
    </row>
    <row r="12" ht="64" customHeight="1" s="173">
      <c r="A12" s="329" t="n"/>
      <c r="B12" s="330" t="n"/>
      <c r="C12" s="331" t="n">
        <v>1</v>
      </c>
      <c r="D12" s="331" t="inlineStr">
        <is>
          <t>Call ResetJoiningProcess with a JoiningProcessId that does not exist on the Server; ProductInstanceUri and all other arguments valid.</t>
        </is>
      </c>
      <c r="E12" s="331" t="inlineStr">
        <is>
          <t>The ResetJoiningProcess method is exposed.</t>
        </is>
      </c>
      <c r="F12" s="331" t="inlineStr">
        <is>
          <t>The Call Service returns Good (ResponseHeader.ServiceResult = Good); CallMethodResult.StatusCode = Uncertain; Status output = 4 (Input identifier/entity not found) with a StatusMessage.</t>
        </is>
      </c>
      <c r="G12" s="331" t="inlineStr">
        <is>
          <t>Good</t>
        </is>
      </c>
      <c r="H12" s="331" t="inlineStr">
        <is>
          <t>CallMethodResult.StatusCode = Uncertain; Status output = 4</t>
        </is>
      </c>
      <c r="I12" s="331" t="n"/>
      <c r="J12" s="331" t="inlineStr">
        <is>
          <t>OPC 40450-1 Section 7.7 Table 124; Section 7.4 status</t>
        </is>
      </c>
      <c r="K12" s="332" t="n"/>
      <c r="L12" s="25" t="n"/>
      <c r="M12" s="26" t="n"/>
      <c r="N12" s="26" t="n"/>
    </row>
    <row r="13" ht="49" customHeight="1" s="173"/>
    <row r="14" ht="64" customHeight="1" s="173"/>
    <row r="15" ht="34" customHeight="1" s="173"/>
    <row r="16" ht="90" customHeight="1" s="173"/>
    <row r="17" ht="34" customHeight="1" s="173"/>
    <row r="18" ht="90" customHeight="1" s="173"/>
    <row r="19" ht="34" customFormat="1" customHeight="1" s="2"/>
    <row r="20" ht="49" customHeight="1" s="173"/>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7">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CU-94: IJT Increment Joining Process Counter</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CU-94 — IJT Increment Joining Process Counter</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IncrementJoiningProcessCounter method signature</t>
        </is>
      </c>
      <c r="E4" s="304" t="n"/>
      <c r="F4" s="304" t="n"/>
      <c r="G4" s="304" t="n"/>
      <c r="H4" s="304" t="n"/>
      <c r="I4" s="304" t="inlineStr">
        <is>
          <t>n</t>
        </is>
      </c>
      <c r="J4" s="304" t="inlineStr">
        <is>
          <t>OPC 40450-1 Section 7.7 Table 118; Section 7.4 status</t>
        </is>
      </c>
      <c r="K4" s="305" t="inlineStr"/>
      <c r="L4" s="25" t="n"/>
      <c r="M4" s="26" t="n"/>
      <c r="N4" s="26" t="n"/>
    </row>
    <row r="5" ht="79" customHeight="1" s="173">
      <c r="A5" s="329" t="n"/>
      <c r="B5" s="330" t="n"/>
      <c r="C5" s="331" t="n">
        <v>1</v>
      </c>
      <c r="D5" s="331" t="inlineStr">
        <is>
          <t>Browse the asset MethodSet for IncrementJoiningProcessCounter and read its InputArguments and OutputArguments.</t>
        </is>
      </c>
      <c r="E5" s="331" t="inlineStr">
        <is>
          <t>The Server exposes the IncrementJoiningProcessCounter method.</t>
        </is>
      </c>
      <c r="F5" s="331" t="inlineStr">
        <is>
          <t>IncrementJoiningProcessCounter is a Method. InputArguments = ProductInstanceUri (String), JoiningProcessIdentification (JoiningProcessIdentificationDataType), IncrementCount (UInt32). OutputArguments = Status (Int64), StatusMessage (LocalizedText).</t>
        </is>
      </c>
      <c r="G5" s="331" t="inlineStr">
        <is>
          <t>Good</t>
        </is>
      </c>
      <c r="H5" s="331" t="inlineStr">
        <is>
          <t>Good</t>
        </is>
      </c>
      <c r="I5" s="331" t="n"/>
      <c r="J5" s="331" t="inlineStr">
        <is>
          <t>OPC 40450-1 Section 7.7 Table 118; Section 7.4 status</t>
        </is>
      </c>
      <c r="K5" s="332" t="n"/>
      <c r="L5" s="25" t="n"/>
      <c r="M5" s="26" t="n"/>
      <c r="N5" s="26" t="n"/>
    </row>
    <row r="6" ht="49" customHeight="1" s="173">
      <c r="A6" s="302" t="inlineStr">
        <is>
          <t>y</t>
        </is>
      </c>
      <c r="B6" s="303" t="n">
        <v>2</v>
      </c>
      <c r="C6" s="304" t="n">
        <v>0</v>
      </c>
      <c r="D6" s="304" t="inlineStr">
        <is>
          <t>Call IncrementJoiningProcessCounter and verify the outcome</t>
        </is>
      </c>
      <c r="E6" s="304" t="n"/>
      <c r="F6" s="304" t="n"/>
      <c r="G6" s="304" t="n"/>
      <c r="H6" s="304" t="n"/>
      <c r="I6" s="304" t="inlineStr">
        <is>
          <t>n</t>
        </is>
      </c>
      <c r="J6" s="304" t="inlineStr">
        <is>
          <t>OPC 40450-1 Section 7.7 Table 118; Section 7.4 status</t>
        </is>
      </c>
      <c r="K6" s="305" t="n"/>
      <c r="L6" s="25" t="n"/>
      <c r="M6" s="26" t="n"/>
      <c r="N6" s="26" t="n"/>
    </row>
    <row r="7" ht="49" customHeight="1" s="173">
      <c r="A7" s="329" t="n"/>
      <c r="B7" s="330" t="n"/>
      <c r="C7" s="331" t="n">
        <v>1</v>
      </c>
      <c r="D7" s="331" t="inlineStr">
        <is>
          <t>Call IncrementJoiningProcessCounter with valid input arguments (a valid ProductInstanceUri of an asset exposed by the Server).</t>
        </is>
      </c>
      <c r="E7" s="331" t="inlineStr">
        <is>
          <t>The IncrementJoiningProcessCounter method is callable.</t>
        </is>
      </c>
      <c r="F7" s="331" t="inlineStr">
        <is>
          <t>The Call Service returns Good; Status = 0 (OK) with a StatusMessage. The identified joining process counter is incremented by IncrementCount (default 1).</t>
        </is>
      </c>
      <c r="G7" s="331" t="inlineStr">
        <is>
          <t>Good</t>
        </is>
      </c>
      <c r="H7" s="331" t="inlineStr">
        <is>
          <t>Status = 0 (OK)</t>
        </is>
      </c>
      <c r="I7" s="331" t="n"/>
      <c r="J7" s="331" t="inlineStr">
        <is>
          <t>OPC 40450-1 Section 7.7 Table 118;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IncrementJoiningProcessCounter rejects an invalid ProductInstanceUri</t>
        </is>
      </c>
      <c r="E9" s="374" t="n"/>
      <c r="F9" s="374" t="n"/>
      <c r="G9" s="374" t="n"/>
      <c r="H9" s="374" t="n"/>
      <c r="I9" s="374" t="inlineStr">
        <is>
          <t>n</t>
        </is>
      </c>
      <c r="J9" s="374" t="inlineStr">
        <is>
          <t>OPC 40450-1 Section 7.7 Table 118; Section 7.4 status</t>
        </is>
      </c>
      <c r="K9" s="375" t="n"/>
      <c r="L9" s="25" t="n"/>
      <c r="M9" s="26" t="n"/>
      <c r="N9" s="26" t="n"/>
    </row>
    <row r="10" ht="64" customHeight="1" s="173">
      <c r="A10" s="329" t="n"/>
      <c r="B10" s="330" t="n"/>
      <c r="C10" s="331" t="n">
        <v>1</v>
      </c>
      <c r="D10" s="331" t="inlineStr">
        <is>
          <t>Call IncrementJoiningProcessCounter with a ProductInstanceUri that is not exposed by the Server; all other arguments valid.</t>
        </is>
      </c>
      <c r="E10" s="331" t="inlineStr">
        <is>
          <t>The IncrementJoiningProcessCounter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7.7 Table 118; Section 7.4 status</t>
        </is>
      </c>
      <c r="K10" s="332" t="n"/>
      <c r="L10" s="25" t="n"/>
      <c r="M10" s="26" t="n"/>
      <c r="N10" s="26" t="n"/>
    </row>
    <row r="11" ht="49" customHeight="1" s="173">
      <c r="A11" s="372" t="inlineStr">
        <is>
          <t>y</t>
        </is>
      </c>
      <c r="B11" s="373" t="n">
        <v>4</v>
      </c>
      <c r="C11" s="374" t="n">
        <v>0</v>
      </c>
      <c r="D11" s="374" t="inlineStr">
        <is>
          <t>Verify IncrementJoiningProcessCounter rejects an unknown JoiningProcessId</t>
        </is>
      </c>
      <c r="E11" s="374" t="n"/>
      <c r="F11" s="374" t="n"/>
      <c r="G11" s="374" t="n"/>
      <c r="H11" s="374" t="n"/>
      <c r="I11" s="374" t="inlineStr">
        <is>
          <t>n</t>
        </is>
      </c>
      <c r="J11" s="374" t="inlineStr">
        <is>
          <t>OPC 40450-1 Section 7.7 Table 118; Section 7.4 status</t>
        </is>
      </c>
      <c r="K11" s="375" t="n"/>
      <c r="L11" s="25" t="n"/>
      <c r="M11" s="26" t="n"/>
      <c r="N11" s="26" t="n"/>
    </row>
    <row r="12" ht="64" customHeight="1" s="173">
      <c r="A12" s="329" t="n"/>
      <c r="B12" s="330" t="n"/>
      <c r="C12" s="331" t="n">
        <v>1</v>
      </c>
      <c r="D12" s="331" t="inlineStr">
        <is>
          <t>Call IncrementJoiningProcessCounter with a JoiningProcessId that does not exist on the Server; ProductInstanceUri and all other arguments valid.</t>
        </is>
      </c>
      <c r="E12" s="331" t="inlineStr">
        <is>
          <t>The IncrementJoiningProcessCounter method is exposed.</t>
        </is>
      </c>
      <c r="F12" s="331" t="inlineStr">
        <is>
          <t>The Call Service returns Good (ResponseHeader.ServiceResult = Good); CallMethodResult.StatusCode = Uncertain; Status output = 4 (Input identifier/entity not found) with a StatusMessage.</t>
        </is>
      </c>
      <c r="G12" s="331" t="inlineStr">
        <is>
          <t>Good</t>
        </is>
      </c>
      <c r="H12" s="331" t="inlineStr">
        <is>
          <t>CallMethodResult.StatusCode = Uncertain; Status output = 4</t>
        </is>
      </c>
      <c r="I12" s="331" t="n"/>
      <c r="J12" s="331" t="inlineStr">
        <is>
          <t>OPC 40450-1 Section 7.7 Table 118; Section 7.4 status</t>
        </is>
      </c>
      <c r="K12" s="332" t="n"/>
      <c r="L12" s="25" t="n"/>
      <c r="M12" s="26" t="n"/>
      <c r="N12" s="26" t="n"/>
    </row>
    <row r="13" ht="49" customHeight="1" s="173"/>
    <row r="14" ht="64" customHeight="1" s="173"/>
    <row r="15" ht="34" customHeight="1" s="173"/>
    <row r="16" ht="64" customHeight="1" s="173"/>
    <row r="17" ht="34" customHeight="1" s="173"/>
    <row r="18" ht="64" customHeight="1" s="173"/>
    <row r="19" customFormat="1" s="2"/>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8">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CU-95: IJT Decrement Joining Process Counter</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CU-95 — IJT Decrement Joining Process Counter</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DecrementJoiningProcessCounter method signature</t>
        </is>
      </c>
      <c r="E4" s="304" t="n"/>
      <c r="F4" s="304" t="n"/>
      <c r="G4" s="304" t="n"/>
      <c r="H4" s="304" t="n"/>
      <c r="I4" s="304" t="inlineStr">
        <is>
          <t>n</t>
        </is>
      </c>
      <c r="J4" s="304" t="inlineStr">
        <is>
          <t>OPC 40450-1 Section 7.7 Table 120; Section 7.4 status</t>
        </is>
      </c>
      <c r="K4" s="305" t="inlineStr"/>
      <c r="L4" s="25" t="n"/>
      <c r="M4" s="26" t="n"/>
      <c r="N4" s="26" t="n"/>
    </row>
    <row r="5" ht="79" customHeight="1" s="173">
      <c r="A5" s="329" t="n"/>
      <c r="B5" s="330" t="n"/>
      <c r="C5" s="331" t="n">
        <v>1</v>
      </c>
      <c r="D5" s="331" t="inlineStr">
        <is>
          <t>Browse the asset MethodSet for DecrementJoiningProcessCounter and read its InputArguments and OutputArguments.</t>
        </is>
      </c>
      <c r="E5" s="331" t="inlineStr">
        <is>
          <t>The Server exposes the DecrementJoiningProcessCounter method.</t>
        </is>
      </c>
      <c r="F5" s="331" t="inlineStr">
        <is>
          <t>DecrementJoiningProcessCounter is a Method. InputArguments = ProductInstanceUri (String), JoiningProcessIdentification (JoiningProcessIdentificationDataType), DecrementCount (UInt32). OutputArguments = Status (Int64), StatusMessage (LocalizedText).</t>
        </is>
      </c>
      <c r="G5" s="331" t="inlineStr">
        <is>
          <t>Good</t>
        </is>
      </c>
      <c r="H5" s="331" t="inlineStr">
        <is>
          <t>Good</t>
        </is>
      </c>
      <c r="I5" s="331" t="n"/>
      <c r="J5" s="331" t="inlineStr">
        <is>
          <t>OPC 40450-1 Section 7.7 Table 120; Section 7.4 status</t>
        </is>
      </c>
      <c r="K5" s="332" t="n"/>
      <c r="L5" s="25" t="n"/>
      <c r="M5" s="26" t="n"/>
      <c r="N5" s="26" t="n"/>
    </row>
    <row r="6" ht="49" customHeight="1" s="173">
      <c r="A6" s="302" t="inlineStr">
        <is>
          <t>y</t>
        </is>
      </c>
      <c r="B6" s="303" t="n">
        <v>2</v>
      </c>
      <c r="C6" s="304" t="n">
        <v>0</v>
      </c>
      <c r="D6" s="304" t="inlineStr">
        <is>
          <t>Call DecrementJoiningProcessCounter and verify the outcome</t>
        </is>
      </c>
      <c r="E6" s="304" t="n"/>
      <c r="F6" s="304" t="n"/>
      <c r="G6" s="304" t="n"/>
      <c r="H6" s="304" t="n"/>
      <c r="I6" s="304" t="inlineStr">
        <is>
          <t>n</t>
        </is>
      </c>
      <c r="J6" s="304" t="inlineStr">
        <is>
          <t>OPC 40450-1 Section 7.7 Table 120; Section 7.4 status</t>
        </is>
      </c>
      <c r="K6" s="305" t="n"/>
      <c r="L6" s="25" t="n"/>
      <c r="M6" s="26" t="n"/>
      <c r="N6" s="26" t="n"/>
    </row>
    <row r="7" ht="49" customHeight="1" s="173">
      <c r="A7" s="329" t="n"/>
      <c r="B7" s="330" t="n"/>
      <c r="C7" s="331" t="n">
        <v>1</v>
      </c>
      <c r="D7" s="331" t="inlineStr">
        <is>
          <t>Call DecrementJoiningProcessCounter with valid input arguments (a valid ProductInstanceUri of an asset exposed by the Server).</t>
        </is>
      </c>
      <c r="E7" s="331" t="inlineStr">
        <is>
          <t>The DecrementJoiningProcessCounter method is callable.</t>
        </is>
      </c>
      <c r="F7" s="331" t="inlineStr">
        <is>
          <t>The Call Service returns Good; Status = 0 (OK) with a StatusMessage. The identified joining process counter is decremented by DecrementCount (default 1).</t>
        </is>
      </c>
      <c r="G7" s="331" t="inlineStr">
        <is>
          <t>Good</t>
        </is>
      </c>
      <c r="H7" s="331" t="inlineStr">
        <is>
          <t>Status = 0 (OK)</t>
        </is>
      </c>
      <c r="I7" s="331" t="n"/>
      <c r="J7" s="331" t="inlineStr">
        <is>
          <t>OPC 40450-1 Section 7.7 Table 120;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DecrementJoiningProcessCounter rejects an invalid ProductInstanceUri</t>
        </is>
      </c>
      <c r="E9" s="374" t="n"/>
      <c r="F9" s="374" t="n"/>
      <c r="G9" s="374" t="n"/>
      <c r="H9" s="374" t="n"/>
      <c r="I9" s="374" t="inlineStr">
        <is>
          <t>n</t>
        </is>
      </c>
      <c r="J9" s="374" t="inlineStr">
        <is>
          <t>OPC 40450-1 Section 7.7 Table 120; Section 7.4 status</t>
        </is>
      </c>
      <c r="K9" s="375" t="n"/>
      <c r="L9" s="25" t="n"/>
      <c r="M9" s="26" t="n"/>
      <c r="N9" s="26" t="n"/>
    </row>
    <row r="10" ht="64" customHeight="1" s="173">
      <c r="A10" s="329" t="n"/>
      <c r="B10" s="330" t="n"/>
      <c r="C10" s="331" t="n">
        <v>1</v>
      </c>
      <c r="D10" s="331" t="inlineStr">
        <is>
          <t>Call DecrementJoiningProcessCounter with a ProductInstanceUri that is not exposed by the Server; all other arguments valid.</t>
        </is>
      </c>
      <c r="E10" s="331" t="inlineStr">
        <is>
          <t>The DecrementJoiningProcessCounter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7.7 Table 120; Section 7.4 status</t>
        </is>
      </c>
      <c r="K10" s="332" t="n"/>
      <c r="L10" s="25" t="n"/>
      <c r="M10" s="26" t="n"/>
      <c r="N10" s="26" t="n"/>
    </row>
    <row r="11" ht="49" customHeight="1" s="173">
      <c r="A11" s="372" t="inlineStr">
        <is>
          <t>y</t>
        </is>
      </c>
      <c r="B11" s="373" t="n">
        <v>4</v>
      </c>
      <c r="C11" s="374" t="n">
        <v>0</v>
      </c>
      <c r="D11" s="374" t="inlineStr">
        <is>
          <t>Verify DecrementJoiningProcessCounter rejects an unknown JoiningProcessId</t>
        </is>
      </c>
      <c r="E11" s="374" t="n"/>
      <c r="F11" s="374" t="n"/>
      <c r="G11" s="374" t="n"/>
      <c r="H11" s="374" t="n"/>
      <c r="I11" s="374" t="inlineStr">
        <is>
          <t>n</t>
        </is>
      </c>
      <c r="J11" s="374" t="inlineStr">
        <is>
          <t>OPC 40450-1 Section 7.7 Table 120; Section 7.4 status</t>
        </is>
      </c>
      <c r="K11" s="375" t="n"/>
      <c r="L11" s="25" t="n"/>
      <c r="M11" s="26" t="n"/>
      <c r="N11" s="26" t="n"/>
    </row>
    <row r="12" ht="64" customHeight="1" s="173">
      <c r="A12" s="329" t="n"/>
      <c r="B12" s="330" t="n"/>
      <c r="C12" s="331" t="n">
        <v>1</v>
      </c>
      <c r="D12" s="331" t="inlineStr">
        <is>
          <t>Call DecrementJoiningProcessCounter with a JoiningProcessId that does not exist on the Server; ProductInstanceUri and all other arguments valid.</t>
        </is>
      </c>
      <c r="E12" s="331" t="inlineStr">
        <is>
          <t>The DecrementJoiningProcessCounter method is exposed.</t>
        </is>
      </c>
      <c r="F12" s="331" t="inlineStr">
        <is>
          <t>The Call Service returns Good (ResponseHeader.ServiceResult = Good); CallMethodResult.StatusCode = Uncertain; Status output = 4 (Input identifier/entity not found) with a StatusMessage.</t>
        </is>
      </c>
      <c r="G12" s="331" t="inlineStr">
        <is>
          <t>Good</t>
        </is>
      </c>
      <c r="H12" s="331" t="inlineStr">
        <is>
          <t>CallMethodResult.StatusCode = Uncertain; Status output = 4</t>
        </is>
      </c>
      <c r="I12" s="331" t="n"/>
      <c r="J12" s="331" t="inlineStr">
        <is>
          <t>OPC 40450-1 Section 7.7 Table 120; Section 7.4 status</t>
        </is>
      </c>
      <c r="K12" s="332" t="n"/>
      <c r="L12" s="25" t="n"/>
      <c r="M12" s="26" t="n"/>
      <c r="N12" s="26" t="n"/>
    </row>
    <row r="13" ht="49" customHeight="1" s="173"/>
    <row r="14" ht="64" customHeight="1" s="173"/>
    <row r="15" ht="34" customHeight="1" s="173"/>
    <row r="16" ht="64" customHeight="1" s="173"/>
    <row r="19" customFormat="1" s="2"/>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9">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CU-96: IJT Set Joining Process Size</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CU-96 — IJT Set Joining Process Size</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SetJoiningProcessSize method signature</t>
        </is>
      </c>
      <c r="E4" s="304" t="n"/>
      <c r="F4" s="304" t="n"/>
      <c r="G4" s="304" t="n"/>
      <c r="H4" s="304" t="n"/>
      <c r="I4" s="304" t="inlineStr">
        <is>
          <t>n</t>
        </is>
      </c>
      <c r="J4" s="304" t="inlineStr">
        <is>
          <t>OPC 40450-1 Section 7.7 Table 116; Section 7.4 status</t>
        </is>
      </c>
      <c r="K4" s="305" t="inlineStr"/>
      <c r="L4" s="25" t="n"/>
      <c r="M4" s="26" t="n"/>
      <c r="N4" s="26" t="n"/>
    </row>
    <row r="5" ht="79" customHeight="1" s="173">
      <c r="A5" s="329" t="n"/>
      <c r="B5" s="330" t="n"/>
      <c r="C5" s="331" t="n">
        <v>1</v>
      </c>
      <c r="D5" s="331" t="inlineStr">
        <is>
          <t>Browse the asset MethodSet for SetJoiningProcessSize and read its InputArguments and OutputArguments.</t>
        </is>
      </c>
      <c r="E5" s="331" t="inlineStr">
        <is>
          <t>The Server exposes the SetJoiningProcessSize method.</t>
        </is>
      </c>
      <c r="F5" s="331" t="inlineStr">
        <is>
          <t>SetJoiningProcessSize is a Method. InputArguments = ProductInstanceUri (String), JoiningProcessIdentification (JoiningProcessIdentificationDataType), MaxCounterSize (UInt32). OutputArguments = Status (Int64), StatusMessage (LocalizedText).</t>
        </is>
      </c>
      <c r="G5" s="331" t="inlineStr">
        <is>
          <t>Good</t>
        </is>
      </c>
      <c r="H5" s="331" t="inlineStr">
        <is>
          <t>Good</t>
        </is>
      </c>
      <c r="I5" s="331" t="n"/>
      <c r="J5" s="331" t="inlineStr">
        <is>
          <t>OPC 40450-1 Section 7.7 Table 116; Section 7.4 status</t>
        </is>
      </c>
      <c r="K5" s="332" t="n"/>
      <c r="L5" s="25" t="n"/>
      <c r="M5" s="26" t="n"/>
      <c r="N5" s="26" t="n"/>
    </row>
    <row r="6" ht="49" customHeight="1" s="173">
      <c r="A6" s="302" t="inlineStr">
        <is>
          <t>y</t>
        </is>
      </c>
      <c r="B6" s="303" t="n">
        <v>2</v>
      </c>
      <c r="C6" s="304" t="n">
        <v>0</v>
      </c>
      <c r="D6" s="304" t="inlineStr">
        <is>
          <t>Call SetJoiningProcessSize and verify the outcome</t>
        </is>
      </c>
      <c r="E6" s="304" t="n"/>
      <c r="F6" s="304" t="n"/>
      <c r="G6" s="304" t="n"/>
      <c r="H6" s="304" t="n"/>
      <c r="I6" s="304" t="inlineStr">
        <is>
          <t>n</t>
        </is>
      </c>
      <c r="J6" s="304" t="inlineStr">
        <is>
          <t>OPC 40450-1 Section 7.7 Table 116; Section 7.4 status</t>
        </is>
      </c>
      <c r="K6" s="305" t="n"/>
      <c r="L6" s="25" t="n"/>
      <c r="M6" s="26" t="n"/>
      <c r="N6" s="26" t="n"/>
    </row>
    <row r="7" ht="49" customHeight="1" s="173">
      <c r="A7" s="329" t="n"/>
      <c r="B7" s="330" t="n"/>
      <c r="C7" s="331" t="n">
        <v>1</v>
      </c>
      <c r="D7" s="331" t="inlineStr">
        <is>
          <t>Call SetJoiningProcessSize with valid input arguments (a valid ProductInstanceUri of an asset exposed by the Server).</t>
        </is>
      </c>
      <c r="E7" s="331" t="inlineStr">
        <is>
          <t>The SetJoiningProcessSize method is callable.</t>
        </is>
      </c>
      <c r="F7" s="331" t="inlineStr">
        <is>
          <t>The Call Service returns Good; Status = 0 (OK) with a StatusMessage. The batch size (MaxCounterSize) of the identified joining process is set.</t>
        </is>
      </c>
      <c r="G7" s="331" t="inlineStr">
        <is>
          <t>Good</t>
        </is>
      </c>
      <c r="H7" s="331" t="inlineStr">
        <is>
          <t>Status = 0 (OK)</t>
        </is>
      </c>
      <c r="I7" s="331" t="n"/>
      <c r="J7" s="331" t="inlineStr">
        <is>
          <t>OPC 40450-1 Section 7.7 Table 116;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SetJoiningProcessSize rejects an invalid ProductInstanceUri</t>
        </is>
      </c>
      <c r="E9" s="374" t="n"/>
      <c r="F9" s="374" t="n"/>
      <c r="G9" s="374" t="n"/>
      <c r="H9" s="374" t="n"/>
      <c r="I9" s="374" t="inlineStr">
        <is>
          <t>n</t>
        </is>
      </c>
      <c r="J9" s="374" t="inlineStr">
        <is>
          <t>OPC 40450-1 Section 7.7 Table 116; Section 7.4 status</t>
        </is>
      </c>
      <c r="K9" s="375" t="n"/>
      <c r="L9" s="25" t="n"/>
      <c r="M9" s="26" t="n"/>
      <c r="N9" s="26" t="n"/>
    </row>
    <row r="10" ht="64" customHeight="1" s="173">
      <c r="A10" s="329" t="n"/>
      <c r="B10" s="330" t="n"/>
      <c r="C10" s="331" t="n">
        <v>1</v>
      </c>
      <c r="D10" s="331" t="inlineStr">
        <is>
          <t>Call SetJoiningProcessSize with a ProductInstanceUri that is not exposed by the Server; all other arguments valid.</t>
        </is>
      </c>
      <c r="E10" s="331" t="inlineStr">
        <is>
          <t>The SetJoiningProcessSize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7.7 Table 116; Section 7.4 status</t>
        </is>
      </c>
      <c r="K10" s="332" t="n"/>
      <c r="L10" s="25" t="n"/>
      <c r="M10" s="26" t="n"/>
      <c r="N10" s="26" t="n"/>
    </row>
    <row r="11" ht="49" customHeight="1" s="173">
      <c r="A11" s="372" t="inlineStr">
        <is>
          <t>y</t>
        </is>
      </c>
      <c r="B11" s="373" t="n">
        <v>4</v>
      </c>
      <c r="C11" s="374" t="n">
        <v>0</v>
      </c>
      <c r="D11" s="374" t="inlineStr">
        <is>
          <t>Verify SetJoiningProcessSize rejects an unknown JoiningProcessId</t>
        </is>
      </c>
      <c r="E11" s="374" t="n"/>
      <c r="F11" s="374" t="n"/>
      <c r="G11" s="374" t="n"/>
      <c r="H11" s="374" t="n"/>
      <c r="I11" s="374" t="inlineStr">
        <is>
          <t>n</t>
        </is>
      </c>
      <c r="J11" s="374" t="inlineStr">
        <is>
          <t>OPC 40450-1 Section 7.7 Table 116; Section 7.4 status</t>
        </is>
      </c>
      <c r="K11" s="375" t="n"/>
      <c r="L11" s="25" t="n"/>
      <c r="M11" s="26" t="n"/>
      <c r="N11" s="26" t="n"/>
    </row>
    <row r="12" ht="64" customHeight="1" s="173">
      <c r="A12" s="329" t="n"/>
      <c r="B12" s="330" t="n"/>
      <c r="C12" s="331" t="n">
        <v>1</v>
      </c>
      <c r="D12" s="331" t="inlineStr">
        <is>
          <t>Call SetJoiningProcessSize with a JoiningProcessId that does not exist on the Server; ProductInstanceUri and all other arguments valid.</t>
        </is>
      </c>
      <c r="E12" s="331" t="inlineStr">
        <is>
          <t>The SetJoiningProcessSize method is exposed.</t>
        </is>
      </c>
      <c r="F12" s="331" t="inlineStr">
        <is>
          <t>The Call Service returns Good (ResponseHeader.ServiceResult = Good); CallMethodResult.StatusCode = Uncertain; Status output = 4 (Input identifier/entity not found) with a StatusMessage.</t>
        </is>
      </c>
      <c r="G12" s="331" t="inlineStr">
        <is>
          <t>Good</t>
        </is>
      </c>
      <c r="H12" s="331" t="inlineStr">
        <is>
          <t>CallMethodResult.StatusCode = Uncertain; Status output = 4</t>
        </is>
      </c>
      <c r="I12" s="331" t="n"/>
      <c r="J12" s="331" t="inlineStr">
        <is>
          <t>OPC 40450-1 Section 7.7 Table 116; Section 7.4 status</t>
        </is>
      </c>
      <c r="K12" s="332" t="n"/>
      <c r="L12" s="25" t="n"/>
      <c r="M12" s="26" t="n"/>
      <c r="N12" s="26" t="n"/>
    </row>
    <row r="13" ht="49" customHeight="1" s="173">
      <c r="A13" s="372" t="inlineStr">
        <is>
          <t>y</t>
        </is>
      </c>
      <c r="B13" s="373" t="n">
        <v>5</v>
      </c>
      <c r="C13" s="374" t="n">
        <v>0</v>
      </c>
      <c r="D13" s="374" t="inlineStr">
        <is>
          <t>Verify SetJoiningProcessSize rejects a present but invalid input value</t>
        </is>
      </c>
      <c r="E13" s="374" t="n"/>
      <c r="F13" s="374" t="n"/>
      <c r="G13" s="374" t="n"/>
      <c r="H13" s="374" t="n"/>
      <c r="I13" s="374" t="inlineStr">
        <is>
          <t>n</t>
        </is>
      </c>
      <c r="J13" s="374" t="inlineStr">
        <is>
          <t>OPC 40450-1 Section 7.7 Table 116; Section 7.4 status</t>
        </is>
      </c>
      <c r="K13" s="375" t="n"/>
      <c r="L13" s="25" t="n"/>
      <c r="M13" s="26" t="n"/>
      <c r="N13" s="26" t="n"/>
    </row>
    <row r="14" ht="64" customHeight="1" s="173">
      <c r="A14" s="329" t="n"/>
      <c r="B14" s="330" t="n"/>
      <c r="C14" s="331" t="n">
        <v>1</v>
      </c>
      <c r="D14" s="331" t="inlineStr">
        <is>
          <t>Call SetJoiningProcessSize with a present and decodable MaxCounterSize value that is invalid for the identified joining process.</t>
        </is>
      </c>
      <c r="E14" s="331" t="inlineStr">
        <is>
          <t>The SetJoiningProcessSize method is exposed.</t>
        </is>
      </c>
      <c r="F14" s="331" t="inlineStr">
        <is>
          <t>The Call Service returns Good (ResponseHeader.ServiceResult = Good); CallMethodResult.StatusCode = Uncertain; Status output = 5 (Invalid input) with a StatusMessage.</t>
        </is>
      </c>
      <c r="G14" s="331" t="inlineStr">
        <is>
          <t>Good</t>
        </is>
      </c>
      <c r="H14" s="331" t="inlineStr">
        <is>
          <t>CallMethodResult.StatusCode = Uncertain; Status output = 5</t>
        </is>
      </c>
      <c r="I14" s="331" t="n"/>
      <c r="J14" s="331" t="inlineStr">
        <is>
          <t>OPC 40450-1 Section 7.7 Table 116; Section 7.4 status</t>
        </is>
      </c>
      <c r="K14" s="332" t="n"/>
      <c r="L14" s="25" t="n"/>
      <c r="M14" s="26" t="n"/>
      <c r="N14" s="26" t="n"/>
    </row>
    <row r="15" ht="49" customHeight="1" s="173">
      <c r="A15" s="372" t="inlineStr">
        <is>
          <t>y</t>
        </is>
      </c>
      <c r="B15" s="373" t="n">
        <v>6</v>
      </c>
      <c r="C15" s="374" t="n">
        <v>0</v>
      </c>
      <c r="D15" s="374" t="inlineStr">
        <is>
          <t>Verify SetJoiningProcessSize rejects a missing mandatory input argument</t>
        </is>
      </c>
      <c r="E15" s="374" t="n"/>
      <c r="F15" s="374" t="n"/>
      <c r="G15" s="374" t="n"/>
      <c r="H15" s="374" t="n"/>
      <c r="I15" s="374" t="inlineStr">
        <is>
          <t>n</t>
        </is>
      </c>
      <c r="J15" s="374" t="inlineStr">
        <is>
          <t>OPC 40450-1 Section 7.7 Table 116; Section 7.4 status</t>
        </is>
      </c>
      <c r="K15" s="375" t="n"/>
      <c r="L15" s="25" t="n"/>
      <c r="M15" s="26" t="n"/>
      <c r="N15" s="26" t="n"/>
    </row>
    <row r="16" ht="64" customHeight="1" s="173">
      <c r="A16" s="329" t="n"/>
      <c r="B16" s="330" t="n"/>
      <c r="C16" s="331" t="n">
        <v>1</v>
      </c>
      <c r="D16" s="331" t="inlineStr">
        <is>
          <t>Invoke SetJoiningProcessSize with one mandatory input argument omitted from the Call request.</t>
        </is>
      </c>
      <c r="E16" s="331" t="inlineStr">
        <is>
          <t>The SetJoiningProcessSize method is exposed and its complete InputArguments signature is known.</t>
        </is>
      </c>
      <c r="F16" s="331" t="inlineStr">
        <is>
          <t>The Call Service returns Good (ResponseHeader.ServiceResult = Good); CallMethodResult.StatusCode = Bad_ArgumentsMissing. OutputArguments is empty, so no Status or StatusMessage output is returned.</t>
        </is>
      </c>
      <c r="G16" s="331" t="inlineStr">
        <is>
          <t>Good</t>
        </is>
      </c>
      <c r="H16" s="331" t="inlineStr">
        <is>
          <t>CallMethodResult.StatusCode = Bad_ArgumentsMissing; no output arguments</t>
        </is>
      </c>
      <c r="I16" s="331" t="n"/>
      <c r="J16" s="331" t="inlineStr">
        <is>
          <t>OPC 40450-1 Section 7.7 Table 116; Section 7.4 status</t>
        </is>
      </c>
      <c r="K16" s="332" t="n"/>
      <c r="L16" s="25" t="n"/>
      <c r="M16" s="26" t="n"/>
      <c r="N16" s="26" t="n"/>
    </row>
    <row r="17" ht="49" customHeight="1" s="173"/>
    <row r="18" ht="64" customHeight="1" s="173"/>
    <row r="19" customFormat="1" s="2"/>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90">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CU-97: IJT Start Joining Process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CU-97 — IJT Start Joining Process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StartJoiningProcess method signature</t>
        </is>
      </c>
      <c r="E4" s="304" t="n"/>
      <c r="F4" s="304" t="n"/>
      <c r="G4" s="304" t="n"/>
      <c r="H4" s="304" t="n"/>
      <c r="I4" s="304" t="inlineStr">
        <is>
          <t>n</t>
        </is>
      </c>
      <c r="J4" s="304" t="inlineStr">
        <is>
          <t>OPC 40450-1 Section 7.7 Table 112; Section 7.4 status</t>
        </is>
      </c>
      <c r="K4" s="305" t="inlineStr">
        <is>
          <t>Pre-requisite: the device is pre-configured with the remote start option.</t>
        </is>
      </c>
      <c r="L4" s="25" t="n"/>
      <c r="M4" s="26" t="n"/>
      <c r="N4" s="26" t="n"/>
    </row>
    <row r="5" ht="79" customHeight="1" s="173">
      <c r="A5" s="329" t="n"/>
      <c r="B5" s="330" t="n"/>
      <c r="C5" s="331" t="n">
        <v>1</v>
      </c>
      <c r="D5" s="331" t="inlineStr">
        <is>
          <t>Browse the asset MethodSet for StartJoiningProcess and read its InputArguments and OutputArguments.</t>
        </is>
      </c>
      <c r="E5" s="331" t="inlineStr">
        <is>
          <t>The Server exposes the StartJoiningProcess method.</t>
        </is>
      </c>
      <c r="F5" s="331" t="inlineStr">
        <is>
          <t>StartJoiningProcess is a Method. InputArguments = ProductInstanceUri (String), JoiningProcessIdentification (JoiningProcessIdentificationDataType), AssociatedEntities (EntityDataType[]). OutputArguments = Status (Int64), StatusMessage (LocalizedText).</t>
        </is>
      </c>
      <c r="G5" s="331" t="inlineStr">
        <is>
          <t>Good</t>
        </is>
      </c>
      <c r="H5" s="331" t="inlineStr">
        <is>
          <t>Good</t>
        </is>
      </c>
      <c r="I5" s="331" t="n"/>
      <c r="J5" s="331" t="inlineStr">
        <is>
          <t>OPC 40450-1 Section 7.7 Table 112; Section 7.4 status</t>
        </is>
      </c>
      <c r="K5" s="332" t="n"/>
      <c r="L5" s="25" t="n"/>
      <c r="M5" s="26" t="n"/>
      <c r="N5" s="26" t="n"/>
    </row>
    <row r="6" ht="49" customHeight="1" s="173">
      <c r="A6" s="302" t="inlineStr">
        <is>
          <t>y</t>
        </is>
      </c>
      <c r="B6" s="303" t="n">
        <v>2</v>
      </c>
      <c r="C6" s="304" t="n">
        <v>0</v>
      </c>
      <c r="D6" s="304" t="inlineStr">
        <is>
          <t>Call StartJoiningProcess and verify the outcome</t>
        </is>
      </c>
      <c r="E6" s="304" t="n"/>
      <c r="F6" s="304" t="n"/>
      <c r="G6" s="304" t="n"/>
      <c r="H6" s="304" t="n"/>
      <c r="I6" s="304" t="inlineStr">
        <is>
          <t>n</t>
        </is>
      </c>
      <c r="J6" s="304" t="inlineStr">
        <is>
          <t>OPC 40450-1 Section 7.7 Table 112; Section 7.4 status</t>
        </is>
      </c>
      <c r="K6" s="305" t="n"/>
      <c r="L6" s="25" t="n"/>
      <c r="M6" s="26" t="n"/>
      <c r="N6" s="26" t="n"/>
    </row>
    <row r="7" ht="49" customHeight="1" s="173">
      <c r="A7" s="329" t="n"/>
      <c r="B7" s="330" t="n"/>
      <c r="C7" s="331" t="n">
        <v>1</v>
      </c>
      <c r="D7" s="331" t="inlineStr">
        <is>
          <t>Call StartJoiningProcess with valid input arguments (a valid ProductInstanceUri of an asset exposed by the Server).</t>
        </is>
      </c>
      <c r="E7" s="331" t="inlineStr">
        <is>
          <t>The StartJoiningProcess method is callable.</t>
        </is>
      </c>
      <c r="F7" s="331" t="inlineStr">
        <is>
          <t>The Call Service returns Good; Status = 0 (OK) with a StatusMessage. The identified joining process is started.</t>
        </is>
      </c>
      <c r="G7" s="331" t="inlineStr">
        <is>
          <t>Good</t>
        </is>
      </c>
      <c r="H7" s="331" t="inlineStr">
        <is>
          <t>Status = 0 (OK)</t>
        </is>
      </c>
      <c r="I7" s="331" t="n"/>
      <c r="J7" s="331" t="inlineStr">
        <is>
          <t>OPC 40450-1 Section 7.7 Table 112;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StartJoiningProcess rejects an invalid ProductInstanceUri</t>
        </is>
      </c>
      <c r="E9" s="374" t="n"/>
      <c r="F9" s="374" t="n"/>
      <c r="G9" s="374" t="n"/>
      <c r="H9" s="374" t="n"/>
      <c r="I9" s="374" t="inlineStr">
        <is>
          <t>n</t>
        </is>
      </c>
      <c r="J9" s="374" t="inlineStr">
        <is>
          <t>OPC 40450-1 Section 7.7 Table 112; Section 7.4 status</t>
        </is>
      </c>
      <c r="K9" s="375" t="n"/>
      <c r="L9" s="25" t="n"/>
      <c r="M9" s="26" t="n"/>
      <c r="N9" s="26" t="n"/>
    </row>
    <row r="10" ht="64" customHeight="1" s="173">
      <c r="A10" s="329" t="n"/>
      <c r="B10" s="330" t="n"/>
      <c r="C10" s="331" t="n">
        <v>1</v>
      </c>
      <c r="D10" s="331" t="inlineStr">
        <is>
          <t>Call StartJoiningProcess with a ProductInstanceUri that is not exposed by the Server; all other arguments valid.</t>
        </is>
      </c>
      <c r="E10" s="331" t="inlineStr">
        <is>
          <t>The StartJoiningProcess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7.7 Table 112; Section 7.4 status</t>
        </is>
      </c>
      <c r="K10" s="332" t="n"/>
      <c r="L10" s="25" t="n"/>
      <c r="M10" s="26" t="n"/>
      <c r="N10" s="26" t="n"/>
    </row>
    <row r="11" ht="49" customHeight="1" s="173">
      <c r="A11" s="372" t="inlineStr">
        <is>
          <t>y</t>
        </is>
      </c>
      <c r="B11" s="373" t="n">
        <v>4</v>
      </c>
      <c r="C11" s="374" t="n">
        <v>0</v>
      </c>
      <c r="D11" s="374" t="inlineStr">
        <is>
          <t>Verify StartJoiningProcess rejects an unknown JoiningProcessId</t>
        </is>
      </c>
      <c r="E11" s="374" t="n"/>
      <c r="F11" s="374" t="n"/>
      <c r="G11" s="374" t="n"/>
      <c r="H11" s="374" t="n"/>
      <c r="I11" s="374" t="inlineStr">
        <is>
          <t>n</t>
        </is>
      </c>
      <c r="J11" s="374" t="inlineStr">
        <is>
          <t>OPC 40450-1 Section 7.7 Table 112; Section 7.4 status</t>
        </is>
      </c>
      <c r="K11" s="375" t="n"/>
      <c r="L11" s="25" t="n"/>
      <c r="M11" s="26" t="n"/>
      <c r="N11" s="26" t="n"/>
    </row>
    <row r="12" ht="64" customHeight="1" s="173">
      <c r="A12" s="329" t="n"/>
      <c r="B12" s="330" t="n"/>
      <c r="C12" s="331" t="n">
        <v>1</v>
      </c>
      <c r="D12" s="331" t="inlineStr">
        <is>
          <t>Call StartJoiningProcess with a JoiningProcessId that does not exist on the Server; ProductInstanceUri and all other arguments valid.</t>
        </is>
      </c>
      <c r="E12" s="331" t="inlineStr">
        <is>
          <t>The StartJoiningProcess method is exposed.</t>
        </is>
      </c>
      <c r="F12" s="331" t="inlineStr">
        <is>
          <t>The Call Service returns Good (ResponseHeader.ServiceResult = Good); CallMethodResult.StatusCode = Uncertain; Status output = 4 (Input identifier/entity not found) with a StatusMessage.</t>
        </is>
      </c>
      <c r="G12" s="331" t="inlineStr">
        <is>
          <t>Good</t>
        </is>
      </c>
      <c r="H12" s="331" t="inlineStr">
        <is>
          <t>CallMethodResult.StatusCode = Uncertain; Status output = 4</t>
        </is>
      </c>
      <c r="I12" s="331" t="n"/>
      <c r="J12" s="331" t="inlineStr">
        <is>
          <t>OPC 40450-1 Section 7.7 Table 112; Section 7.4 status</t>
        </is>
      </c>
      <c r="K12" s="332" t="n"/>
      <c r="L12" s="25" t="n"/>
      <c r="M12" s="26" t="n"/>
      <c r="N12" s="26" t="n"/>
    </row>
    <row r="13" ht="49" customHeight="1" s="173"/>
    <row r="14" ht="64" customHeight="1" s="173"/>
    <row r="15" ht="34" customHeight="1" s="173"/>
    <row r="16" ht="64" customHeight="1" s="173"/>
    <row r="17" ht="34" customHeight="1" s="173"/>
    <row r="18" ht="90" customHeight="1" s="173"/>
    <row r="19" customFormat="1" s="2"/>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91">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CU-98: IJT Delete Joining Process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CU-98 — IJT Delete Joining Process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DeleteJoiningProcess method signature</t>
        </is>
      </c>
      <c r="E4" s="304" t="n"/>
      <c r="F4" s="304" t="n"/>
      <c r="G4" s="304" t="n"/>
      <c r="H4" s="304" t="n"/>
      <c r="I4" s="304" t="inlineStr">
        <is>
          <t>n</t>
        </is>
      </c>
      <c r="J4" s="304" t="inlineStr">
        <is>
          <t>OPC 40450-1 Section 7.7 Table 128; Section 7.4 status</t>
        </is>
      </c>
      <c r="K4" s="305" t="inlineStr"/>
      <c r="L4" s="25" t="n"/>
      <c r="M4" s="26" t="n"/>
      <c r="N4" s="26" t="n"/>
    </row>
    <row r="5" ht="79" customHeight="1" s="173">
      <c r="A5" s="329" t="n"/>
      <c r="B5" s="330" t="n"/>
      <c r="C5" s="331" t="n">
        <v>1</v>
      </c>
      <c r="D5" s="331" t="inlineStr">
        <is>
          <t>Browse the asset MethodSet for DeleteJoiningProcess and read its InputArguments and OutputArguments.</t>
        </is>
      </c>
      <c r="E5" s="331" t="inlineStr">
        <is>
          <t>The Server exposes the DeleteJoiningProcess method.</t>
        </is>
      </c>
      <c r="F5" s="331" t="inlineStr">
        <is>
          <t>DeleteJoiningProcess is a Method. InputArguments = ProductInstanceUri (String), JoiningProcessIdentification (JoiningProcessIdentificationDataType). OutputArguments = Status (Int64), StatusMessage (LocalizedText).</t>
        </is>
      </c>
      <c r="G5" s="331" t="inlineStr">
        <is>
          <t>Good</t>
        </is>
      </c>
      <c r="H5" s="331" t="inlineStr">
        <is>
          <t>Good</t>
        </is>
      </c>
      <c r="I5" s="331" t="n"/>
      <c r="J5" s="331" t="inlineStr">
        <is>
          <t>OPC 40450-1 Section 7.7 Table 128; Section 7.4 status</t>
        </is>
      </c>
      <c r="K5" s="332" t="n"/>
      <c r="L5" s="25" t="n"/>
      <c r="M5" s="26" t="n"/>
      <c r="N5" s="26" t="n"/>
    </row>
    <row r="6" ht="49" customHeight="1" s="173">
      <c r="A6" s="302" t="inlineStr">
        <is>
          <t>y</t>
        </is>
      </c>
      <c r="B6" s="303" t="n">
        <v>2</v>
      </c>
      <c r="C6" s="304" t="n">
        <v>0</v>
      </c>
      <c r="D6" s="304" t="inlineStr">
        <is>
          <t>Call DeleteJoiningProcess and verify the outcome</t>
        </is>
      </c>
      <c r="E6" s="304" t="n"/>
      <c r="F6" s="304" t="n"/>
      <c r="G6" s="304" t="n"/>
      <c r="H6" s="304" t="n"/>
      <c r="I6" s="304" t="inlineStr">
        <is>
          <t>n</t>
        </is>
      </c>
      <c r="J6" s="304" t="inlineStr">
        <is>
          <t>OPC 40450-1 Section 7.7 Table 128; Section 7.4 status</t>
        </is>
      </c>
      <c r="K6" s="305" t="n"/>
      <c r="L6" s="25" t="n"/>
      <c r="M6" s="26" t="n"/>
      <c r="N6" s="26" t="n"/>
    </row>
    <row r="7" ht="49" customHeight="1" s="173">
      <c r="A7" s="329" t="n"/>
      <c r="B7" s="330" t="n"/>
      <c r="C7" s="331" t="n">
        <v>1</v>
      </c>
      <c r="D7" s="331" t="inlineStr">
        <is>
          <t>Call DeleteJoiningProcess with valid input arguments (a valid ProductInstanceUri of an asset exposed by the Server).</t>
        </is>
      </c>
      <c r="E7" s="331" t="inlineStr">
        <is>
          <t>The DeleteJoiningProcess method is callable.</t>
        </is>
      </c>
      <c r="F7" s="331" t="inlineStr">
        <is>
          <t>The Call Service returns Good; Status = 0 (OK) with a StatusMessage. The identified joining process is deleted.</t>
        </is>
      </c>
      <c r="G7" s="331" t="inlineStr">
        <is>
          <t>Good</t>
        </is>
      </c>
      <c r="H7" s="331" t="inlineStr">
        <is>
          <t>Status = 0 (OK)</t>
        </is>
      </c>
      <c r="I7" s="331" t="n"/>
      <c r="J7" s="331" t="inlineStr">
        <is>
          <t>OPC 40450-1 Section 7.7 Table 128;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DeleteJoiningProcess rejects an invalid ProductInstanceUri</t>
        </is>
      </c>
      <c r="E9" s="374" t="n"/>
      <c r="F9" s="374" t="n"/>
      <c r="G9" s="374" t="n"/>
      <c r="H9" s="374" t="n"/>
      <c r="I9" s="374" t="inlineStr">
        <is>
          <t>n</t>
        </is>
      </c>
      <c r="J9" s="374" t="inlineStr">
        <is>
          <t>OPC 40450-1 Section 7.7 Table 128; Section 7.4 status</t>
        </is>
      </c>
      <c r="K9" s="375" t="n"/>
      <c r="L9" s="25" t="n"/>
      <c r="M9" s="26" t="n"/>
      <c r="N9" s="26" t="n"/>
    </row>
    <row r="10" ht="64" customHeight="1" s="173">
      <c r="A10" s="329" t="n"/>
      <c r="B10" s="330" t="n"/>
      <c r="C10" s="331" t="n">
        <v>1</v>
      </c>
      <c r="D10" s="331" t="inlineStr">
        <is>
          <t>Call DeleteJoiningProcess with a ProductInstanceUri that is not exposed by the Server; all other arguments valid.</t>
        </is>
      </c>
      <c r="E10" s="331" t="inlineStr">
        <is>
          <t>The DeleteJoiningProcess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7.7 Table 128; Section 7.4 status</t>
        </is>
      </c>
      <c r="K10" s="332" t="n"/>
      <c r="L10" s="25" t="n"/>
      <c r="M10" s="26" t="n"/>
      <c r="N10" s="26" t="n"/>
    </row>
    <row r="11" ht="49" customHeight="1" s="173">
      <c r="A11" s="372" t="inlineStr">
        <is>
          <t>y</t>
        </is>
      </c>
      <c r="B11" s="373" t="n">
        <v>4</v>
      </c>
      <c r="C11" s="374" t="n">
        <v>0</v>
      </c>
      <c r="D11" s="374" t="inlineStr">
        <is>
          <t>Verify DeleteJoiningProcess rejects an unknown JoiningProcessId</t>
        </is>
      </c>
      <c r="E11" s="374" t="n"/>
      <c r="F11" s="374" t="n"/>
      <c r="G11" s="374" t="n"/>
      <c r="H11" s="374" t="n"/>
      <c r="I11" s="374" t="inlineStr">
        <is>
          <t>n</t>
        </is>
      </c>
      <c r="J11" s="374" t="inlineStr">
        <is>
          <t>OPC 40450-1 Section 7.7 Table 128; Section 7.4 status</t>
        </is>
      </c>
      <c r="K11" s="375" t="n"/>
      <c r="L11" s="25" t="n"/>
      <c r="M11" s="26" t="n"/>
      <c r="N11" s="26" t="n"/>
    </row>
    <row r="12" ht="64" customHeight="1" s="173">
      <c r="A12" s="329" t="n"/>
      <c r="B12" s="330" t="n"/>
      <c r="C12" s="331" t="n">
        <v>1</v>
      </c>
      <c r="D12" s="331" t="inlineStr">
        <is>
          <t>Call DeleteJoiningProcess with a JoiningProcessId that does not exist on the Server; ProductInstanceUri and all other arguments valid.</t>
        </is>
      </c>
      <c r="E12" s="331" t="inlineStr">
        <is>
          <t>The DeleteJoiningProcess method is exposed.</t>
        </is>
      </c>
      <c r="F12" s="331" t="inlineStr">
        <is>
          <t>The Call Service returns Good (ResponseHeader.ServiceResult = Good); CallMethodResult.StatusCode = Uncertain; Status output = 4 (Input identifier/entity not found) with a StatusMessage.</t>
        </is>
      </c>
      <c r="G12" s="331" t="inlineStr">
        <is>
          <t>Good</t>
        </is>
      </c>
      <c r="H12" s="331" t="inlineStr">
        <is>
          <t>CallMethodResult.StatusCode = Uncertain; Status output = 4</t>
        </is>
      </c>
      <c r="I12" s="331" t="n"/>
      <c r="J12" s="331" t="inlineStr">
        <is>
          <t>OPC 40450-1 Section 7.7 Table 128; Section 7.4 status</t>
        </is>
      </c>
      <c r="K12" s="332" t="n"/>
      <c r="L12" s="25" t="n"/>
      <c r="M12" s="26" t="n"/>
      <c r="N12" s="26" t="n"/>
    </row>
    <row r="13" ht="49" customHeight="1" s="173"/>
    <row r="14" ht="64" customHeight="1" s="173"/>
    <row r="15" ht="26.1" customHeight="1" s="173"/>
    <row r="16" ht="38.7" customHeight="1" s="173"/>
    <row r="18" ht="51.6" customHeight="1" s="173"/>
    <row r="19" customFormat="1" s="2"/>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92">
    <tabColor rgb="FF2E75B6"/>
    <outlinePr summaryBelow="1" summaryRight="1"/>
    <pageSetUpPr/>
  </sheetPr>
  <dimension ref="A1:N1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CU-99: IJT Get Selected Joining Program</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CU-99 — IJT Get Selected Joining Program</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GetSelectedJoiningProgram method signature</t>
        </is>
      </c>
      <c r="E4" s="304" t="n"/>
      <c r="F4" s="304" t="n"/>
      <c r="G4" s="304" t="n"/>
      <c r="H4" s="304" t="n"/>
      <c r="I4" s="304" t="inlineStr">
        <is>
          <t>n</t>
        </is>
      </c>
      <c r="J4" s="304" t="inlineStr">
        <is>
          <t>OPC 40450-1 Section 7.7.18 Table 130; Table 246 (JoiningProcessMetaDataType)</t>
        </is>
      </c>
      <c r="K4" s="305" t="n"/>
      <c r="L4" s="25" t="n"/>
      <c r="M4" s="26" t="n"/>
      <c r="N4" s="26" t="n"/>
    </row>
    <row r="5" ht="64" customHeight="1" s="173">
      <c r="A5" s="329" t="n"/>
      <c r="B5" s="330" t="n"/>
      <c r="C5" s="331" t="n">
        <v>1</v>
      </c>
      <c r="D5" s="331" t="inlineStr">
        <is>
          <t>Browse JoiningProcessManagementType for GetSelectedJoiningProgram and read its InputArguments and OutputArguments.</t>
        </is>
      </c>
      <c r="E5" s="331" t="inlineStr">
        <is>
          <t>The Server exposes the GetSelectedJoiningProgram method.</t>
        </is>
      </c>
      <c r="F5" s="331" t="inlineStr">
        <is>
          <t>GetSelectedJoiningProgram is a Method. InputArguments = ProductInstanceUri (String). OutputArguments = SelectedJoiningProgram (JoiningProcessMetaDataType), Status (Int64), StatusMessage (LocalizedText).</t>
        </is>
      </c>
      <c r="G5" s="331" t="inlineStr">
        <is>
          <t>Good</t>
        </is>
      </c>
      <c r="H5" s="331" t="inlineStr">
        <is>
          <t>Good</t>
        </is>
      </c>
      <c r="I5" s="331" t="n"/>
      <c r="J5" s="331" t="inlineStr">
        <is>
          <t>OPC 40450-1 Section 7.7.18 Table 130; Table 246 (JoiningProcessMetaDataType)</t>
        </is>
      </c>
      <c r="K5" s="332" t="n"/>
      <c r="L5" s="25" t="n"/>
      <c r="M5" s="26" t="n"/>
      <c r="N5" s="26" t="n"/>
    </row>
    <row r="6" ht="60" customHeight="1" s="173">
      <c r="A6" s="302" t="inlineStr">
        <is>
          <t>y</t>
        </is>
      </c>
      <c r="B6" s="303" t="n">
        <v>2</v>
      </c>
      <c r="C6" s="304" t="n">
        <v>0</v>
      </c>
      <c r="D6" s="304" t="inlineStr">
        <is>
          <t>Call GetSelectedJoiningProgram and verify the returned meta data</t>
        </is>
      </c>
      <c r="E6" s="304" t="n"/>
      <c r="F6" s="304" t="n"/>
      <c r="G6" s="304" t="n"/>
      <c r="H6" s="304" t="n"/>
      <c r="I6" s="304" t="inlineStr">
        <is>
          <t>n</t>
        </is>
      </c>
      <c r="J6" s="304" t="inlineStr">
        <is>
          <t>OPC 40450-1 Section 7.7.18 Table 130; Table 246 (JoiningProcessMetaDataType)</t>
        </is>
      </c>
      <c r="K6" s="305" t="n"/>
      <c r="L6" s="25" t="n"/>
      <c r="M6" s="26" t="n"/>
      <c r="N6" s="26" t="n"/>
    </row>
    <row r="7" ht="79" customHeight="1" s="173">
      <c r="A7" s="329" t="n"/>
      <c r="B7" s="330" t="n"/>
      <c r="C7" s="331" t="n">
        <v>1</v>
      </c>
      <c r="D7" s="331" t="inlineStr">
        <is>
          <t>Select a joining process, then call GetSelectedJoiningProgram and inspect the returned SelectedJoiningProgram.</t>
        </is>
      </c>
      <c r="E7" s="331" t="inlineStr">
        <is>
          <t>A joining process is selected and GetSelectedJoiningProgram is callable.</t>
        </is>
      </c>
      <c r="F7" s="331" t="inlineStr">
        <is>
          <t>The Call Service returns Good; Status = 0 (OK). SelectedJoiningProgram is a JoiningProcessMetaDataType containing at least JoiningProcessId, CreationTime, LastUpdatedTime, Name, JoiningTechnology, Classification (Int16).</t>
        </is>
      </c>
      <c r="G7" s="331" t="inlineStr">
        <is>
          <t>Good</t>
        </is>
      </c>
      <c r="H7" s="331" t="inlineStr">
        <is>
          <t>Status = 0 (OK)</t>
        </is>
      </c>
      <c r="I7" s="331" t="n"/>
      <c r="J7" s="331" t="inlineStr">
        <is>
          <t>OPC 40450-1 Section 7.7.18 Table 130; Table 246 (JoiningProcessMetaDataType)</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60" customHeight="1" s="173">
      <c r="A9" s="372" t="inlineStr">
        <is>
          <t>y</t>
        </is>
      </c>
      <c r="B9" s="373" t="n">
        <v>3</v>
      </c>
      <c r="C9" s="374" t="n">
        <v>0</v>
      </c>
      <c r="D9" s="374" t="inlineStr">
        <is>
          <t>Verify GetSelectedJoiningProgram rejects an invalid ProductInstanceUri</t>
        </is>
      </c>
      <c r="E9" s="374" t="n"/>
      <c r="F9" s="374" t="n"/>
      <c r="G9" s="374" t="n"/>
      <c r="H9" s="374" t="n"/>
      <c r="I9" s="374" t="inlineStr">
        <is>
          <t>n</t>
        </is>
      </c>
      <c r="J9" s="374" t="inlineStr">
        <is>
          <t>OPC 40450-1 Section 7.7.18 Table 130; Table 246 (JoiningProcessMetaDataType)</t>
        </is>
      </c>
      <c r="K9" s="375" t="n"/>
      <c r="L9" s="25" t="n"/>
      <c r="M9" s="26" t="n"/>
      <c r="N9" s="26" t="n"/>
    </row>
    <row r="10" ht="64" customHeight="1" s="173">
      <c r="A10" s="329" t="n"/>
      <c r="B10" s="330" t="n"/>
      <c r="C10" s="331" t="n">
        <v>1</v>
      </c>
      <c r="D10" s="331" t="inlineStr">
        <is>
          <t>Call GetSelectedJoiningProgram with a ProductInstanceUri that is not exposed by the Server; all other arguments valid.</t>
        </is>
      </c>
      <c r="E10" s="331" t="inlineStr">
        <is>
          <t>The GetSelectedJoiningProgram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7.7.18 Table 130; Table 246 (JoiningProcessMetaDataType)</t>
        </is>
      </c>
      <c r="K10" s="332" t="n"/>
      <c r="L10" s="25" t="n"/>
      <c r="M10" s="26" t="n"/>
      <c r="N10" s="26" t="n"/>
    </row>
    <row r="11" ht="60" customHeight="1" s="173"/>
    <row r="12" ht="64" customHeight="1" s="173"/>
    <row r="13" ht="34" customHeight="1" s="173"/>
    <row r="14" ht="90" customHeight="1" s="173"/>
    <row r="15" ht="34" customHeight="1" s="173"/>
    <row r="16" ht="79" customHeight="1" s="173"/>
    <row r="17" ht="34" customFormat="1" customHeight="1" s="2"/>
    <row r="18" ht="64" customHeight="1" s="173"/>
    <row r="19" ht="34" customHeight="1" s="173"/>
    <row r="20" ht="49" customHeight="1" s="173"/>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tabColor rgb="FF2E75B6"/>
    <outlinePr summaryBelow="1" summaryRight="1"/>
    <pageSetUpPr/>
  </sheetPr>
  <dimension ref="A1:K14"/>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CU-100: IJT Send Joining Process</t>
        </is>
      </c>
    </row>
    <row r="2" ht="22" customHeight="1" s="173">
      <c r="A2" s="340">
        <f>HYPERLINK("#'Home'!A1","⌂ Home")</f>
        <v/>
      </c>
      <c r="C2" s="341" t="inlineStr">
        <is>
          <t>CU-100 — IJT Send Joining Process</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SendJoiningProcess method signature</t>
        </is>
      </c>
      <c r="E4" s="313" t="n"/>
      <c r="F4" s="313" t="n"/>
      <c r="G4" s="313" t="n"/>
      <c r="H4" s="313" t="n"/>
      <c r="I4" s="313" t="inlineStr">
        <is>
          <t>n</t>
        </is>
      </c>
      <c r="J4" s="313" t="inlineStr">
        <is>
          <t>OPC 40450-1 Section 7.7 Table 98; Section 7.4 status</t>
        </is>
      </c>
      <c r="K4" s="313" t="inlineStr"/>
    </row>
    <row r="5" ht="79" customHeight="1" s="173">
      <c r="A5" s="307" t="n"/>
      <c r="B5" s="307" t="n"/>
      <c r="C5" s="307" t="n">
        <v>1</v>
      </c>
      <c r="D5" s="307" t="inlineStr">
        <is>
          <t>Browse the asset MethodSet for SendJoiningProcess and read its InputArguments and OutputArguments.</t>
        </is>
      </c>
      <c r="E5" s="307" t="inlineStr">
        <is>
          <t>The Server exposes the SendJoiningProcess method.</t>
        </is>
      </c>
      <c r="F5" s="307" t="inlineStr">
        <is>
          <t>SendJoiningProcess is a Method. InputArguments = ProductInstanceUri (String), JoiningProcess (JoiningProcessDataType), SelectionName (TrimmedString). OutputArguments = Status (Int64), StatusMessage (LocalizedText).</t>
        </is>
      </c>
      <c r="G5" s="307" t="inlineStr">
        <is>
          <t>Good</t>
        </is>
      </c>
      <c r="H5" s="307" t="inlineStr">
        <is>
          <t>Good</t>
        </is>
      </c>
      <c r="I5" s="307" t="n"/>
      <c r="J5" s="307" t="inlineStr">
        <is>
          <t>OPC 40450-1 Section 7.7 Table 98; Section 7.4 status</t>
        </is>
      </c>
      <c r="K5" s="307" t="n"/>
    </row>
    <row r="6" ht="49" customHeight="1" s="173">
      <c r="A6" s="313" t="inlineStr">
        <is>
          <t>y</t>
        </is>
      </c>
      <c r="B6" s="313" t="n">
        <v>2</v>
      </c>
      <c r="C6" s="313" t="n">
        <v>0</v>
      </c>
      <c r="D6" s="313" t="inlineStr">
        <is>
          <t>Call SendJoiningProcess and verify the outcome</t>
        </is>
      </c>
      <c r="E6" s="313" t="n"/>
      <c r="F6" s="313" t="n"/>
      <c r="G6" s="313" t="n"/>
      <c r="H6" s="313" t="n"/>
      <c r="I6" s="313" t="inlineStr">
        <is>
          <t>n</t>
        </is>
      </c>
      <c r="J6" s="313" t="inlineStr">
        <is>
          <t>OPC 40450-1 Section 7.7 Table 98; Section 7.4 status</t>
        </is>
      </c>
      <c r="K6" s="313" t="n"/>
    </row>
    <row r="7" ht="49" customHeight="1" s="173">
      <c r="A7" s="307" t="n"/>
      <c r="B7" s="307" t="n"/>
      <c r="C7" s="307" t="n">
        <v>1</v>
      </c>
      <c r="D7" s="307" t="inlineStr">
        <is>
          <t>Call SendJoiningProcess with valid input arguments (a valid ProductInstanceUri of an asset exposed by the Server).</t>
        </is>
      </c>
      <c r="E7" s="307" t="inlineStr">
        <is>
          <t>The SendJoiningProcess method is callable.</t>
        </is>
      </c>
      <c r="F7" s="307" t="inlineStr">
        <is>
          <t>The Call Service returns Good; Status = 0 (OK) with a StatusMessage. The joining process content is stored in the system under the given SelectionName.</t>
        </is>
      </c>
      <c r="G7" s="307" t="inlineStr">
        <is>
          <t>Good</t>
        </is>
      </c>
      <c r="H7" s="307" t="inlineStr">
        <is>
          <t>Status = 0 (OK)</t>
        </is>
      </c>
      <c r="I7" s="307" t="n"/>
      <c r="J7" s="307" t="inlineStr">
        <is>
          <t>OPC 40450-1 Section 7.7 Table 98;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y</t>
        </is>
      </c>
      <c r="B9" s="366" t="n">
        <v>3</v>
      </c>
      <c r="C9" s="366" t="n">
        <v>0</v>
      </c>
      <c r="D9" s="366" t="inlineStr">
        <is>
          <t>Verify SendJoiningProcess rejects an invalid ProductInstanceUri</t>
        </is>
      </c>
      <c r="E9" s="366" t="n"/>
      <c r="F9" s="366" t="n"/>
      <c r="G9" s="366" t="n"/>
      <c r="H9" s="366" t="n"/>
      <c r="I9" s="366" t="inlineStr">
        <is>
          <t>n</t>
        </is>
      </c>
      <c r="J9" s="366" t="inlineStr">
        <is>
          <t>OPC 40450-1 Section 7.7 Table 98; Section 7.4 status</t>
        </is>
      </c>
      <c r="K9" s="366" t="n"/>
    </row>
    <row r="10" ht="64" customHeight="1" s="173">
      <c r="A10" s="307" t="n"/>
      <c r="B10" s="307" t="n"/>
      <c r="C10" s="307" t="n">
        <v>1</v>
      </c>
      <c r="D10" s="307" t="inlineStr">
        <is>
          <t>Call SendJoiningProcess with a ProductInstanceUri that is not exposed by the Server; all other arguments valid.</t>
        </is>
      </c>
      <c r="E10" s="307" t="inlineStr">
        <is>
          <t>The SendJoiningProcess method is exposed.</t>
        </is>
      </c>
      <c r="F10" s="307" t="inlineStr">
        <is>
          <t>The Call Service returns Good (ResponseHeader.ServiceResult = Good); CallMethodResult.StatusCode = Uncertain; Status output = 2 (ProductInstanceUri not found) with a StatusMessage.</t>
        </is>
      </c>
      <c r="G10" s="307" t="inlineStr">
        <is>
          <t>Good</t>
        </is>
      </c>
      <c r="H10" s="307" t="inlineStr">
        <is>
          <t>CallMethodResult.StatusCode = Uncertain; Status output = 2</t>
        </is>
      </c>
      <c r="I10" s="307" t="n"/>
      <c r="J10" s="307" t="inlineStr">
        <is>
          <t>OPC 40450-1 Section 7.7 Table 98; Section 7.4 status</t>
        </is>
      </c>
      <c r="K10" s="307" t="n"/>
    </row>
    <row r="11" ht="49" customHeight="1" s="173">
      <c r="A11" s="366" t="inlineStr">
        <is>
          <t>y</t>
        </is>
      </c>
      <c r="B11" s="366" t="n">
        <v>4</v>
      </c>
      <c r="C11" s="366" t="n">
        <v>0</v>
      </c>
      <c r="D11" s="366" t="inlineStr">
        <is>
          <t>Verify SendJoiningProcess rejects a present but invalid input value</t>
        </is>
      </c>
      <c r="E11" s="366" t="n"/>
      <c r="F11" s="366" t="n"/>
      <c r="G11" s="366" t="n"/>
      <c r="H11" s="366" t="n"/>
      <c r="I11" s="366" t="inlineStr">
        <is>
          <t>n</t>
        </is>
      </c>
      <c r="J11" s="366" t="inlineStr">
        <is>
          <t>OPC 40450-1 Section 7.7 Table 98; Section 7.4 status</t>
        </is>
      </c>
      <c r="K11" s="366" t="n"/>
    </row>
    <row r="12" ht="64" customHeight="1" s="173">
      <c r="A12" s="307" t="n"/>
      <c r="B12" s="307" t="n"/>
      <c r="C12" s="307" t="n">
        <v>1</v>
      </c>
      <c r="D12" s="307" t="inlineStr">
        <is>
          <t>Call SendJoiningProcess with a decodable JoiningProcessDataType whose mandatory JoiningProcessId is empty.</t>
        </is>
      </c>
      <c r="E12" s="307" t="inlineStr">
        <is>
          <t>The SendJoiningProcess method is exposed.</t>
        </is>
      </c>
      <c r="F12" s="307" t="inlineStr">
        <is>
          <t>The Call Service returns Good (ResponseHeader.ServiceResult = Good); CallMethodResult.StatusCode = Uncertain; Status output = 5 (Invalid input) with a StatusMessage.</t>
        </is>
      </c>
      <c r="G12" s="307" t="inlineStr">
        <is>
          <t>Good</t>
        </is>
      </c>
      <c r="H12" s="307" t="inlineStr">
        <is>
          <t>CallMethodResult.StatusCode = Uncertain; Status output = 5</t>
        </is>
      </c>
      <c r="I12" s="307" t="n"/>
      <c r="J12" s="307" t="inlineStr">
        <is>
          <t>OPC 40450-1 Section 7.7 Table 98; Section 7.4 status</t>
        </is>
      </c>
      <c r="K12" s="307" t="n"/>
    </row>
    <row r="13" ht="49" customHeight="1" s="173">
      <c r="A13" s="366" t="inlineStr">
        <is>
          <t>y</t>
        </is>
      </c>
      <c r="B13" s="366" t="n">
        <v>5</v>
      </c>
      <c r="C13" s="366" t="n">
        <v>0</v>
      </c>
      <c r="D13" s="366" t="inlineStr">
        <is>
          <t>Verify SendJoiningProcess rejects a missing mandatory input argument</t>
        </is>
      </c>
      <c r="E13" s="366" t="n"/>
      <c r="F13" s="366" t="n"/>
      <c r="G13" s="366" t="n"/>
      <c r="H13" s="366" t="n"/>
      <c r="I13" s="366" t="inlineStr">
        <is>
          <t>n</t>
        </is>
      </c>
      <c r="J13" s="366" t="inlineStr">
        <is>
          <t>OPC 40450-1 Section 7.7 Table 98; Section 7.4 status</t>
        </is>
      </c>
      <c r="K13" s="366" t="n"/>
    </row>
    <row r="14" ht="64" customHeight="1" s="173">
      <c r="A14" s="307" t="n"/>
      <c r="B14" s="307" t="n"/>
      <c r="C14" s="307" t="n">
        <v>1</v>
      </c>
      <c r="D14" s="307" t="inlineStr">
        <is>
          <t>Invoke SendJoiningProcess with one mandatory input argument omitted from the Call request.</t>
        </is>
      </c>
      <c r="E14" s="307" t="inlineStr">
        <is>
          <t>The SendJoiningProcess method is exposed and its complete InputArguments signature is known.</t>
        </is>
      </c>
      <c r="F14" s="307" t="inlineStr">
        <is>
          <t>The Call Service returns Good (ResponseHeader.ServiceResult = Good); CallMethodResult.StatusCode = Bad_ArgumentsMissing. OutputArguments is empty, so no Status or StatusMessage output is returned.</t>
        </is>
      </c>
      <c r="G14" s="307" t="inlineStr">
        <is>
          <t>Good</t>
        </is>
      </c>
      <c r="H14" s="307" t="inlineStr">
        <is>
          <t>CallMethodResult.StatusCode = Bad_ArgumentsMissing; no output arguments</t>
        </is>
      </c>
      <c r="I14" s="307" t="n"/>
      <c r="J14" s="307" t="inlineStr">
        <is>
          <t>OPC 40450-1 Section 7.7 Table 98; Section 7.4 status</t>
        </is>
      </c>
      <c r="K14" s="307" t="n"/>
    </row>
    <row r="15" ht="49" customHeight="1" s="173"/>
    <row r="16" ht="64" customHeight="1" s="173"/>
    <row r="17" ht="34" customHeight="1" s="173"/>
    <row r="18" ht="64" customHeight="1" s="173"/>
    <row r="19" ht="60" customHeight="1" s="173"/>
    <row r="20" ht="34" customHeight="1" s="173"/>
  </sheetData>
  <mergeCells count="2">
    <mergeCell ref="A1:K1"/>
    <mergeCell ref="C2:J2"/>
  </mergeCells>
  <pageMargins left="0.75" right="0.75" top="1" bottom="1" header="0.5" footer="0.5"/>
</worksheet>
</file>

<file path=xl/worksheets/sheet104.xml><?xml version="1.0" encoding="utf-8"?>
<worksheet xmlns="http://schemas.openxmlformats.org/spreadsheetml/2006/main">
  <sheetPr>
    <tabColor rgb="FF2E75B6"/>
    <outlinePr summaryBelow="1" summaryRight="1"/>
    <pageSetUpPr/>
  </sheetPr>
  <dimension ref="A1:K10"/>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CU-101: IJT Get Joining Process</t>
        </is>
      </c>
    </row>
    <row r="2" ht="22" customHeight="1" s="173">
      <c r="A2" s="340">
        <f>HYPERLINK("#'Home'!A1","⌂ Home")</f>
        <v/>
      </c>
      <c r="C2" s="341" t="inlineStr">
        <is>
          <t>CU-101 — IJT Get Joining Process</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GetJoiningProcess method signature</t>
        </is>
      </c>
      <c r="E4" s="313" t="n"/>
      <c r="F4" s="313" t="n"/>
      <c r="G4" s="313" t="n"/>
      <c r="H4" s="313" t="n"/>
      <c r="I4" s="313" t="inlineStr">
        <is>
          <t>n</t>
        </is>
      </c>
      <c r="J4" s="313" t="inlineStr">
        <is>
          <t>OPC 40450-1 Section 7.7 Table 104; Section 7.4 status</t>
        </is>
      </c>
      <c r="K4" s="313" t="inlineStr"/>
    </row>
    <row r="5" ht="79" customHeight="1" s="173">
      <c r="A5" s="307" t="n"/>
      <c r="B5" s="307" t="n"/>
      <c r="C5" s="307" t="n">
        <v>1</v>
      </c>
      <c r="D5" s="307" t="inlineStr">
        <is>
          <t>Browse the asset MethodSet for GetJoiningProcess and read its InputArguments and OutputArguments.</t>
        </is>
      </c>
      <c r="E5" s="307" t="inlineStr">
        <is>
          <t>The Server exposes the GetJoiningProcess method.</t>
        </is>
      </c>
      <c r="F5" s="307" t="inlineStr">
        <is>
          <t>GetJoiningProcess is a Method. InputArguments = ProductInstanceUri (String), JoiningProcessId (TrimmedString). OutputArguments = JoiningProcess (JoiningProcessDataType), SelectionName (TrimmedString), Status (Int64), StatusMessage (LocalizedText).</t>
        </is>
      </c>
      <c r="G5" s="307" t="inlineStr">
        <is>
          <t>Good</t>
        </is>
      </c>
      <c r="H5" s="307" t="inlineStr">
        <is>
          <t>Good</t>
        </is>
      </c>
      <c r="I5" s="307" t="n"/>
      <c r="J5" s="307" t="inlineStr">
        <is>
          <t>OPC 40450-1 Section 7.7 Table 104; Section 7.4 status</t>
        </is>
      </c>
      <c r="K5" s="307" t="n"/>
    </row>
    <row r="6" ht="49" customHeight="1" s="173">
      <c r="A6" s="313" t="inlineStr">
        <is>
          <t>y</t>
        </is>
      </c>
      <c r="B6" s="313" t="n">
        <v>2</v>
      </c>
      <c r="C6" s="313" t="n">
        <v>0</v>
      </c>
      <c r="D6" s="313" t="inlineStr">
        <is>
          <t>Call GetJoiningProcess and verify the outcome</t>
        </is>
      </c>
      <c r="E6" s="313" t="n"/>
      <c r="F6" s="313" t="n"/>
      <c r="G6" s="313" t="n"/>
      <c r="H6" s="313" t="n"/>
      <c r="I6" s="313" t="inlineStr">
        <is>
          <t>n</t>
        </is>
      </c>
      <c r="J6" s="313" t="inlineStr">
        <is>
          <t>OPC 40450-1 Section 7.7 Table 104; Section 7.4 status</t>
        </is>
      </c>
      <c r="K6" s="313" t="n"/>
    </row>
    <row r="7" ht="49" customHeight="1" s="173">
      <c r="A7" s="307" t="n"/>
      <c r="B7" s="307" t="n"/>
      <c r="C7" s="307" t="n">
        <v>1</v>
      </c>
      <c r="D7" s="307" t="inlineStr">
        <is>
          <t>Call GetJoiningProcess with valid input arguments (a valid ProductInstanceUri of an asset exposed by the Server).</t>
        </is>
      </c>
      <c r="E7" s="307" t="inlineStr">
        <is>
          <t>The GetJoiningProcess method is callable.</t>
        </is>
      </c>
      <c r="F7" s="307" t="inlineStr">
        <is>
          <t>The Call Service returns Good; Status = 0 (OK) with a StatusMessage. The joining process and its SelectionName for JoiningProcessId are returned.</t>
        </is>
      </c>
      <c r="G7" s="307" t="inlineStr">
        <is>
          <t>Good</t>
        </is>
      </c>
      <c r="H7" s="307" t="inlineStr">
        <is>
          <t>Status = 0 (OK)</t>
        </is>
      </c>
      <c r="I7" s="307" t="n"/>
      <c r="J7" s="307" t="inlineStr">
        <is>
          <t>OPC 40450-1 Section 7.7 Table 104;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y</t>
        </is>
      </c>
      <c r="B9" s="366" t="n">
        <v>3</v>
      </c>
      <c r="C9" s="366" t="n">
        <v>0</v>
      </c>
      <c r="D9" s="366" t="inlineStr">
        <is>
          <t>Verify GetJoiningProcess rejects an invalid ProductInstanceUri</t>
        </is>
      </c>
      <c r="E9" s="366" t="n"/>
      <c r="F9" s="366" t="n"/>
      <c r="G9" s="366" t="n"/>
      <c r="H9" s="366" t="n"/>
      <c r="I9" s="366" t="inlineStr">
        <is>
          <t>n</t>
        </is>
      </c>
      <c r="J9" s="366" t="inlineStr">
        <is>
          <t>OPC 40450-1 Section 7.7 Table 104; Section 7.4 status</t>
        </is>
      </c>
      <c r="K9" s="366" t="n"/>
    </row>
    <row r="10" ht="64" customHeight="1" s="173">
      <c r="A10" s="307" t="n"/>
      <c r="B10" s="307" t="n"/>
      <c r="C10" s="307" t="n">
        <v>1</v>
      </c>
      <c r="D10" s="307" t="inlineStr">
        <is>
          <t>Call GetJoiningProcess with a ProductInstanceUri that is not exposed by the Server; all other arguments valid.</t>
        </is>
      </c>
      <c r="E10" s="307" t="inlineStr">
        <is>
          <t>The GetJoiningProcess method is exposed.</t>
        </is>
      </c>
      <c r="F10" s="307" t="inlineStr">
        <is>
          <t>The Call Service returns Good (ResponseHeader.ServiceResult = Good); CallMethodResult.StatusCode = Uncertain; Status output = 2 (ProductInstanceUri not found) with a StatusMessage.</t>
        </is>
      </c>
      <c r="G10" s="307" t="inlineStr">
        <is>
          <t>Good</t>
        </is>
      </c>
      <c r="H10" s="307" t="inlineStr">
        <is>
          <t>CallMethodResult.StatusCode = Uncertain; Status output = 2</t>
        </is>
      </c>
      <c r="I10" s="307" t="n"/>
      <c r="J10" s="307" t="inlineStr">
        <is>
          <t>OPC 40450-1 Section 7.7 Table 104; Section 7.4 status</t>
        </is>
      </c>
      <c r="K10" s="307" t="n"/>
    </row>
    <row r="11" ht="49" customHeight="1" s="173"/>
    <row r="12" ht="64" customHeight="1" s="173"/>
    <row r="13" ht="34" customHeight="1" s="173"/>
    <row r="14" ht="64" customHeight="1" s="173"/>
    <row r="16" ht="38.7" customHeight="1" s="173"/>
    <row r="18" ht="25.8" customHeight="1" s="173"/>
    <row r="20" ht="25.8" customHeight="1" s="173"/>
  </sheetData>
  <mergeCells count="2">
    <mergeCell ref="A1:K1"/>
    <mergeCell ref="C2:J2"/>
  </mergeCells>
  <pageMargins left="0.75" right="0.75" top="1" bottom="1" header="0.5" footer="0.5"/>
</worksheet>
</file>

<file path=xl/worksheets/sheet105.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CU-102: IJT Set Joining Process Counter</t>
        </is>
      </c>
    </row>
    <row r="2" ht="22" customHeight="1" s="173">
      <c r="A2" s="340">
        <f>HYPERLINK("#'Home'!A1","⌂ Home")</f>
        <v/>
      </c>
      <c r="C2" s="341" t="inlineStr">
        <is>
          <t>CU-102 — IJT Set Joining Process Counter</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SetJoiningProcessCounter method signature</t>
        </is>
      </c>
      <c r="E4" s="313" t="n"/>
      <c r="F4" s="313" t="n"/>
      <c r="G4" s="313" t="n"/>
      <c r="H4" s="313" t="n"/>
      <c r="I4" s="313" t="inlineStr">
        <is>
          <t>n</t>
        </is>
      </c>
      <c r="J4" s="313" t="inlineStr">
        <is>
          <t>OPC 40450-1 Section 7.7 Table 122; Section 7.4 status</t>
        </is>
      </c>
      <c r="K4" s="313" t="inlineStr"/>
    </row>
    <row r="5" ht="79" customHeight="1" s="173">
      <c r="A5" s="307" t="n"/>
      <c r="B5" s="307" t="n"/>
      <c r="C5" s="307" t="n">
        <v>1</v>
      </c>
      <c r="D5" s="307" t="inlineStr">
        <is>
          <t>Browse the asset MethodSet for SetJoiningProcessCounter and read its InputArguments and OutputArguments.</t>
        </is>
      </c>
      <c r="E5" s="307" t="inlineStr">
        <is>
          <t>The Server exposes the SetJoiningProcessCounter method.</t>
        </is>
      </c>
      <c r="F5" s="307" t="inlineStr">
        <is>
          <t>SetJoiningProcessCounter is a Method. InputArguments = ProductInstanceUri (String), JoiningProcessIdentification (JoiningProcessIdentificationDataType), CounterValue (UInt32). OutputArguments = Status (Int64), StatusMessage (LocalizedText).</t>
        </is>
      </c>
      <c r="G5" s="307" t="inlineStr">
        <is>
          <t>Good</t>
        </is>
      </c>
      <c r="H5" s="307" t="inlineStr">
        <is>
          <t>Good</t>
        </is>
      </c>
      <c r="I5" s="307" t="n"/>
      <c r="J5" s="307" t="inlineStr">
        <is>
          <t>OPC 40450-1 Section 7.7 Table 122; Section 7.4 status</t>
        </is>
      </c>
      <c r="K5" s="307" t="n"/>
    </row>
    <row r="6" ht="49" customHeight="1" s="173">
      <c r="A6" s="313" t="inlineStr">
        <is>
          <t>y</t>
        </is>
      </c>
      <c r="B6" s="313" t="n">
        <v>2</v>
      </c>
      <c r="C6" s="313" t="n">
        <v>0</v>
      </c>
      <c r="D6" s="313" t="inlineStr">
        <is>
          <t>Call SetJoiningProcessCounter and verify the outcome</t>
        </is>
      </c>
      <c r="E6" s="313" t="n"/>
      <c r="F6" s="313" t="n"/>
      <c r="G6" s="313" t="n"/>
      <c r="H6" s="313" t="n"/>
      <c r="I6" s="313" t="inlineStr">
        <is>
          <t>n</t>
        </is>
      </c>
      <c r="J6" s="313" t="inlineStr">
        <is>
          <t>OPC 40450-1 Section 7.7 Table 122; Section 7.4 status</t>
        </is>
      </c>
      <c r="K6" s="313" t="n"/>
    </row>
    <row r="7" ht="49" customHeight="1" s="173">
      <c r="A7" s="307" t="n"/>
      <c r="B7" s="307" t="n"/>
      <c r="C7" s="307" t="n">
        <v>1</v>
      </c>
      <c r="D7" s="307" t="inlineStr">
        <is>
          <t>Call SetJoiningProcessCounter with valid input arguments (a valid ProductInstanceUri of an asset exposed by the Server).</t>
        </is>
      </c>
      <c r="E7" s="307" t="inlineStr">
        <is>
          <t>The SetJoiningProcessCounter method is callable.</t>
        </is>
      </c>
      <c r="F7" s="307" t="inlineStr">
        <is>
          <t>The Call Service returns Good; Status = 0 (OK) with a StatusMessage. The identified joining process counter is set to CounterValue.</t>
        </is>
      </c>
      <c r="G7" s="307" t="inlineStr">
        <is>
          <t>Good</t>
        </is>
      </c>
      <c r="H7" s="307" t="inlineStr">
        <is>
          <t>Status = 0 (OK)</t>
        </is>
      </c>
      <c r="I7" s="307" t="n"/>
      <c r="J7" s="307" t="inlineStr">
        <is>
          <t>OPC 40450-1 Section 7.7 Table 122;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y</t>
        </is>
      </c>
      <c r="B9" s="366" t="n">
        <v>3</v>
      </c>
      <c r="C9" s="366" t="n">
        <v>0</v>
      </c>
      <c r="D9" s="366" t="inlineStr">
        <is>
          <t>Verify SetJoiningProcessCounter rejects an invalid ProductInstanceUri</t>
        </is>
      </c>
      <c r="E9" s="366" t="n"/>
      <c r="F9" s="366" t="n"/>
      <c r="G9" s="366" t="n"/>
      <c r="H9" s="366" t="n"/>
      <c r="I9" s="366" t="inlineStr">
        <is>
          <t>n</t>
        </is>
      </c>
      <c r="J9" s="366" t="inlineStr">
        <is>
          <t>OPC 40450-1 Section 7.7 Table 122; Section 7.4 status</t>
        </is>
      </c>
      <c r="K9" s="366" t="n"/>
    </row>
    <row r="10" ht="64" customHeight="1" s="173">
      <c r="A10" s="307" t="n"/>
      <c r="B10" s="307" t="n"/>
      <c r="C10" s="307" t="n">
        <v>1</v>
      </c>
      <c r="D10" s="307" t="inlineStr">
        <is>
          <t>Call SetJoiningProcessCounter with a ProductInstanceUri that is not exposed by the Server; all other arguments valid.</t>
        </is>
      </c>
      <c r="E10" s="307" t="inlineStr">
        <is>
          <t>The SetJoiningProcessCounter method is exposed.</t>
        </is>
      </c>
      <c r="F10" s="307" t="inlineStr">
        <is>
          <t>The Call Service returns Good (ResponseHeader.ServiceResult = Good); CallMethodResult.StatusCode = Uncertain; Status output = 2 (ProductInstanceUri not found) with a StatusMessage.</t>
        </is>
      </c>
      <c r="G10" s="307" t="inlineStr">
        <is>
          <t>Good</t>
        </is>
      </c>
      <c r="H10" s="307" t="inlineStr">
        <is>
          <t>CallMethodResult.StatusCode = Uncertain; Status output = 2</t>
        </is>
      </c>
      <c r="I10" s="307" t="n"/>
      <c r="J10" s="307" t="inlineStr">
        <is>
          <t>OPC 40450-1 Section 7.7 Table 122; Section 7.4 status</t>
        </is>
      </c>
      <c r="K10" s="307" t="n"/>
    </row>
    <row r="11" ht="49" customHeight="1" s="173">
      <c r="A11" s="366" t="inlineStr">
        <is>
          <t>y</t>
        </is>
      </c>
      <c r="B11" s="366" t="n">
        <v>4</v>
      </c>
      <c r="C11" s="366" t="n">
        <v>0</v>
      </c>
      <c r="D11" s="366" t="inlineStr">
        <is>
          <t>Verify SetJoiningProcessCounter rejects an unknown JoiningProcessId</t>
        </is>
      </c>
      <c r="E11" s="366" t="n"/>
      <c r="F11" s="366" t="n"/>
      <c r="G11" s="366" t="n"/>
      <c r="H11" s="366" t="n"/>
      <c r="I11" s="366" t="inlineStr">
        <is>
          <t>n</t>
        </is>
      </c>
      <c r="J11" s="366" t="inlineStr">
        <is>
          <t>OPC 40450-1 Section 7.7 Table 122; Section 7.4 status</t>
        </is>
      </c>
      <c r="K11" s="366" t="n"/>
    </row>
    <row r="12" ht="64" customHeight="1" s="173">
      <c r="A12" s="307" t="n"/>
      <c r="B12" s="307" t="n"/>
      <c r="C12" s="307" t="n">
        <v>1</v>
      </c>
      <c r="D12" s="307" t="inlineStr">
        <is>
          <t>Call SetJoiningProcessCounter with a JoiningProcessId that does not exist on the Server; ProductInstanceUri and all other arguments valid.</t>
        </is>
      </c>
      <c r="E12" s="307" t="inlineStr">
        <is>
          <t>The SetJoiningProcessCounter method is exposed.</t>
        </is>
      </c>
      <c r="F12" s="307" t="inlineStr">
        <is>
          <t>The Call Service returns Good (ResponseHeader.ServiceResult = Good); CallMethodResult.StatusCode = Uncertain; Status output = 4 (Input identifier/entity not found) with a StatusMessage.</t>
        </is>
      </c>
      <c r="G12" s="307" t="inlineStr">
        <is>
          <t>Good</t>
        </is>
      </c>
      <c r="H12" s="307" t="inlineStr">
        <is>
          <t>CallMethodResult.StatusCode = Uncertain; Status output = 4</t>
        </is>
      </c>
      <c r="I12" s="307" t="n"/>
      <c r="J12" s="307" t="inlineStr">
        <is>
          <t>OPC 40450-1 Section 7.7 Table 122; Section 7.4 status</t>
        </is>
      </c>
      <c r="K12" s="307" t="n"/>
    </row>
    <row r="13" ht="49" customHeight="1" s="173">
      <c r="A13" s="366" t="inlineStr">
        <is>
          <t>y</t>
        </is>
      </c>
      <c r="B13" s="366" t="n">
        <v>5</v>
      </c>
      <c r="C13" s="366" t="n">
        <v>0</v>
      </c>
      <c r="D13" s="366" t="inlineStr">
        <is>
          <t>Verify SetJoiningProcessCounter rejects a present but invalid input value</t>
        </is>
      </c>
      <c r="E13" s="366" t="n"/>
      <c r="F13" s="366" t="n"/>
      <c r="G13" s="366" t="n"/>
      <c r="H13" s="366" t="n"/>
      <c r="I13" s="366" t="inlineStr">
        <is>
          <t>n</t>
        </is>
      </c>
      <c r="J13" s="366" t="inlineStr">
        <is>
          <t>OPC 40450-1 Section 7.7 Table 122; Section 7.4 status</t>
        </is>
      </c>
      <c r="K13" s="366" t="n"/>
    </row>
    <row r="14" ht="64" customHeight="1" s="173">
      <c r="A14" s="307" t="n"/>
      <c r="B14" s="307" t="n"/>
      <c r="C14" s="307" t="n">
        <v>1</v>
      </c>
      <c r="D14" s="307" t="inlineStr">
        <is>
          <t>Call SetJoiningProcessCounter with CounterValue greater than the identified joining process MaxCounterSize.</t>
        </is>
      </c>
      <c r="E14" s="307" t="inlineStr">
        <is>
          <t>The SetJoiningProcessCounter method is exposed.</t>
        </is>
      </c>
      <c r="F14" s="307" t="inlineStr">
        <is>
          <t>The Call Service returns Good (ResponseHeader.ServiceResult = Good); CallMethodResult.StatusCode = Uncertain; Status output = 5 (Invalid input) with a StatusMessage.</t>
        </is>
      </c>
      <c r="G14" s="307" t="inlineStr">
        <is>
          <t>Good</t>
        </is>
      </c>
      <c r="H14" s="307" t="inlineStr">
        <is>
          <t>CallMethodResult.StatusCode = Uncertain; Status output = 5</t>
        </is>
      </c>
      <c r="I14" s="307" t="n"/>
      <c r="J14" s="307" t="inlineStr">
        <is>
          <t>OPC 40450-1 Section 7.7 Table 122; Section 7.4 status</t>
        </is>
      </c>
      <c r="K14" s="307" t="n"/>
    </row>
    <row r="15" ht="49" customHeight="1" s="173">
      <c r="A15" s="366" t="inlineStr">
        <is>
          <t>y</t>
        </is>
      </c>
      <c r="B15" s="366" t="n">
        <v>6</v>
      </c>
      <c r="C15" s="366" t="n">
        <v>0</v>
      </c>
      <c r="D15" s="366" t="inlineStr">
        <is>
          <t>Verify SetJoiningProcessCounter rejects a missing mandatory input argument</t>
        </is>
      </c>
      <c r="E15" s="366" t="n"/>
      <c r="F15" s="366" t="n"/>
      <c r="G15" s="366" t="n"/>
      <c r="H15" s="366" t="n"/>
      <c r="I15" s="366" t="inlineStr">
        <is>
          <t>n</t>
        </is>
      </c>
      <c r="J15" s="366" t="inlineStr">
        <is>
          <t>OPC 40450-1 Section 7.7 Table 122; Section 7.4 status</t>
        </is>
      </c>
      <c r="K15" s="366" t="n"/>
    </row>
    <row r="16" ht="64" customHeight="1" s="173">
      <c r="A16" s="307" t="n"/>
      <c r="B16" s="307" t="n"/>
      <c r="C16" s="307" t="n">
        <v>1</v>
      </c>
      <c r="D16" s="307" t="inlineStr">
        <is>
          <t>Invoke SetJoiningProcessCounter with one mandatory input argument omitted from the Call request.</t>
        </is>
      </c>
      <c r="E16" s="307" t="inlineStr">
        <is>
          <t>The SetJoiningProcessCounter method is exposed and its complete InputArguments signature is known.</t>
        </is>
      </c>
      <c r="F16" s="307" t="inlineStr">
        <is>
          <t>The Call Service returns Good (ResponseHeader.ServiceResult = Good); CallMethodResult.StatusCode = Bad_ArgumentsMissing. OutputArguments is empty, so no Status or StatusMessage output is returned.</t>
        </is>
      </c>
      <c r="G16" s="307" t="inlineStr">
        <is>
          <t>Good</t>
        </is>
      </c>
      <c r="H16" s="307" t="inlineStr">
        <is>
          <t>CallMethodResult.StatusCode = Bad_ArgumentsMissing; no output arguments</t>
        </is>
      </c>
      <c r="I16" s="307" t="n"/>
      <c r="J16" s="307" t="inlineStr">
        <is>
          <t>OPC 40450-1 Section 7.7 Table 122; Section 7.4 status</t>
        </is>
      </c>
      <c r="K16" s="307" t="n"/>
    </row>
    <row r="17" ht="49" customHeight="1" s="173"/>
    <row r="18" ht="64" customHeight="1" s="173"/>
  </sheetData>
  <mergeCells count="2">
    <mergeCell ref="A1:K1"/>
    <mergeCell ref="C2:J2"/>
  </mergeCells>
  <pageMargins left="0.75" right="0.75" top="1" bottom="1" header="0.5" footer="0.5"/>
</worksheet>
</file>

<file path=xl/worksheets/sheet106.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CU-103: IJT Set Joining Process Mapping</t>
        </is>
      </c>
    </row>
    <row r="2" ht="22" customHeight="1" s="173">
      <c r="A2" s="340">
        <f>HYPERLINK("#'Home'!A1","⌂ Home")</f>
        <v/>
      </c>
      <c r="C2" s="341" t="inlineStr">
        <is>
          <t>CU-103 — IJT Set Joining Process Mapping</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SetJoiningProcessMapping method signature</t>
        </is>
      </c>
      <c r="E4" s="313" t="n"/>
      <c r="F4" s="313" t="n"/>
      <c r="G4" s="313" t="n"/>
      <c r="H4" s="313" t="n"/>
      <c r="I4" s="313" t="inlineStr">
        <is>
          <t>n</t>
        </is>
      </c>
      <c r="J4" s="313" t="inlineStr">
        <is>
          <t>OPC 40450-1 Section 7.7 Table 106; Section 7.4 status</t>
        </is>
      </c>
      <c r="K4" s="313" t="inlineStr"/>
    </row>
    <row r="5" ht="79" customHeight="1" s="173">
      <c r="A5" s="307" t="n"/>
      <c r="B5" s="307" t="n"/>
      <c r="C5" s="307" t="n">
        <v>1</v>
      </c>
      <c r="D5" s="307" t="inlineStr">
        <is>
          <t>Browse the asset MethodSet for SetJoiningProcessMapping and read its InputArguments and OutputArguments.</t>
        </is>
      </c>
      <c r="E5" s="307" t="inlineStr">
        <is>
          <t>The Server exposes the SetJoiningProcessMapping method.</t>
        </is>
      </c>
      <c r="F5" s="307" t="inlineStr">
        <is>
          <t>SetJoiningProcessMapping is a Method. InputArguments = ProductInstanceUri (String), JoiningProcessIdentification (JoiningProcessIdentificationDataType). OutputArguments = Status (Int64), StatusMessage (LocalizedText).</t>
        </is>
      </c>
      <c r="G5" s="307" t="inlineStr">
        <is>
          <t>Good</t>
        </is>
      </c>
      <c r="H5" s="307" t="inlineStr">
        <is>
          <t>Good</t>
        </is>
      </c>
      <c r="I5" s="307" t="n"/>
      <c r="J5" s="307" t="inlineStr">
        <is>
          <t>OPC 40450-1 Section 7.7 Table 106; Section 7.4 status</t>
        </is>
      </c>
      <c r="K5" s="307" t="n"/>
    </row>
    <row r="6" ht="49" customHeight="1" s="173">
      <c r="A6" s="313" t="inlineStr">
        <is>
          <t>y</t>
        </is>
      </c>
      <c r="B6" s="313" t="n">
        <v>2</v>
      </c>
      <c r="C6" s="313" t="n">
        <v>0</v>
      </c>
      <c r="D6" s="313" t="inlineStr">
        <is>
          <t>Call SetJoiningProcessMapping and verify the outcome</t>
        </is>
      </c>
      <c r="E6" s="313" t="n"/>
      <c r="F6" s="313" t="n"/>
      <c r="G6" s="313" t="n"/>
      <c r="H6" s="313" t="n"/>
      <c r="I6" s="313" t="inlineStr">
        <is>
          <t>n</t>
        </is>
      </c>
      <c r="J6" s="313" t="inlineStr">
        <is>
          <t>OPC 40450-1 Section 7.7 Table 106; Section 7.4 status</t>
        </is>
      </c>
      <c r="K6" s="313" t="n"/>
    </row>
    <row r="7" ht="64" customHeight="1" s="173">
      <c r="A7" s="307" t="n"/>
      <c r="B7" s="307" t="n"/>
      <c r="C7" s="307" t="n">
        <v>1</v>
      </c>
      <c r="D7" s="307" t="inlineStr">
        <is>
          <t>Call SetJoiningProcessMapping with valid input arguments (a valid ProductInstanceUri of an asset exposed by the Server).</t>
        </is>
      </c>
      <c r="E7" s="307" t="inlineStr">
        <is>
          <t>The SetJoiningProcessMapping method is callable.</t>
        </is>
      </c>
      <c r="F7" s="307" t="inlineStr">
        <is>
          <t>The Call Service returns Good; Status = 0 (OK) with a StatusMessage. The joining process is mapped to its SelectionName (JoiningProcessIdentification carries at least JoiningProcessId and SelectionName).</t>
        </is>
      </c>
      <c r="G7" s="307" t="inlineStr">
        <is>
          <t>Good</t>
        </is>
      </c>
      <c r="H7" s="307" t="inlineStr">
        <is>
          <t>Status = 0 (OK)</t>
        </is>
      </c>
      <c r="I7" s="307" t="n"/>
      <c r="J7" s="307" t="inlineStr">
        <is>
          <t>OPC 40450-1 Section 7.7 Table 106;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y</t>
        </is>
      </c>
      <c r="B9" s="366" t="n">
        <v>3</v>
      </c>
      <c r="C9" s="366" t="n">
        <v>0</v>
      </c>
      <c r="D9" s="366" t="inlineStr">
        <is>
          <t>Verify SetJoiningProcessMapping rejects an invalid ProductInstanceUri</t>
        </is>
      </c>
      <c r="E9" s="366" t="n"/>
      <c r="F9" s="366" t="n"/>
      <c r="G9" s="366" t="n"/>
      <c r="H9" s="366" t="n"/>
      <c r="I9" s="366" t="inlineStr">
        <is>
          <t>n</t>
        </is>
      </c>
      <c r="J9" s="366" t="inlineStr">
        <is>
          <t>OPC 40450-1 Section 7.7 Table 106; Section 7.4 status</t>
        </is>
      </c>
      <c r="K9" s="366" t="n"/>
    </row>
    <row r="10" ht="64" customHeight="1" s="173">
      <c r="A10" s="307" t="n"/>
      <c r="B10" s="307" t="n"/>
      <c r="C10" s="307" t="n">
        <v>1</v>
      </c>
      <c r="D10" s="307" t="inlineStr">
        <is>
          <t>Call SetJoiningProcessMapping with a ProductInstanceUri that is not exposed by the Server; all other arguments valid.</t>
        </is>
      </c>
      <c r="E10" s="307" t="inlineStr">
        <is>
          <t>The SetJoiningProcessMapping method is exposed.</t>
        </is>
      </c>
      <c r="F10" s="307" t="inlineStr">
        <is>
          <t>The Call Service returns Good (ResponseHeader.ServiceResult = Good); CallMethodResult.StatusCode = Uncertain; Status output = 2 (ProductInstanceUri not found) with a StatusMessage.</t>
        </is>
      </c>
      <c r="G10" s="307" t="inlineStr">
        <is>
          <t>Good</t>
        </is>
      </c>
      <c r="H10" s="307" t="inlineStr">
        <is>
          <t>CallMethodResult.StatusCode = Uncertain; Status output = 2</t>
        </is>
      </c>
      <c r="I10" s="307" t="n"/>
      <c r="J10" s="307" t="inlineStr">
        <is>
          <t>OPC 40450-1 Section 7.7 Table 106; Section 7.4 status</t>
        </is>
      </c>
      <c r="K10" s="307" t="n"/>
    </row>
    <row r="11" ht="49" customHeight="1" s="173">
      <c r="A11" s="366" t="inlineStr">
        <is>
          <t>y</t>
        </is>
      </c>
      <c r="B11" s="366" t="n">
        <v>4</v>
      </c>
      <c r="C11" s="366" t="n">
        <v>0</v>
      </c>
      <c r="D11" s="366" t="inlineStr">
        <is>
          <t>Verify SetJoiningProcessMapping rejects an unknown JoiningProcessId</t>
        </is>
      </c>
      <c r="E11" s="366" t="n"/>
      <c r="F11" s="366" t="n"/>
      <c r="G11" s="366" t="n"/>
      <c r="H11" s="366" t="n"/>
      <c r="I11" s="366" t="inlineStr">
        <is>
          <t>n</t>
        </is>
      </c>
      <c r="J11" s="366" t="inlineStr">
        <is>
          <t>OPC 40450-1 Section 7.7 Table 106; Section 7.4 status</t>
        </is>
      </c>
      <c r="K11" s="366" t="n"/>
    </row>
    <row r="12" ht="64" customHeight="1" s="173">
      <c r="A12" s="307" t="n"/>
      <c r="B12" s="307" t="n"/>
      <c r="C12" s="307" t="n">
        <v>1</v>
      </c>
      <c r="D12" s="307" t="inlineStr">
        <is>
          <t>Call SetJoiningProcessMapping with a JoiningProcessId that does not exist on the Server; ProductInstanceUri and all other arguments valid.</t>
        </is>
      </c>
      <c r="E12" s="307" t="inlineStr">
        <is>
          <t>The SetJoiningProcessMapping method is exposed.</t>
        </is>
      </c>
      <c r="F12" s="307" t="inlineStr">
        <is>
          <t>The Call Service returns Good (ResponseHeader.ServiceResult = Good); CallMethodResult.StatusCode = Uncertain; Status output = 4 (Input identifier/entity not found) with a StatusMessage.</t>
        </is>
      </c>
      <c r="G12" s="307" t="inlineStr">
        <is>
          <t>Good</t>
        </is>
      </c>
      <c r="H12" s="307" t="inlineStr">
        <is>
          <t>CallMethodResult.StatusCode = Uncertain; Status output = 4</t>
        </is>
      </c>
      <c r="I12" s="307" t="n"/>
      <c r="J12" s="307" t="inlineStr">
        <is>
          <t>OPC 40450-1 Section 7.7 Table 106; Section 7.4 status</t>
        </is>
      </c>
      <c r="K12" s="307" t="n"/>
    </row>
    <row r="13" ht="49" customHeight="1" s="173">
      <c r="A13" s="366" t="inlineStr">
        <is>
          <t>y</t>
        </is>
      </c>
      <c r="B13" s="366" t="n">
        <v>5</v>
      </c>
      <c r="C13" s="366" t="n">
        <v>0</v>
      </c>
      <c r="D13" s="366" t="inlineStr">
        <is>
          <t>Verify SetJoiningProcessMapping rejects a present but invalid input value</t>
        </is>
      </c>
      <c r="E13" s="366" t="n"/>
      <c r="F13" s="366" t="n"/>
      <c r="G13" s="366" t="n"/>
      <c r="H13" s="366" t="n"/>
      <c r="I13" s="366" t="inlineStr">
        <is>
          <t>n</t>
        </is>
      </c>
      <c r="J13" s="366" t="inlineStr">
        <is>
          <t>OPC 40450-1 Section 7.7 Table 106; Section 7.4 status</t>
        </is>
      </c>
      <c r="K13" s="366" t="n"/>
    </row>
    <row r="14" ht="64" customHeight="1" s="173">
      <c r="A14" s="307" t="n"/>
      <c r="B14" s="307" t="n"/>
      <c r="C14" s="307" t="n">
        <v>1</v>
      </c>
      <c r="D14" s="307" t="inlineStr">
        <is>
          <t>Call SetJoiningProcessMapping with a decodable JoiningProcessIdentification whose required identifier or selection content is invalid.</t>
        </is>
      </c>
      <c r="E14" s="307" t="inlineStr">
        <is>
          <t>The SetJoiningProcessMapping method is exposed.</t>
        </is>
      </c>
      <c r="F14" s="307" t="inlineStr">
        <is>
          <t>The Call Service returns Good (ResponseHeader.ServiceResult = Good); CallMethodResult.StatusCode = Uncertain; Status output = 5 (Invalid input) with a StatusMessage.</t>
        </is>
      </c>
      <c r="G14" s="307" t="inlineStr">
        <is>
          <t>Good</t>
        </is>
      </c>
      <c r="H14" s="307" t="inlineStr">
        <is>
          <t>CallMethodResult.StatusCode = Uncertain; Status output = 5</t>
        </is>
      </c>
      <c r="I14" s="307" t="n"/>
      <c r="J14" s="307" t="inlineStr">
        <is>
          <t>OPC 40450-1 Section 7.7 Table 106; Section 7.4 status</t>
        </is>
      </c>
      <c r="K14" s="307" t="n"/>
    </row>
    <row r="15" ht="49" customHeight="1" s="173">
      <c r="A15" s="366" t="inlineStr">
        <is>
          <t>y</t>
        </is>
      </c>
      <c r="B15" s="366" t="n">
        <v>6</v>
      </c>
      <c r="C15" s="366" t="n">
        <v>0</v>
      </c>
      <c r="D15" s="366" t="inlineStr">
        <is>
          <t>Verify SetJoiningProcessMapping rejects a missing mandatory input argument</t>
        </is>
      </c>
      <c r="E15" s="366" t="n"/>
      <c r="F15" s="366" t="n"/>
      <c r="G15" s="366" t="n"/>
      <c r="H15" s="366" t="n"/>
      <c r="I15" s="366" t="inlineStr">
        <is>
          <t>n</t>
        </is>
      </c>
      <c r="J15" s="366" t="inlineStr">
        <is>
          <t>OPC 40450-1 Section 7.7 Table 106; Section 7.4 status</t>
        </is>
      </c>
      <c r="K15" s="366" t="n"/>
    </row>
    <row r="16" ht="64" customHeight="1" s="173">
      <c r="A16" s="307" t="n"/>
      <c r="B16" s="307" t="n"/>
      <c r="C16" s="307" t="n">
        <v>1</v>
      </c>
      <c r="D16" s="307" t="inlineStr">
        <is>
          <t>Invoke SetJoiningProcessMapping with one mandatory input argument omitted from the Call request.</t>
        </is>
      </c>
      <c r="E16" s="307" t="inlineStr">
        <is>
          <t>The SetJoiningProcessMapping method is exposed and its complete InputArguments signature is known.</t>
        </is>
      </c>
      <c r="F16" s="307" t="inlineStr">
        <is>
          <t>The Call Service returns Good (ResponseHeader.ServiceResult = Good); CallMethodResult.StatusCode = Bad_ArgumentsMissing. OutputArguments is empty, so no Status or StatusMessage output is returned.</t>
        </is>
      </c>
      <c r="G16" s="307" t="inlineStr">
        <is>
          <t>Good</t>
        </is>
      </c>
      <c r="H16" s="307" t="inlineStr">
        <is>
          <t>CallMethodResult.StatusCode = Bad_ArgumentsMissing; no output arguments</t>
        </is>
      </c>
      <c r="I16" s="307" t="n"/>
      <c r="J16" s="307" t="inlineStr">
        <is>
          <t>OPC 40450-1 Section 7.7 Table 106; Section 7.4 status</t>
        </is>
      </c>
      <c r="K16" s="307" t="n"/>
    </row>
    <row r="17" ht="49" customHeight="1" s="173"/>
    <row r="18" ht="64" customHeight="1" s="173"/>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10"/>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CU-104: IJT Get Joining Process Revision List</t>
        </is>
      </c>
    </row>
    <row r="2" ht="22" customHeight="1" s="173">
      <c r="A2" s="340">
        <f>HYPERLINK("#'Home'!A1","⌂ Home")</f>
        <v/>
      </c>
      <c r="C2" s="341" t="inlineStr">
        <is>
          <t>CU-104 — IJT Get Joining Process Revision List</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GetJoiningProcessRevisionList method signature</t>
        </is>
      </c>
      <c r="E4" s="313" t="n"/>
      <c r="F4" s="313" t="n"/>
      <c r="G4" s="313" t="n"/>
      <c r="H4" s="313" t="n"/>
      <c r="I4" s="313" t="inlineStr">
        <is>
          <t>n</t>
        </is>
      </c>
      <c r="J4" s="313" t="inlineStr">
        <is>
          <t>OPC 40450-1 Section 7.7 Table 102; Section 7.4 status</t>
        </is>
      </c>
      <c r="K4" s="313" t="inlineStr"/>
    </row>
    <row r="5" ht="79" customHeight="1" s="173">
      <c r="A5" s="307" t="n"/>
      <c r="B5" s="307" t="n"/>
      <c r="C5" s="307" t="n">
        <v>1</v>
      </c>
      <c r="D5" s="307" t="inlineStr">
        <is>
          <t>Browse the asset MethodSet for GetJoiningProcessRevisionList and read its InputArguments and OutputArguments.</t>
        </is>
      </c>
      <c r="E5" s="307" t="inlineStr">
        <is>
          <t>The Server exposes the GetJoiningProcessRevisionList method.</t>
        </is>
      </c>
      <c r="F5" s="307" t="inlineStr">
        <is>
          <t>GetJoiningProcessRevisionList is a Method. InputArguments = ProductInstanceUri (String), JoiningProcessOriginId (TrimmedString). OutputArguments = JoiningProcessList (JoiningProcessMetaDataType[]), Status (Int64), StatusMessage (LocalizedText).</t>
        </is>
      </c>
      <c r="G5" s="307" t="inlineStr">
        <is>
          <t>Good</t>
        </is>
      </c>
      <c r="H5" s="307" t="inlineStr">
        <is>
          <t>Good</t>
        </is>
      </c>
      <c r="I5" s="307" t="n"/>
      <c r="J5" s="307" t="inlineStr">
        <is>
          <t>OPC 40450-1 Section 7.7 Table 102; Section 7.4 status</t>
        </is>
      </c>
      <c r="K5" s="307" t="n"/>
    </row>
    <row r="6" ht="49" customHeight="1" s="173">
      <c r="A6" s="313" t="inlineStr">
        <is>
          <t>y</t>
        </is>
      </c>
      <c r="B6" s="313" t="n">
        <v>2</v>
      </c>
      <c r="C6" s="313" t="n">
        <v>0</v>
      </c>
      <c r="D6" s="313" t="inlineStr">
        <is>
          <t>Call GetJoiningProcessRevisionList and verify the outcome</t>
        </is>
      </c>
      <c r="E6" s="313" t="n"/>
      <c r="F6" s="313" t="n"/>
      <c r="G6" s="313" t="n"/>
      <c r="H6" s="313" t="n"/>
      <c r="I6" s="313" t="inlineStr">
        <is>
          <t>n</t>
        </is>
      </c>
      <c r="J6" s="313" t="inlineStr">
        <is>
          <t>OPC 40450-1 Section 7.7 Table 102; Section 7.4 status</t>
        </is>
      </c>
      <c r="K6" s="313" t="n"/>
    </row>
    <row r="7" ht="49" customHeight="1" s="173">
      <c r="A7" s="307" t="n"/>
      <c r="B7" s="307" t="n"/>
      <c r="C7" s="307" t="n">
        <v>1</v>
      </c>
      <c r="D7" s="307" t="inlineStr">
        <is>
          <t>Call GetJoiningProcessRevisionList with valid input arguments (a valid ProductInstanceUri of an asset exposed by the Server).</t>
        </is>
      </c>
      <c r="E7" s="307" t="inlineStr">
        <is>
          <t>The GetJoiningProcessRevisionList method is callable.</t>
        </is>
      </c>
      <c r="F7" s="307" t="inlineStr">
        <is>
          <t>The Call Service returns Good; Status = 0 (OK) with a StatusMessage. The list of available revisions for JoiningProcessOriginId is returned.</t>
        </is>
      </c>
      <c r="G7" s="307" t="inlineStr">
        <is>
          <t>Good</t>
        </is>
      </c>
      <c r="H7" s="307" t="inlineStr">
        <is>
          <t>Status = 0 (OK)</t>
        </is>
      </c>
      <c r="I7" s="307" t="n"/>
      <c r="J7" s="307" t="inlineStr">
        <is>
          <t>OPC 40450-1 Section 7.7 Table 102;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y</t>
        </is>
      </c>
      <c r="B9" s="366" t="n">
        <v>3</v>
      </c>
      <c r="C9" s="366" t="n">
        <v>0</v>
      </c>
      <c r="D9" s="366" t="inlineStr">
        <is>
          <t>Verify GetJoiningProcessRevisionList rejects an invalid ProductInstanceUri</t>
        </is>
      </c>
      <c r="E9" s="366" t="n"/>
      <c r="F9" s="366" t="n"/>
      <c r="G9" s="366" t="n"/>
      <c r="H9" s="366" t="n"/>
      <c r="I9" s="366" t="inlineStr">
        <is>
          <t>n</t>
        </is>
      </c>
      <c r="J9" s="366" t="inlineStr">
        <is>
          <t>OPC 40450-1 Section 7.7 Table 102; Section 7.4 status</t>
        </is>
      </c>
      <c r="K9" s="366" t="n"/>
    </row>
    <row r="10" ht="64" customHeight="1" s="173">
      <c r="A10" s="307" t="n"/>
      <c r="B10" s="307" t="n"/>
      <c r="C10" s="307" t="n">
        <v>1</v>
      </c>
      <c r="D10" s="307" t="inlineStr">
        <is>
          <t>Call GetJoiningProcessRevisionList with a ProductInstanceUri that is not exposed by the Server; all other arguments valid.</t>
        </is>
      </c>
      <c r="E10" s="307" t="inlineStr">
        <is>
          <t>The GetJoiningProcessRevisionList method is exposed.</t>
        </is>
      </c>
      <c r="F10" s="307" t="inlineStr">
        <is>
          <t>The Call Service returns Good (ResponseHeader.ServiceResult = Good); CallMethodResult.StatusCode = Uncertain; Status output = 2 (ProductInstanceUri not found) with a StatusMessage.</t>
        </is>
      </c>
      <c r="G10" s="307" t="inlineStr">
        <is>
          <t>Good</t>
        </is>
      </c>
      <c r="H10" s="307" t="inlineStr">
        <is>
          <t>CallMethodResult.StatusCode = Uncertain; Status output = 2</t>
        </is>
      </c>
      <c r="I10" s="307" t="n"/>
      <c r="J10" s="307" t="inlineStr">
        <is>
          <t>OPC 40450-1 Section 7.7 Table 102; Section 7.4 status</t>
        </is>
      </c>
      <c r="K10" s="307" t="n"/>
    </row>
    <row r="11" ht="49" customHeight="1" s="173"/>
    <row r="12" ht="64" customHeight="1" s="173"/>
    <row r="13" ht="34" customHeight="1" s="173"/>
    <row r="14" ht="49" customHeight="1" s="173"/>
    <row r="16" ht="25.8" customHeight="1" s="173"/>
    <row r="18" ht="38.7" customHeight="1" s="173"/>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codeName="Sheet93">
    <tabColor rgb="FF2E75B6"/>
    <outlinePr summaryBelow="1" summaryRight="1"/>
    <pageSetUpPr/>
  </sheetPr>
  <dimension ref="A1:N5"/>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CU-105: IJT Joint Management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CU-105 — IJT Joint Management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JointManagement instance</t>
        </is>
      </c>
      <c r="E4" s="304" t="n"/>
      <c r="F4" s="304" t="n"/>
      <c r="G4" s="304" t="n"/>
      <c r="H4" s="304" t="n"/>
      <c r="I4" s="304" t="inlineStr">
        <is>
          <t>n</t>
        </is>
      </c>
      <c r="J4" s="304" t="inlineStr">
        <is>
          <t>OPC 40450-1 Section 7.8 Table 132 (JointManagementType)</t>
        </is>
      </c>
      <c r="K4" s="305" t="n"/>
      <c r="L4" s="25" t="n"/>
      <c r="M4" s="26" t="n"/>
      <c r="N4" s="26" t="n"/>
    </row>
    <row r="5" ht="49" customHeight="1" s="173">
      <c r="A5" s="329" t="n"/>
      <c r="B5" s="330" t="n"/>
      <c r="C5" s="331" t="n">
        <v>1</v>
      </c>
      <c r="D5" s="331" t="inlineStr">
        <is>
          <t>From a JoiningSystem instance, follow HasComponent References and verify the JointManagement object.</t>
        </is>
      </c>
      <c r="E5" s="331" t="inlineStr">
        <is>
          <t>The optional components and properties described in the test case are supported. A JoiningSystem instance is accessible.</t>
        </is>
      </c>
      <c r="F5" s="331" t="inlineStr">
        <is>
          <t>The JoiningSystem exposes an instance of JointManagementType using its DefaultInstanceBrowseName (JointManagement).</t>
        </is>
      </c>
      <c r="G5" s="331" t="inlineStr">
        <is>
          <t>Good</t>
        </is>
      </c>
      <c r="H5" s="331" t="inlineStr">
        <is>
          <t>Good</t>
        </is>
      </c>
      <c r="I5" s="331" t="n"/>
      <c r="J5" s="331" t="inlineStr">
        <is>
          <t>OPC 40450-1 Section 7.8 Table 132 (JointManagementType)</t>
        </is>
      </c>
      <c r="K5" s="332" t="n"/>
      <c r="L5" s="25" t="n"/>
      <c r="M5" s="26" t="n"/>
      <c r="N5" s="26" t="n"/>
    </row>
    <row r="6" ht="34" customHeight="1" s="173"/>
    <row r="7" ht="64" customHeight="1" s="173"/>
    <row r="8" ht="34" customHeight="1" s="173"/>
    <row r="9" ht="64" customHeight="1" s="173"/>
    <row r="10" ht="34" customHeight="1" s="173"/>
    <row r="11" ht="64" customHeight="1" s="173"/>
    <row r="12" ht="34" customHeight="1" s="173"/>
    <row r="13" ht="49" customHeight="1" s="173"/>
    <row r="14" ht="20.05" customHeight="1" s="173"/>
    <row r="15" ht="25.8" customHeight="1" s="173"/>
    <row r="16" ht="58.5" customHeight="1" s="173"/>
    <row r="17" customFormat="1" s="2"/>
    <row r="18" ht="25.8" customHeight="1" s="173"/>
    <row r="20" ht="25.8" customHeight="1" s="173"/>
    <row r="22" ht="25.8" customHeight="1" s="173"/>
  </sheetData>
  <mergeCells count="2">
    <mergeCell ref="A1:K1"/>
    <mergeCell ref="C2:J2"/>
  </mergeCells>
  <pageMargins left="0.7" right="0.7" top="0.75" bottom="0.75" header="0.3" footer="0.3"/>
</worksheet>
</file>

<file path=xl/worksheets/sheet109.xml><?xml version="1.0" encoding="utf-8"?>
<worksheet xmlns="http://schemas.openxmlformats.org/spreadsheetml/2006/main">
  <sheetPr codeName="Sheet94">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CU-106: IJT Send Joint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CU-106 — IJT Send Joint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SendJoint method signature</t>
        </is>
      </c>
      <c r="E4" s="304" t="n"/>
      <c r="F4" s="304" t="n"/>
      <c r="G4" s="304" t="n"/>
      <c r="H4" s="304" t="n"/>
      <c r="I4" s="304" t="inlineStr">
        <is>
          <t>n</t>
        </is>
      </c>
      <c r="J4" s="304" t="inlineStr">
        <is>
          <t>OPC 40450-1 Section 7.8 Table 134; Section 7.4 status</t>
        </is>
      </c>
      <c r="K4" s="305" t="inlineStr"/>
      <c r="L4" s="25" t="n"/>
      <c r="M4" s="26" t="n"/>
      <c r="N4" s="26" t="n"/>
    </row>
    <row r="5" ht="64" customHeight="1" s="173">
      <c r="A5" s="329" t="n"/>
      <c r="B5" s="330" t="n"/>
      <c r="C5" s="331" t="n">
        <v>1</v>
      </c>
      <c r="D5" s="331" t="inlineStr">
        <is>
          <t>Browse the asset MethodSet for SendJoint and read its InputArguments and OutputArguments.</t>
        </is>
      </c>
      <c r="E5" s="331" t="inlineStr">
        <is>
          <t>The Server exposes the SendJoint method.</t>
        </is>
      </c>
      <c r="F5" s="331" t="inlineStr">
        <is>
          <t>SendJoint is a Method. InputArguments = ProductInstanceUri (String), Joint (JointDataType). OutputArguments = Status (Int64), StatusMessage (LocalizedText).</t>
        </is>
      </c>
      <c r="G5" s="331" t="inlineStr">
        <is>
          <t>Good</t>
        </is>
      </c>
      <c r="H5" s="331" t="inlineStr">
        <is>
          <t>Good</t>
        </is>
      </c>
      <c r="I5" s="331" t="n"/>
      <c r="J5" s="331" t="inlineStr">
        <is>
          <t>OPC 40450-1 Section 7.8 Table 134; Section 7.4 status</t>
        </is>
      </c>
      <c r="K5" s="332" t="n"/>
      <c r="L5" s="25" t="n"/>
      <c r="M5" s="26" t="n"/>
      <c r="N5" s="26" t="n"/>
    </row>
    <row r="6" ht="49" customHeight="1" s="173">
      <c r="A6" s="302" t="inlineStr">
        <is>
          <t>y</t>
        </is>
      </c>
      <c r="B6" s="303" t="n">
        <v>2</v>
      </c>
      <c r="C6" s="304" t="n">
        <v>0</v>
      </c>
      <c r="D6" s="304" t="inlineStr">
        <is>
          <t>Call SendJoint and verify the outcome</t>
        </is>
      </c>
      <c r="E6" s="304" t="n"/>
      <c r="F6" s="304" t="n"/>
      <c r="G6" s="304" t="n"/>
      <c r="H6" s="304" t="n"/>
      <c r="I6" s="304" t="inlineStr">
        <is>
          <t>n</t>
        </is>
      </c>
      <c r="J6" s="304" t="inlineStr">
        <is>
          <t>OPC 40450-1 Section 7.8 Table 134; Section 7.4 status</t>
        </is>
      </c>
      <c r="K6" s="305" t="n"/>
      <c r="L6" s="25" t="n"/>
      <c r="M6" s="26" t="n"/>
      <c r="N6" s="26" t="n"/>
    </row>
    <row r="7" ht="49" customHeight="1" s="173">
      <c r="A7" s="329" t="n"/>
      <c r="B7" s="330" t="n"/>
      <c r="C7" s="331" t="n">
        <v>1</v>
      </c>
      <c r="D7" s="331" t="inlineStr">
        <is>
          <t>Call SendJoint with valid input arguments (a valid ProductInstanceUri of an asset exposed by the Server).</t>
        </is>
      </c>
      <c r="E7" s="331" t="inlineStr">
        <is>
          <t>The SendJoint method is callable.</t>
        </is>
      </c>
      <c r="F7" s="331" t="inlineStr">
        <is>
          <t>The Call Service returns Good; Status = 0 (OK) with a StatusMessage. The joint content is stored in the system.</t>
        </is>
      </c>
      <c r="G7" s="331" t="inlineStr">
        <is>
          <t>Good</t>
        </is>
      </c>
      <c r="H7" s="331" t="inlineStr">
        <is>
          <t>Status = 0 (OK)</t>
        </is>
      </c>
      <c r="I7" s="331" t="n"/>
      <c r="J7" s="331" t="inlineStr">
        <is>
          <t>OPC 40450-1 Section 7.8 Table 134;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SendJoint rejects an invalid ProductInstanceUri</t>
        </is>
      </c>
      <c r="E9" s="374" t="n"/>
      <c r="F9" s="374" t="n"/>
      <c r="G9" s="374" t="n"/>
      <c r="H9" s="374" t="n"/>
      <c r="I9" s="374" t="inlineStr">
        <is>
          <t>n</t>
        </is>
      </c>
      <c r="J9" s="374" t="inlineStr">
        <is>
          <t>OPC 40450-1 Section 7.8 Table 134; Section 7.4 status</t>
        </is>
      </c>
      <c r="K9" s="375" t="n"/>
      <c r="L9" s="25" t="n"/>
      <c r="M9" s="26" t="n"/>
      <c r="N9" s="26" t="n"/>
    </row>
    <row r="10" ht="64" customHeight="1" s="173">
      <c r="A10" s="329" t="n"/>
      <c r="B10" s="330" t="n"/>
      <c r="C10" s="331" t="n">
        <v>1</v>
      </c>
      <c r="D10" s="331" t="inlineStr">
        <is>
          <t>Call SendJoint with a ProductInstanceUri that is not exposed by the Server; all other arguments valid.</t>
        </is>
      </c>
      <c r="E10" s="331" t="inlineStr">
        <is>
          <t>The SendJoint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7.8 Table 134; Section 7.4 status</t>
        </is>
      </c>
      <c r="K10" s="332" t="n"/>
      <c r="L10" s="25" t="n"/>
      <c r="M10" s="26" t="n"/>
      <c r="N10" s="26" t="n"/>
    </row>
    <row r="11" ht="49" customHeight="1" s="173">
      <c r="A11" s="372" t="inlineStr">
        <is>
          <t>y</t>
        </is>
      </c>
      <c r="B11" s="373" t="n">
        <v>4</v>
      </c>
      <c r="C11" s="374" t="n">
        <v>0</v>
      </c>
      <c r="D11" s="374" t="inlineStr">
        <is>
          <t>Verify SendJoint rejects a present but invalid input value</t>
        </is>
      </c>
      <c r="E11" s="374" t="n"/>
      <c r="F11" s="374" t="n"/>
      <c r="G11" s="374" t="n"/>
      <c r="H11" s="374" t="n"/>
      <c r="I11" s="374" t="inlineStr">
        <is>
          <t>n</t>
        </is>
      </c>
      <c r="J11" s="374" t="inlineStr">
        <is>
          <t>OPC 40450-1 Section 7.8 Table 134; Section 7.4 status</t>
        </is>
      </c>
      <c r="K11" s="375" t="n"/>
      <c r="L11" s="25" t="n"/>
      <c r="M11" s="26" t="n"/>
      <c r="N11" s="26" t="n"/>
    </row>
    <row r="12" ht="64" customHeight="1" s="173">
      <c r="A12" s="329" t="n"/>
      <c r="B12" s="330" t="n"/>
      <c r="C12" s="331" t="n">
        <v>1</v>
      </c>
      <c r="D12" s="331" t="inlineStr">
        <is>
          <t>Call SendJoint with a decodable JointDataType whose mandatory JointId is empty.</t>
        </is>
      </c>
      <c r="E12" s="331" t="inlineStr">
        <is>
          <t>The SendJoint method is exposed.</t>
        </is>
      </c>
      <c r="F12" s="331" t="inlineStr">
        <is>
          <t>The Call Service returns Good (ResponseHeader.ServiceResult = Good); CallMethodResult.StatusCode = Uncertain; Status output = 5 (Invalid input) with a StatusMessage.</t>
        </is>
      </c>
      <c r="G12" s="331" t="inlineStr">
        <is>
          <t>Good</t>
        </is>
      </c>
      <c r="H12" s="331" t="inlineStr">
        <is>
          <t>CallMethodResult.StatusCode = Uncertain; Status output = 5</t>
        </is>
      </c>
      <c r="I12" s="331" t="n"/>
      <c r="J12" s="331" t="inlineStr">
        <is>
          <t>OPC 40450-1 Section 7.8 Table 134; Section 7.4 status</t>
        </is>
      </c>
      <c r="K12" s="332" t="n"/>
      <c r="L12" s="25" t="n"/>
      <c r="M12" s="26" t="n"/>
      <c r="N12" s="26" t="n"/>
    </row>
    <row r="13" ht="49" customHeight="1" s="173">
      <c r="A13" s="372" t="inlineStr">
        <is>
          <t>y</t>
        </is>
      </c>
      <c r="B13" s="373" t="n">
        <v>5</v>
      </c>
      <c r="C13" s="374" t="n">
        <v>0</v>
      </c>
      <c r="D13" s="374" t="inlineStr">
        <is>
          <t>Verify SendJoint rejects a missing mandatory input argument</t>
        </is>
      </c>
      <c r="E13" s="374" t="n"/>
      <c r="F13" s="374" t="n"/>
      <c r="G13" s="374" t="n"/>
      <c r="H13" s="374" t="n"/>
      <c r="I13" s="374" t="inlineStr">
        <is>
          <t>n</t>
        </is>
      </c>
      <c r="J13" s="374" t="inlineStr">
        <is>
          <t>OPC 40450-1 Section 7.8 Table 134; Section 7.4 status</t>
        </is>
      </c>
      <c r="K13" s="375" t="n"/>
      <c r="L13" s="25" t="n"/>
      <c r="M13" s="26" t="n"/>
      <c r="N13" s="26" t="n"/>
    </row>
    <row r="14" ht="64" customHeight="1" s="173">
      <c r="A14" s="329" t="n"/>
      <c r="B14" s="330" t="n"/>
      <c r="C14" s="331" t="n">
        <v>1</v>
      </c>
      <c r="D14" s="331" t="inlineStr">
        <is>
          <t>Invoke SendJoint with one mandatory input argument omitted from the Call request.</t>
        </is>
      </c>
      <c r="E14" s="331" t="inlineStr">
        <is>
          <t>The SendJoint method is exposed and its complete InputArguments signature is known.</t>
        </is>
      </c>
      <c r="F14" s="331" t="inlineStr">
        <is>
          <t>The Call Service returns Good (ResponseHeader.ServiceResult = Good); CallMethodResult.StatusCode = Bad_ArgumentsMissing. OutputArguments is empty, so no Status or StatusMessage output is returned.</t>
        </is>
      </c>
      <c r="G14" s="331" t="inlineStr">
        <is>
          <t>Good</t>
        </is>
      </c>
      <c r="H14" s="331" t="inlineStr">
        <is>
          <t>CallMethodResult.StatusCode = Bad_ArgumentsMissing; no output arguments</t>
        </is>
      </c>
      <c r="I14" s="331" t="n"/>
      <c r="J14" s="331" t="inlineStr">
        <is>
          <t>OPC 40450-1 Section 7.8 Table 134; Section 7.4 status</t>
        </is>
      </c>
      <c r="K14" s="332" t="n"/>
      <c r="L14" s="25" t="n"/>
      <c r="M14" s="26" t="n"/>
      <c r="N14" s="26" t="n"/>
    </row>
    <row r="15" ht="49" customHeight="1" s="173"/>
    <row r="16" ht="64" customHeight="1" s="173"/>
    <row r="17" ht="34" customHeight="1" s="173"/>
    <row r="18" ht="64" customHeight="1" s="173"/>
    <row r="19" customFormat="1" s="2"/>
    <row r="20" ht="38.7" customHeight="1" s="173"/>
    <row r="22" ht="25.8" customHeight="1" s="173"/>
  </sheetData>
  <mergeCells count="2">
    <mergeCell ref="A1:K1"/>
    <mergeCell ref="C2:J2"/>
  </mergeCells>
  <pageMargins left="0.7" right="0.7" top="0.75" bottom="0.75" header="0.3" footer="0.3"/>
</worksheet>
</file>

<file path=xl/worksheets/sheet110.xml><?xml version="1.0" encoding="utf-8"?>
<worksheet xmlns="http://schemas.openxmlformats.org/spreadsheetml/2006/main">
  <sheetPr codeName="Sheet95">
    <tabColor rgb="FF2E75B6"/>
    <outlinePr summaryBelow="1" summaryRight="1"/>
    <pageSetUpPr/>
  </sheetPr>
  <dimension ref="A1:N1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CU-107: IJT Get Joint List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CU-107 — IJT Get Joint List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GetJointList method signature</t>
        </is>
      </c>
      <c r="E4" s="304" t="n"/>
      <c r="F4" s="304" t="n"/>
      <c r="G4" s="304" t="n"/>
      <c r="H4" s="304" t="n"/>
      <c r="I4" s="304" t="inlineStr">
        <is>
          <t>n</t>
        </is>
      </c>
      <c r="J4" s="304" t="inlineStr">
        <is>
          <t>OPC 40450-1 Section 7.8 Table 142; Section 7.4 status</t>
        </is>
      </c>
      <c r="K4" s="305" t="inlineStr"/>
      <c r="L4" s="25" t="n"/>
      <c r="M4" s="26" t="n"/>
      <c r="N4" s="26" t="n"/>
    </row>
    <row r="5" ht="64" customHeight="1" s="173">
      <c r="A5" s="329" t="n"/>
      <c r="B5" s="330" t="n"/>
      <c r="C5" s="331" t="n">
        <v>1</v>
      </c>
      <c r="D5" s="331" t="inlineStr">
        <is>
          <t>Browse the asset MethodSet for GetJointList and read its InputArguments and OutputArguments.</t>
        </is>
      </c>
      <c r="E5" s="331" t="inlineStr">
        <is>
          <t>The Server exposes the GetJointList method.</t>
        </is>
      </c>
      <c r="F5" s="331" t="inlineStr">
        <is>
          <t>GetJointList is a Method. InputArguments = ProductInstanceUri (String). OutputArguments = JointList (JointDataType[]), Status (Int64), StatusMessage (LocalizedText).</t>
        </is>
      </c>
      <c r="G5" s="331" t="inlineStr">
        <is>
          <t>Good</t>
        </is>
      </c>
      <c r="H5" s="331" t="inlineStr">
        <is>
          <t>Good</t>
        </is>
      </c>
      <c r="I5" s="331" t="n"/>
      <c r="J5" s="331" t="inlineStr">
        <is>
          <t>OPC 40450-1 Section 7.8 Table 142; Section 7.4 status</t>
        </is>
      </c>
      <c r="K5" s="332" t="n"/>
      <c r="L5" s="25" t="n"/>
      <c r="M5" s="26" t="n"/>
      <c r="N5" s="26" t="n"/>
    </row>
    <row r="6" ht="49" customHeight="1" s="173">
      <c r="A6" s="302" t="inlineStr">
        <is>
          <t>y</t>
        </is>
      </c>
      <c r="B6" s="303" t="n">
        <v>2</v>
      </c>
      <c r="C6" s="304" t="n">
        <v>0</v>
      </c>
      <c r="D6" s="304" t="inlineStr">
        <is>
          <t>Call GetJointList and verify the outcome</t>
        </is>
      </c>
      <c r="E6" s="304" t="n"/>
      <c r="F6" s="304" t="n"/>
      <c r="G6" s="304" t="n"/>
      <c r="H6" s="304" t="n"/>
      <c r="I6" s="304" t="inlineStr">
        <is>
          <t>n</t>
        </is>
      </c>
      <c r="J6" s="304" t="inlineStr">
        <is>
          <t>OPC 40450-1 Section 7.8 Table 142; Section 7.4 status</t>
        </is>
      </c>
      <c r="K6" s="305" t="n"/>
      <c r="L6" s="25" t="n"/>
      <c r="M6" s="26" t="n"/>
      <c r="N6" s="26" t="n"/>
    </row>
    <row r="7" ht="49" customHeight="1" s="173">
      <c r="A7" s="329" t="n"/>
      <c r="B7" s="330" t="n"/>
      <c r="C7" s="331" t="n">
        <v>1</v>
      </c>
      <c r="D7" s="331" t="inlineStr">
        <is>
          <t>Call GetJointList with valid input arguments (a valid ProductInstanceUri of an asset exposed by the Server).</t>
        </is>
      </c>
      <c r="E7" s="331" t="inlineStr">
        <is>
          <t>The GetJointList method is callable.</t>
        </is>
      </c>
      <c r="F7" s="331" t="inlineStr">
        <is>
          <t>The Call Service returns Good; Status = 0 (OK) with a StatusMessage. JointList returns the joints available in the system.</t>
        </is>
      </c>
      <c r="G7" s="331" t="inlineStr">
        <is>
          <t>Good</t>
        </is>
      </c>
      <c r="H7" s="331" t="inlineStr">
        <is>
          <t>Status = 0 (OK)</t>
        </is>
      </c>
      <c r="I7" s="331" t="n"/>
      <c r="J7" s="331" t="inlineStr">
        <is>
          <t>OPC 40450-1 Section 7.8 Table 142;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GetJointList rejects an invalid ProductInstanceUri</t>
        </is>
      </c>
      <c r="E9" s="374" t="n"/>
      <c r="F9" s="374" t="n"/>
      <c r="G9" s="374" t="n"/>
      <c r="H9" s="374" t="n"/>
      <c r="I9" s="374" t="inlineStr">
        <is>
          <t>n</t>
        </is>
      </c>
      <c r="J9" s="374" t="inlineStr">
        <is>
          <t>OPC 40450-1 Section 7.8 Table 142; Section 7.4 status</t>
        </is>
      </c>
      <c r="K9" s="375" t="n"/>
      <c r="L9" s="25" t="n"/>
      <c r="M9" s="26" t="n"/>
      <c r="N9" s="26" t="n"/>
    </row>
    <row r="10" ht="64" customHeight="1" s="173">
      <c r="A10" s="329" t="n"/>
      <c r="B10" s="330" t="n"/>
      <c r="C10" s="331" t="n">
        <v>1</v>
      </c>
      <c r="D10" s="331" t="inlineStr">
        <is>
          <t>Call GetJointList with a ProductInstanceUri that is not exposed by the Server; all other arguments valid.</t>
        </is>
      </c>
      <c r="E10" s="331" t="inlineStr">
        <is>
          <t>The GetJointList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7.8 Table 142; Section 7.4 status</t>
        </is>
      </c>
      <c r="K10" s="332" t="n"/>
      <c r="L10" s="25" t="n"/>
      <c r="M10" s="26" t="n"/>
      <c r="N10" s="26" t="n"/>
    </row>
    <row r="11" ht="49" customHeight="1" s="173"/>
    <row r="12" ht="64" customHeight="1" s="173"/>
    <row r="13" ht="34" customHeight="1" s="173"/>
    <row r="14" ht="64" customHeight="1" s="173"/>
    <row r="15" ht="34" customHeight="1" s="173"/>
    <row r="16" ht="34" customHeight="1" s="173"/>
    <row r="17" ht="34" customHeight="1" s="173"/>
    <row r="18" ht="64" customHeight="1" s="173"/>
    <row r="19" ht="34" customFormat="1" customHeight="1" s="2"/>
    <row r="20" ht="49" customHeight="1" s="173"/>
  </sheetData>
  <mergeCells count="2">
    <mergeCell ref="A1:K1"/>
    <mergeCell ref="C2:J2"/>
  </mergeCells>
  <pageMargins left="0.7" right="0.7" top="0.75" bottom="0.75" header="0.3" footer="0.3"/>
</worksheet>
</file>

<file path=xl/worksheets/sheet111.xml><?xml version="1.0" encoding="utf-8"?>
<worksheet xmlns="http://schemas.openxmlformats.org/spreadsheetml/2006/main">
  <sheetPr codeName="Sheet96">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CU-108: IJT Select Joint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CU-108 — IJT Select Joint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SelectJoint method signature</t>
        </is>
      </c>
      <c r="E4" s="304" t="n"/>
      <c r="F4" s="304" t="n"/>
      <c r="G4" s="304" t="n"/>
      <c r="H4" s="304" t="n"/>
      <c r="I4" s="304" t="inlineStr">
        <is>
          <t>n</t>
        </is>
      </c>
      <c r="J4" s="304" t="inlineStr">
        <is>
          <t>OPC 40450-1 Section 7.8 Table 140; Section 7.4 status</t>
        </is>
      </c>
      <c r="K4" s="305" t="inlineStr"/>
      <c r="L4" s="25" t="n"/>
      <c r="M4" s="26" t="n"/>
      <c r="N4" s="26" t="n"/>
    </row>
    <row r="5" ht="64" customHeight="1" s="173">
      <c r="A5" s="329" t="n"/>
      <c r="B5" s="330" t="n"/>
      <c r="C5" s="331" t="n">
        <v>1</v>
      </c>
      <c r="D5" s="331" t="inlineStr">
        <is>
          <t>Browse the asset MethodSet for SelectJoint and read its InputArguments and OutputArguments.</t>
        </is>
      </c>
      <c r="E5" s="331" t="inlineStr">
        <is>
          <t>The Server exposes the SelectJoint method.</t>
        </is>
      </c>
      <c r="F5" s="331" t="inlineStr">
        <is>
          <t>SelectJoint is a Method. InputArguments = ProductInstanceUri (String), JointId (TrimmedString), JointOriginId (TrimmedString). OutputArguments = Status (Int64), StatusMessage (LocalizedText).</t>
        </is>
      </c>
      <c r="G5" s="331" t="inlineStr">
        <is>
          <t>Good</t>
        </is>
      </c>
      <c r="H5" s="331" t="inlineStr">
        <is>
          <t>Good</t>
        </is>
      </c>
      <c r="I5" s="331" t="n"/>
      <c r="J5" s="331" t="inlineStr">
        <is>
          <t>OPC 40450-1 Section 7.8 Table 140; Section 7.4 status</t>
        </is>
      </c>
      <c r="K5" s="332" t="n"/>
      <c r="L5" s="25" t="n"/>
      <c r="M5" s="26" t="n"/>
      <c r="N5" s="26" t="n"/>
    </row>
    <row r="6" ht="49" customHeight="1" s="173">
      <c r="A6" s="302" t="inlineStr">
        <is>
          <t>y</t>
        </is>
      </c>
      <c r="B6" s="303" t="n">
        <v>2</v>
      </c>
      <c r="C6" s="304" t="n">
        <v>0</v>
      </c>
      <c r="D6" s="304" t="inlineStr">
        <is>
          <t>Call SelectJoint and verify the outcome</t>
        </is>
      </c>
      <c r="E6" s="304" t="n"/>
      <c r="F6" s="304" t="n"/>
      <c r="G6" s="304" t="n"/>
      <c r="H6" s="304" t="n"/>
      <c r="I6" s="304" t="inlineStr">
        <is>
          <t>n</t>
        </is>
      </c>
      <c r="J6" s="304" t="inlineStr">
        <is>
          <t>OPC 40450-1 Section 7.8 Table 140; Section 7.4 status</t>
        </is>
      </c>
      <c r="K6" s="305" t="n"/>
      <c r="L6" s="25" t="n"/>
      <c r="M6" s="26" t="n"/>
      <c r="N6" s="26" t="n"/>
    </row>
    <row r="7" ht="64" customHeight="1" s="173">
      <c r="A7" s="329" t="n"/>
      <c r="B7" s="330" t="n"/>
      <c r="C7" s="331" t="n">
        <v>1</v>
      </c>
      <c r="D7" s="331" t="inlineStr">
        <is>
          <t>Call SelectJoint with valid input arguments (a valid ProductInstanceUri of an asset exposed by the Server).</t>
        </is>
      </c>
      <c r="E7" s="331" t="inlineStr">
        <is>
          <t>The SelectJoint method is callable.</t>
        </is>
      </c>
      <c r="F7" s="331" t="inlineStr">
        <is>
          <t>The Call Service returns Good; Status = 0 (OK) with a StatusMessage. The identified joint and its associated joining process are selected for the next joining operation.</t>
        </is>
      </c>
      <c r="G7" s="331" t="inlineStr">
        <is>
          <t>Good</t>
        </is>
      </c>
      <c r="H7" s="331" t="inlineStr">
        <is>
          <t>Status = 0 (OK)</t>
        </is>
      </c>
      <c r="I7" s="331" t="n"/>
      <c r="J7" s="331" t="inlineStr">
        <is>
          <t>OPC 40450-1 Section 7.8 Table 140;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SelectJoint rejects an invalid ProductInstanceUri</t>
        </is>
      </c>
      <c r="E9" s="374" t="n"/>
      <c r="F9" s="374" t="n"/>
      <c r="G9" s="374" t="n"/>
      <c r="H9" s="374" t="n"/>
      <c r="I9" s="374" t="inlineStr">
        <is>
          <t>n</t>
        </is>
      </c>
      <c r="J9" s="374" t="inlineStr">
        <is>
          <t>OPC 40450-1 Section 7.8 Table 140; Section 7.4 status</t>
        </is>
      </c>
      <c r="K9" s="375" t="n"/>
      <c r="L9" s="25" t="n"/>
      <c r="M9" s="26" t="n"/>
      <c r="N9" s="26" t="n"/>
    </row>
    <row r="10" ht="64" customHeight="1" s="173">
      <c r="A10" s="329" t="n"/>
      <c r="B10" s="330" t="n"/>
      <c r="C10" s="331" t="n">
        <v>1</v>
      </c>
      <c r="D10" s="331" t="inlineStr">
        <is>
          <t>Call SelectJoint with a ProductInstanceUri that is not exposed by the Server; all other arguments valid.</t>
        </is>
      </c>
      <c r="E10" s="331" t="inlineStr">
        <is>
          <t>The SelectJoint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7.8 Table 140; Section 7.4 status</t>
        </is>
      </c>
      <c r="K10" s="332" t="n"/>
      <c r="L10" s="25" t="n"/>
      <c r="M10" s="26" t="n"/>
      <c r="N10" s="26" t="n"/>
    </row>
    <row r="11" ht="49" customHeight="1" s="173">
      <c r="A11" s="372" t="inlineStr">
        <is>
          <t>y</t>
        </is>
      </c>
      <c r="B11" s="373" t="n">
        <v>4</v>
      </c>
      <c r="C11" s="374" t="n">
        <v>0</v>
      </c>
      <c r="D11" s="374" t="inlineStr">
        <is>
          <t>Verify SelectJoint rejects an unknown JointId</t>
        </is>
      </c>
      <c r="E11" s="374" t="n"/>
      <c r="F11" s="374" t="n"/>
      <c r="G11" s="374" t="n"/>
      <c r="H11" s="374" t="n"/>
      <c r="I11" s="374" t="inlineStr">
        <is>
          <t>n</t>
        </is>
      </c>
      <c r="J11" s="374" t="inlineStr">
        <is>
          <t>OPC 40450-1 Section 7.8 Table 140; Section 7.4 status</t>
        </is>
      </c>
      <c r="K11" s="375" t="n"/>
      <c r="L11" s="25" t="n"/>
      <c r="M11" s="26" t="n"/>
      <c r="N11" s="26" t="n"/>
    </row>
    <row r="12" ht="64" customHeight="1" s="173">
      <c r="A12" s="329" t="n"/>
      <c r="B12" s="330" t="n"/>
      <c r="C12" s="331" t="n">
        <v>1</v>
      </c>
      <c r="D12" s="331" t="inlineStr">
        <is>
          <t>Call SelectJoint with a JointId that does not exist on the Server; ProductInstanceUri and all other arguments valid.</t>
        </is>
      </c>
      <c r="E12" s="331" t="inlineStr">
        <is>
          <t>The SelectJoint method is exposed.</t>
        </is>
      </c>
      <c r="F12" s="331" t="inlineStr">
        <is>
          <t>The Call Service returns Good (ResponseHeader.ServiceResult = Good); CallMethodResult.StatusCode = Uncertain; Status output = 4 (Input identifier/entity not found) with a StatusMessage.</t>
        </is>
      </c>
      <c r="G12" s="331" t="inlineStr">
        <is>
          <t>Good</t>
        </is>
      </c>
      <c r="H12" s="331" t="inlineStr">
        <is>
          <t>CallMethodResult.StatusCode = Uncertain; Status output = 4</t>
        </is>
      </c>
      <c r="I12" s="331" t="n"/>
      <c r="J12" s="331" t="inlineStr">
        <is>
          <t>OPC 40450-1 Section 7.8 Table 140; Section 7.4 status</t>
        </is>
      </c>
      <c r="K12" s="332" t="n"/>
      <c r="L12" s="25" t="n"/>
      <c r="M12" s="26" t="n"/>
      <c r="N12" s="26" t="n"/>
    </row>
    <row r="13" ht="49" customHeight="1" s="173"/>
    <row r="14" ht="64" customHeight="1" s="173"/>
    <row r="15" ht="34" customHeight="1" s="173"/>
    <row r="16" ht="90" customHeight="1" s="173"/>
    <row r="17" ht="34" customHeight="1" s="173"/>
    <row r="18" ht="49" customHeight="1" s="173"/>
    <row r="19" ht="34" customFormat="1" customHeight="1" s="2"/>
    <row r="20" ht="64" customHeight="1" s="173"/>
    <row r="21" ht="34" customHeight="1" s="173"/>
    <row r="22" ht="90" customHeight="1" s="173"/>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7">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CU-109: IJT Get Joint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CU-109 — IJT Get Joint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GetJoint method signature</t>
        </is>
      </c>
      <c r="E4" s="304" t="n"/>
      <c r="F4" s="304" t="n"/>
      <c r="G4" s="304" t="n"/>
      <c r="H4" s="304" t="n"/>
      <c r="I4" s="304" t="inlineStr">
        <is>
          <t>n</t>
        </is>
      </c>
      <c r="J4" s="304" t="inlineStr">
        <is>
          <t>OPC 40450-1 Section 7.8 Table 150; Section 7.4 status</t>
        </is>
      </c>
      <c r="K4" s="305" t="inlineStr"/>
      <c r="L4" s="25" t="n"/>
      <c r="M4" s="26" t="n"/>
      <c r="N4" s="26" t="n"/>
    </row>
    <row r="5" ht="64" customHeight="1" s="173">
      <c r="A5" s="329" t="n"/>
      <c r="B5" s="330" t="n"/>
      <c r="C5" s="331" t="n">
        <v>1</v>
      </c>
      <c r="D5" s="331" t="inlineStr">
        <is>
          <t>Browse the asset MethodSet for GetJoint and read its InputArguments and OutputArguments.</t>
        </is>
      </c>
      <c r="E5" s="331" t="inlineStr">
        <is>
          <t>The Server exposes the GetJoint method.</t>
        </is>
      </c>
      <c r="F5" s="331" t="inlineStr">
        <is>
          <t>GetJoint is a Method. InputArguments = ProductInstanceUri (String), JointId (TrimmedString). OutputArguments = Joint (JointDataType), Status (Int64), StatusMessage (LocalizedText).</t>
        </is>
      </c>
      <c r="G5" s="331" t="inlineStr">
        <is>
          <t>Good</t>
        </is>
      </c>
      <c r="H5" s="331" t="inlineStr">
        <is>
          <t>Good</t>
        </is>
      </c>
      <c r="I5" s="331" t="n"/>
      <c r="J5" s="331" t="inlineStr">
        <is>
          <t>OPC 40450-1 Section 7.8 Table 150; Section 7.4 status</t>
        </is>
      </c>
      <c r="K5" s="332" t="n"/>
      <c r="L5" s="25" t="n"/>
      <c r="M5" s="26" t="n"/>
      <c r="N5" s="26" t="n"/>
    </row>
    <row r="6" ht="49" customHeight="1" s="173">
      <c r="A6" s="302" t="inlineStr">
        <is>
          <t>y</t>
        </is>
      </c>
      <c r="B6" s="303" t="n">
        <v>2</v>
      </c>
      <c r="C6" s="304" t="n">
        <v>0</v>
      </c>
      <c r="D6" s="304" t="inlineStr">
        <is>
          <t>Call GetJoint and verify the outcome</t>
        </is>
      </c>
      <c r="E6" s="304" t="n"/>
      <c r="F6" s="304" t="n"/>
      <c r="G6" s="304" t="n"/>
      <c r="H6" s="304" t="n"/>
      <c r="I6" s="304" t="inlineStr">
        <is>
          <t>n</t>
        </is>
      </c>
      <c r="J6" s="304" t="inlineStr">
        <is>
          <t>OPC 40450-1 Section 7.8 Table 150; Section 7.4 status</t>
        </is>
      </c>
      <c r="K6" s="305" t="n"/>
      <c r="L6" s="25" t="n"/>
      <c r="M6" s="26" t="n"/>
      <c r="N6" s="26" t="n"/>
    </row>
    <row r="7" ht="49" customHeight="1" s="173">
      <c r="A7" s="329" t="n"/>
      <c r="B7" s="330" t="n"/>
      <c r="C7" s="331" t="n">
        <v>1</v>
      </c>
      <c r="D7" s="331" t="inlineStr">
        <is>
          <t>Call GetJoint with valid input arguments (a valid ProductInstanceUri of an asset exposed by the Server).</t>
        </is>
      </c>
      <c r="E7" s="331" t="inlineStr">
        <is>
          <t>The GetJoint method is callable.</t>
        </is>
      </c>
      <c r="F7" s="331" t="inlineStr">
        <is>
          <t>The Call Service returns Good; Status = 0 (OK) with a StatusMessage. joint returns the joint for JointId.</t>
        </is>
      </c>
      <c r="G7" s="331" t="inlineStr">
        <is>
          <t>Good</t>
        </is>
      </c>
      <c r="H7" s="331" t="inlineStr">
        <is>
          <t>Status = 0 (OK)</t>
        </is>
      </c>
      <c r="I7" s="331" t="n"/>
      <c r="J7" s="331" t="inlineStr">
        <is>
          <t>OPC 40450-1 Section 7.8 Table 150;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GetJoint rejects an invalid ProductInstanceUri</t>
        </is>
      </c>
      <c r="E9" s="374" t="n"/>
      <c r="F9" s="374" t="n"/>
      <c r="G9" s="374" t="n"/>
      <c r="H9" s="374" t="n"/>
      <c r="I9" s="374" t="inlineStr">
        <is>
          <t>n</t>
        </is>
      </c>
      <c r="J9" s="374" t="inlineStr">
        <is>
          <t>OPC 40450-1 Section 7.8 Table 150; Section 7.4 status</t>
        </is>
      </c>
      <c r="K9" s="375" t="n"/>
      <c r="L9" s="25" t="n"/>
      <c r="M9" s="26" t="n"/>
      <c r="N9" s="26" t="n"/>
    </row>
    <row r="10" ht="64" customHeight="1" s="173">
      <c r="A10" s="329" t="n"/>
      <c r="B10" s="330" t="n"/>
      <c r="C10" s="331" t="n">
        <v>1</v>
      </c>
      <c r="D10" s="331" t="inlineStr">
        <is>
          <t>Call GetJoint with a ProductInstanceUri that is not exposed by the Server; all other arguments valid.</t>
        </is>
      </c>
      <c r="E10" s="331" t="inlineStr">
        <is>
          <t>The GetJoint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7.8 Table 150; Section 7.4 status</t>
        </is>
      </c>
      <c r="K10" s="332" t="n"/>
      <c r="L10" s="25" t="n"/>
      <c r="M10" s="26" t="n"/>
      <c r="N10" s="26" t="n"/>
    </row>
    <row r="11" ht="49" customHeight="1" s="173">
      <c r="A11" s="372" t="inlineStr">
        <is>
          <t>y</t>
        </is>
      </c>
      <c r="B11" s="373" t="n">
        <v>4</v>
      </c>
      <c r="C11" s="374" t="n">
        <v>0</v>
      </c>
      <c r="D11" s="374" t="inlineStr">
        <is>
          <t>Verify GetJoint rejects an unknown JointId</t>
        </is>
      </c>
      <c r="E11" s="374" t="n"/>
      <c r="F11" s="374" t="n"/>
      <c r="G11" s="374" t="n"/>
      <c r="H11" s="374" t="n"/>
      <c r="I11" s="374" t="inlineStr">
        <is>
          <t>n</t>
        </is>
      </c>
      <c r="J11" s="374" t="inlineStr">
        <is>
          <t>OPC 40450-1 Section 7.8 Table 150; Section 7.4 status</t>
        </is>
      </c>
      <c r="K11" s="375" t="n"/>
      <c r="L11" s="25" t="n"/>
      <c r="M11" s="26" t="n"/>
      <c r="N11" s="26" t="n"/>
    </row>
    <row r="12" ht="64" customHeight="1" s="173">
      <c r="A12" s="329" t="n"/>
      <c r="B12" s="330" t="n"/>
      <c r="C12" s="331" t="n">
        <v>1</v>
      </c>
      <c r="D12" s="331" t="inlineStr">
        <is>
          <t>Call GetJoint with a JointId that does not exist on the Server; ProductInstanceUri and all other arguments valid.</t>
        </is>
      </c>
      <c r="E12" s="331" t="inlineStr">
        <is>
          <t>The GetJoint method is exposed.</t>
        </is>
      </c>
      <c r="F12" s="331" t="inlineStr">
        <is>
          <t>The Call Service returns Good (ResponseHeader.ServiceResult = Good); CallMethodResult.StatusCode = Uncertain; Status output = 4 (Input identifier/entity not found) with a StatusMessage.</t>
        </is>
      </c>
      <c r="G12" s="331" t="inlineStr">
        <is>
          <t>Good</t>
        </is>
      </c>
      <c r="H12" s="331" t="inlineStr">
        <is>
          <t>CallMethodResult.StatusCode = Uncertain; Status output = 4</t>
        </is>
      </c>
      <c r="I12" s="331" t="n"/>
      <c r="J12" s="331" t="inlineStr">
        <is>
          <t>OPC 40450-1 Section 7.8 Table 150; Section 7.4 status</t>
        </is>
      </c>
      <c r="K12" s="332" t="n"/>
      <c r="L12" s="25" t="n"/>
      <c r="M12" s="26" t="n"/>
      <c r="N12" s="26" t="n"/>
    </row>
    <row r="13" ht="49" customHeight="1" s="173"/>
    <row r="14" ht="64" customHeight="1" s="173"/>
    <row r="15" ht="26.1" customHeight="1" s="173"/>
    <row r="16" ht="38.7" customHeight="1" s="173"/>
    <row r="18" ht="25.8" customHeight="1" s="173"/>
    <row r="19" customFormat="1" s="2"/>
    <row r="20" ht="25.8" customHeight="1" s="173"/>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8">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CU-110: IJT Joint Data</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CU-110 — IJT Joint Data</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joint content</t>
        </is>
      </c>
      <c r="E4" s="304" t="n"/>
      <c r="F4" s="304" t="n"/>
      <c r="G4" s="304" t="n"/>
      <c r="H4" s="304" t="n"/>
      <c r="I4" s="304" t="inlineStr">
        <is>
          <t>n</t>
        </is>
      </c>
      <c r="J4" s="304" t="inlineStr">
        <is>
          <t>OPC 40450-1 Section 10.15 Table 236 (JointDataType)</t>
        </is>
      </c>
      <c r="K4" s="305" t="n"/>
    </row>
    <row r="5" ht="49" customFormat="1" customHeight="1" s="2">
      <c r="A5" s="329" t="n"/>
      <c r="B5" s="307" t="n"/>
      <c r="C5" s="307" t="n">
        <v>1</v>
      </c>
      <c r="D5" s="307" t="inlineStr">
        <is>
          <t>Retrieve a joint via GetJoint or GetJointList (or inspect the joint used in SendJoint) and inspect its content.</t>
        </is>
      </c>
      <c r="E5" s="307" t="inlineStr">
        <is>
          <t>A joint is available in the system.</t>
        </is>
      </c>
      <c r="F5" s="307" t="inlineStr">
        <is>
          <t>The JointDataType contains at least JointId, and the corresponding JoiningProcessId is present in Joint.AssociatedEntities (EntityDataType[]).</t>
        </is>
      </c>
      <c r="G5" s="307" t="inlineStr">
        <is>
          <t>Good</t>
        </is>
      </c>
      <c r="H5" s="307" t="inlineStr">
        <is>
          <t>Good</t>
        </is>
      </c>
      <c r="I5" s="307" t="n"/>
      <c r="J5" s="307" t="inlineStr">
        <is>
          <t>OPC 40450-1 Section 10.15 Table 236 (JointDataType)</t>
        </is>
      </c>
      <c r="K5" s="332" t="n"/>
    </row>
    <row r="6" ht="49" customHeight="1" s="173">
      <c r="A6" s="323" t="inlineStr">
        <is>
          <t>y</t>
        </is>
      </c>
      <c r="B6" s="324" t="n">
        <v>2</v>
      </c>
      <c r="C6" s="325" t="n">
        <v>0</v>
      </c>
      <c r="D6" s="325" t="inlineStr">
        <is>
          <t>Verify JointDesignId when the JointDesign feature is supported</t>
        </is>
      </c>
      <c r="E6" s="325" t="n"/>
      <c r="F6" s="325" t="n"/>
      <c r="G6" s="325" t="n"/>
      <c r="H6" s="325" t="n"/>
      <c r="I6" s="325" t="inlineStr">
        <is>
          <t>n</t>
        </is>
      </c>
      <c r="J6" s="325" t="inlineStr">
        <is>
          <t>OPC 40450-1 Section 10.15 Table 236 (JointDataType)</t>
        </is>
      </c>
      <c r="K6" s="326" t="n"/>
    </row>
    <row r="7" ht="49" customHeight="1" s="173">
      <c r="A7" s="307" t="n"/>
      <c r="B7" s="307" t="n"/>
      <c r="C7" s="307" t="n">
        <v>1</v>
      </c>
      <c r="D7" s="307" t="inlineStr">
        <is>
          <t>If the JointDesign feature is supported, inspect Joint.JointDesignId.</t>
        </is>
      </c>
      <c r="E7" s="307" t="inlineStr">
        <is>
          <t>The optional components and properties described in the test case are supported. The JointDesign feature is supported.</t>
        </is>
      </c>
      <c r="F7" s="307" t="inlineStr">
        <is>
          <t>The JointDataType includes JointDesignId referencing the associated joint design.</t>
        </is>
      </c>
      <c r="G7" s="307" t="inlineStr">
        <is>
          <t>Good</t>
        </is>
      </c>
      <c r="H7" s="307" t="inlineStr">
        <is>
          <t>Good</t>
        </is>
      </c>
      <c r="I7" s="307" t="n"/>
      <c r="J7" s="307" t="inlineStr">
        <is>
          <t>OPC 40450-1 Section 10.15 Table 236 (JointDataType)</t>
        </is>
      </c>
      <c r="K7" s="307" t="n"/>
    </row>
    <row r="8" ht="34" customHeight="1" s="173"/>
    <row r="9" ht="49" customHeight="1" s="173"/>
    <row r="10" ht="34" customHeight="1" s="173"/>
    <row r="11" ht="79" customHeight="1" s="173"/>
    <row r="12" ht="20.05" customHeight="1" s="173"/>
    <row r="13" ht="34" customHeight="1" s="173"/>
    <row r="14" ht="79" customHeight="1" s="173"/>
    <row r="15" ht="34" customHeight="1" s="173"/>
    <row r="16" ht="49" customHeight="1" s="173"/>
    <row r="17" ht="34" customHeight="1" s="173"/>
    <row r="18" ht="49" customHeight="1" s="173"/>
    <row r="19" ht="34" customHeight="1" s="173"/>
    <row r="20" ht="49" customHeight="1" s="173"/>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107">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CU-111: IJT Delete Joint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CU-111 — IJT Delete Joint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DeleteJoint method signature</t>
        </is>
      </c>
      <c r="E4" s="304" t="n"/>
      <c r="F4" s="304" t="n"/>
      <c r="G4" s="304" t="n"/>
      <c r="H4" s="304" t="n"/>
      <c r="I4" s="304" t="inlineStr">
        <is>
          <t>n</t>
        </is>
      </c>
      <c r="J4" s="304" t="inlineStr">
        <is>
          <t>OPC 40450-1 Section 7.8 Table 156; Section 7.4 status</t>
        </is>
      </c>
      <c r="K4" s="305" t="inlineStr"/>
      <c r="L4" s="25" t="n"/>
      <c r="M4" s="26" t="n"/>
      <c r="N4" s="26" t="n"/>
    </row>
    <row r="5" ht="64" customHeight="1" s="173">
      <c r="A5" s="329" t="n"/>
      <c r="B5" s="330" t="n"/>
      <c r="C5" s="331" t="n">
        <v>1</v>
      </c>
      <c r="D5" s="331" t="inlineStr">
        <is>
          <t>Browse the asset MethodSet for DeleteJoint and read its InputArguments and OutputArguments.</t>
        </is>
      </c>
      <c r="E5" s="331" t="inlineStr">
        <is>
          <t>The Server exposes the DeleteJoint method.</t>
        </is>
      </c>
      <c r="F5" s="331" t="inlineStr">
        <is>
          <t>DeleteJoint is a Method. InputArguments = ProductInstanceUri (String), JointId (TrimmedString), JointOriginId (TrimmedString). OutputArguments = Status (Int64), StatusMessage (LocalizedText).</t>
        </is>
      </c>
      <c r="G5" s="331" t="inlineStr">
        <is>
          <t>Good</t>
        </is>
      </c>
      <c r="H5" s="331" t="inlineStr">
        <is>
          <t>Good</t>
        </is>
      </c>
      <c r="I5" s="331" t="n"/>
      <c r="J5" s="331" t="inlineStr">
        <is>
          <t>OPC 40450-1 Section 7.8 Table 156; Section 7.4 status</t>
        </is>
      </c>
      <c r="K5" s="332" t="n"/>
      <c r="L5" s="25" t="n"/>
      <c r="M5" s="26" t="n"/>
      <c r="N5" s="26" t="n"/>
    </row>
    <row r="6" ht="49" customHeight="1" s="173">
      <c r="A6" s="302" t="inlineStr">
        <is>
          <t>y</t>
        </is>
      </c>
      <c r="B6" s="303" t="n">
        <v>2</v>
      </c>
      <c r="C6" s="304" t="n">
        <v>0</v>
      </c>
      <c r="D6" s="304" t="inlineStr">
        <is>
          <t>Call DeleteJoint and verify the outcome</t>
        </is>
      </c>
      <c r="E6" s="304" t="n"/>
      <c r="F6" s="304" t="n"/>
      <c r="G6" s="304" t="n"/>
      <c r="H6" s="304" t="n"/>
      <c r="I6" s="304" t="inlineStr">
        <is>
          <t>n</t>
        </is>
      </c>
      <c r="J6" s="304" t="inlineStr">
        <is>
          <t>OPC 40450-1 Section 7.8 Table 156; Section 7.4 status</t>
        </is>
      </c>
      <c r="K6" s="305" t="n"/>
      <c r="L6" s="25" t="n"/>
      <c r="M6" s="26" t="n"/>
      <c r="N6" s="26" t="n"/>
    </row>
    <row r="7" ht="49" customHeight="1" s="173">
      <c r="A7" s="329" t="n"/>
      <c r="B7" s="330" t="n"/>
      <c r="C7" s="331" t="n">
        <v>1</v>
      </c>
      <c r="D7" s="331" t="inlineStr">
        <is>
          <t>Call DeleteJoint with valid input arguments (a valid ProductInstanceUri of an asset exposed by the Server).</t>
        </is>
      </c>
      <c r="E7" s="331" t="inlineStr">
        <is>
          <t>The DeleteJoint method is callable.</t>
        </is>
      </c>
      <c r="F7" s="331" t="inlineStr">
        <is>
          <t>The Call Service returns Good; Status = 0 (OK) with a StatusMessage. The identified joint is deleted.</t>
        </is>
      </c>
      <c r="G7" s="331" t="inlineStr">
        <is>
          <t>Good</t>
        </is>
      </c>
      <c r="H7" s="331" t="inlineStr">
        <is>
          <t>Status = 0 (OK)</t>
        </is>
      </c>
      <c r="I7" s="331" t="n"/>
      <c r="J7" s="331" t="inlineStr">
        <is>
          <t>OPC 40450-1 Section 7.8 Table 156;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DeleteJoint rejects an invalid ProductInstanceUri</t>
        </is>
      </c>
      <c r="E9" s="374" t="n"/>
      <c r="F9" s="374" t="n"/>
      <c r="G9" s="374" t="n"/>
      <c r="H9" s="374" t="n"/>
      <c r="I9" s="374" t="inlineStr">
        <is>
          <t>n</t>
        </is>
      </c>
      <c r="J9" s="374" t="inlineStr">
        <is>
          <t>OPC 40450-1 Section 7.8 Table 156; Section 7.4 status</t>
        </is>
      </c>
      <c r="K9" s="375" t="n"/>
      <c r="L9" s="25" t="n"/>
      <c r="M9" s="26" t="n"/>
      <c r="N9" s="26" t="n"/>
    </row>
    <row r="10" ht="64" customHeight="1" s="173">
      <c r="A10" s="329" t="n"/>
      <c r="B10" s="330" t="n"/>
      <c r="C10" s="331" t="n">
        <v>1</v>
      </c>
      <c r="D10" s="331" t="inlineStr">
        <is>
          <t>Call DeleteJoint with a ProductInstanceUri that is not exposed by the Server; all other arguments valid.</t>
        </is>
      </c>
      <c r="E10" s="331" t="inlineStr">
        <is>
          <t>The DeleteJoint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7.8 Table 156; Section 7.4 status</t>
        </is>
      </c>
      <c r="K10" s="332" t="n"/>
      <c r="L10" s="25" t="n"/>
      <c r="M10" s="26" t="n"/>
      <c r="N10" s="26" t="n"/>
    </row>
    <row r="11" ht="49" customHeight="1" s="173">
      <c r="A11" s="372" t="inlineStr">
        <is>
          <t>y</t>
        </is>
      </c>
      <c r="B11" s="373" t="n">
        <v>4</v>
      </c>
      <c r="C11" s="374" t="n">
        <v>0</v>
      </c>
      <c r="D11" s="374" t="inlineStr">
        <is>
          <t>Verify DeleteJoint rejects an unknown JointId</t>
        </is>
      </c>
      <c r="E11" s="374" t="n"/>
      <c r="F11" s="374" t="n"/>
      <c r="G11" s="374" t="n"/>
      <c r="H11" s="374" t="n"/>
      <c r="I11" s="374" t="inlineStr">
        <is>
          <t>n</t>
        </is>
      </c>
      <c r="J11" s="374" t="inlineStr">
        <is>
          <t>OPC 40450-1 Section 7.8 Table 156; Section 7.4 status</t>
        </is>
      </c>
      <c r="K11" s="375" t="n"/>
      <c r="L11" s="25" t="n"/>
      <c r="M11" s="26" t="n"/>
      <c r="N11" s="26" t="n"/>
    </row>
    <row r="12" ht="64" customHeight="1" s="173">
      <c r="A12" s="329" t="n"/>
      <c r="B12" s="330" t="n"/>
      <c r="C12" s="331" t="n">
        <v>1</v>
      </c>
      <c r="D12" s="331" t="inlineStr">
        <is>
          <t>Call DeleteJoint with a JointId that does not exist on the Server; ProductInstanceUri and all other arguments valid.</t>
        </is>
      </c>
      <c r="E12" s="331" t="inlineStr">
        <is>
          <t>The DeleteJoint method is exposed.</t>
        </is>
      </c>
      <c r="F12" s="331" t="inlineStr">
        <is>
          <t>The Call Service returns Good (ResponseHeader.ServiceResult = Good); CallMethodResult.StatusCode = Uncertain; Status output = 4 (Input identifier/entity not found) with a StatusMessage.</t>
        </is>
      </c>
      <c r="G12" s="331" t="inlineStr">
        <is>
          <t>Good</t>
        </is>
      </c>
      <c r="H12" s="331" t="inlineStr">
        <is>
          <t>CallMethodResult.StatusCode = Uncertain; Status output = 4</t>
        </is>
      </c>
      <c r="I12" s="331" t="n"/>
      <c r="J12" s="331" t="inlineStr">
        <is>
          <t>OPC 40450-1 Section 7.8 Table 156; Section 7.4 status</t>
        </is>
      </c>
      <c r="K12" s="332" t="n"/>
      <c r="L12" s="25" t="n"/>
      <c r="M12" s="26" t="n"/>
      <c r="N12" s="26" t="n"/>
    </row>
    <row r="13" ht="49" customHeight="1" s="173"/>
    <row r="14" ht="64" customHeight="1" s="173"/>
    <row r="15" ht="34" customHeight="1" s="173"/>
    <row r="16" ht="90" customHeight="1" s="173"/>
    <row r="17" ht="34" customHeight="1" s="173"/>
    <row r="18" ht="64" customHeight="1" s="173"/>
    <row r="19" customFormat="1" s="2"/>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9">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CU-112: IJT Send Joint Design</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CU-112 — IJT Send Joint Design</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SendJointDesign method signature</t>
        </is>
      </c>
      <c r="E4" s="304" t="n"/>
      <c r="F4" s="304" t="n"/>
      <c r="G4" s="304" t="n"/>
      <c r="H4" s="304" t="n"/>
      <c r="I4" s="304" t="inlineStr">
        <is>
          <t>n</t>
        </is>
      </c>
      <c r="J4" s="304" t="inlineStr">
        <is>
          <t>OPC 40450-1 Section 7.8 Table 136; Section 7.4 status</t>
        </is>
      </c>
      <c r="K4" s="305" t="inlineStr"/>
      <c r="L4" s="25" t="n"/>
      <c r="M4" s="26" t="n"/>
      <c r="N4" s="26" t="n"/>
    </row>
    <row r="5" ht="64" customHeight="1" s="173">
      <c r="A5" s="329" t="n"/>
      <c r="B5" s="330" t="n"/>
      <c r="C5" s="331" t="n">
        <v>1</v>
      </c>
      <c r="D5" s="331" t="inlineStr">
        <is>
          <t>Browse the asset MethodSet for SendJointDesign and read its InputArguments and OutputArguments.</t>
        </is>
      </c>
      <c r="E5" s="331" t="inlineStr">
        <is>
          <t>The Server exposes the SendJointDesign method.</t>
        </is>
      </c>
      <c r="F5" s="331" t="inlineStr">
        <is>
          <t>SendJointDesign is a Method. InputArguments = ProductInstanceUri (String), JointDesign (JointDesignDataType). OutputArguments = Status (Int64), StatusMessage (LocalizedText).</t>
        </is>
      </c>
      <c r="G5" s="331" t="inlineStr">
        <is>
          <t>Good</t>
        </is>
      </c>
      <c r="H5" s="331" t="inlineStr">
        <is>
          <t>Good</t>
        </is>
      </c>
      <c r="I5" s="331" t="n"/>
      <c r="J5" s="331" t="inlineStr">
        <is>
          <t>OPC 40450-1 Section 7.8 Table 136; Section 7.4 status</t>
        </is>
      </c>
      <c r="K5" s="332" t="n"/>
      <c r="L5" s="25" t="n"/>
      <c r="M5" s="26" t="n"/>
      <c r="N5" s="26" t="n"/>
    </row>
    <row r="6" ht="49" customHeight="1" s="173">
      <c r="A6" s="302" t="inlineStr">
        <is>
          <t>y</t>
        </is>
      </c>
      <c r="B6" s="303" t="n">
        <v>2</v>
      </c>
      <c r="C6" s="304" t="n">
        <v>0</v>
      </c>
      <c r="D6" s="304" t="inlineStr">
        <is>
          <t>Call SendJointDesign and verify the outcome</t>
        </is>
      </c>
      <c r="E6" s="304" t="n"/>
      <c r="F6" s="304" t="n"/>
      <c r="G6" s="304" t="n"/>
      <c r="H6" s="304" t="n"/>
      <c r="I6" s="304" t="inlineStr">
        <is>
          <t>n</t>
        </is>
      </c>
      <c r="J6" s="304" t="inlineStr">
        <is>
          <t>OPC 40450-1 Section 7.8 Table 136; Section 7.4 status</t>
        </is>
      </c>
      <c r="K6" s="305" t="n"/>
      <c r="L6" s="25" t="n"/>
      <c r="M6" s="26" t="n"/>
      <c r="N6" s="26" t="n"/>
    </row>
    <row r="7" ht="49" customHeight="1" s="173">
      <c r="A7" s="329" t="n"/>
      <c r="B7" s="330" t="n"/>
      <c r="C7" s="331" t="n">
        <v>1</v>
      </c>
      <c r="D7" s="331" t="inlineStr">
        <is>
          <t>Call SendJointDesign with valid input arguments (a valid ProductInstanceUri of an asset exposed by the Server).</t>
        </is>
      </c>
      <c r="E7" s="331" t="inlineStr">
        <is>
          <t>The SendJointDesign method is callable.</t>
        </is>
      </c>
      <c r="F7" s="331" t="inlineStr">
        <is>
          <t>The Call Service returns Good; Status = 0 (OK) with a StatusMessage. The joint design content is stored (an existing joint design is overwritten).</t>
        </is>
      </c>
      <c r="G7" s="331" t="inlineStr">
        <is>
          <t>Good</t>
        </is>
      </c>
      <c r="H7" s="331" t="inlineStr">
        <is>
          <t>Status = 0 (OK)</t>
        </is>
      </c>
      <c r="I7" s="331" t="n"/>
      <c r="J7" s="331" t="inlineStr">
        <is>
          <t>OPC 40450-1 Section 7.8 Table 136;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SendJointDesign rejects an invalid ProductInstanceUri</t>
        </is>
      </c>
      <c r="E9" s="374" t="n"/>
      <c r="F9" s="374" t="n"/>
      <c r="G9" s="374" t="n"/>
      <c r="H9" s="374" t="n"/>
      <c r="I9" s="374" t="inlineStr">
        <is>
          <t>n</t>
        </is>
      </c>
      <c r="J9" s="374" t="inlineStr">
        <is>
          <t>OPC 40450-1 Section 7.8 Table 136; Section 7.4 status</t>
        </is>
      </c>
      <c r="K9" s="375" t="n"/>
      <c r="L9" s="25" t="n"/>
      <c r="M9" s="26" t="n"/>
      <c r="N9" s="26" t="n"/>
    </row>
    <row r="10" ht="64" customHeight="1" s="173">
      <c r="A10" s="329" t="n"/>
      <c r="B10" s="330" t="n"/>
      <c r="C10" s="331" t="n">
        <v>1</v>
      </c>
      <c r="D10" s="331" t="inlineStr">
        <is>
          <t>Call SendJointDesign with a ProductInstanceUri that is not exposed by the Server; all other arguments valid.</t>
        </is>
      </c>
      <c r="E10" s="331" t="inlineStr">
        <is>
          <t>The SendJointDesign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7.8 Table 136; Section 7.4 status</t>
        </is>
      </c>
      <c r="K10" s="332" t="n"/>
      <c r="L10" s="25" t="n"/>
      <c r="M10" s="26" t="n"/>
      <c r="N10" s="26" t="n"/>
    </row>
    <row r="11" ht="49" customHeight="1" s="173">
      <c r="A11" s="372" t="inlineStr">
        <is>
          <t>y</t>
        </is>
      </c>
      <c r="B11" s="373" t="n">
        <v>4</v>
      </c>
      <c r="C11" s="374" t="n">
        <v>0</v>
      </c>
      <c r="D11" s="374" t="inlineStr">
        <is>
          <t>Verify SendJointDesign rejects a present but invalid input value</t>
        </is>
      </c>
      <c r="E11" s="374" t="n"/>
      <c r="F11" s="374" t="n"/>
      <c r="G11" s="374" t="n"/>
      <c r="H11" s="374" t="n"/>
      <c r="I11" s="374" t="inlineStr">
        <is>
          <t>n</t>
        </is>
      </c>
      <c r="J11" s="374" t="inlineStr">
        <is>
          <t>OPC 40450-1 Section 7.8 Table 136; Section 7.4 status</t>
        </is>
      </c>
      <c r="K11" s="375" t="n"/>
      <c r="L11" s="25" t="n"/>
      <c r="M11" s="26" t="n"/>
      <c r="N11" s="26" t="n"/>
    </row>
    <row r="12" ht="64" customHeight="1" s="173">
      <c r="A12" s="329" t="n"/>
      <c r="B12" s="330" t="n"/>
      <c r="C12" s="331" t="n">
        <v>1</v>
      </c>
      <c r="D12" s="331" t="inlineStr">
        <is>
          <t>Call SendJointDesign with a decodable JointDesignDataType whose mandatory JointDesignId is empty.</t>
        </is>
      </c>
      <c r="E12" s="331" t="inlineStr">
        <is>
          <t>The SendJointDesign method is exposed.</t>
        </is>
      </c>
      <c r="F12" s="331" t="inlineStr">
        <is>
          <t>The Call Service returns Good (ResponseHeader.ServiceResult = Good); CallMethodResult.StatusCode = Uncertain; Status output = 5 (Invalid input) with a StatusMessage.</t>
        </is>
      </c>
      <c r="G12" s="331" t="inlineStr">
        <is>
          <t>Good</t>
        </is>
      </c>
      <c r="H12" s="331" t="inlineStr">
        <is>
          <t>CallMethodResult.StatusCode = Uncertain; Status output = 5</t>
        </is>
      </c>
      <c r="I12" s="331" t="n"/>
      <c r="J12" s="331" t="inlineStr">
        <is>
          <t>OPC 40450-1 Section 7.8 Table 136; Section 7.4 status</t>
        </is>
      </c>
      <c r="K12" s="332" t="n"/>
      <c r="L12" s="25" t="n"/>
      <c r="M12" s="26" t="n"/>
      <c r="N12" s="26" t="n"/>
    </row>
    <row r="13" ht="49" customHeight="1" s="173">
      <c r="A13" s="372" t="inlineStr">
        <is>
          <t>y</t>
        </is>
      </c>
      <c r="B13" s="373" t="n">
        <v>5</v>
      </c>
      <c r="C13" s="374" t="n">
        <v>0</v>
      </c>
      <c r="D13" s="374" t="inlineStr">
        <is>
          <t>Verify SendJointDesign rejects a missing mandatory input argument</t>
        </is>
      </c>
      <c r="E13" s="374" t="n"/>
      <c r="F13" s="374" t="n"/>
      <c r="G13" s="374" t="n"/>
      <c r="H13" s="374" t="n"/>
      <c r="I13" s="374" t="inlineStr">
        <is>
          <t>n</t>
        </is>
      </c>
      <c r="J13" s="374" t="inlineStr">
        <is>
          <t>OPC 40450-1 Section 7.8 Table 136; Section 7.4 status</t>
        </is>
      </c>
      <c r="K13" s="375" t="n"/>
      <c r="L13" s="25" t="n"/>
      <c r="M13" s="26" t="n"/>
      <c r="N13" s="26" t="n"/>
    </row>
    <row r="14" ht="64" customHeight="1" s="173">
      <c r="A14" s="329" t="n"/>
      <c r="B14" s="330" t="n"/>
      <c r="C14" s="331" t="n">
        <v>1</v>
      </c>
      <c r="D14" s="331" t="inlineStr">
        <is>
          <t>Invoke SendJointDesign with one mandatory input argument omitted from the Call request.</t>
        </is>
      </c>
      <c r="E14" s="331" t="inlineStr">
        <is>
          <t>The SendJointDesign method is exposed and its complete InputArguments signature is known.</t>
        </is>
      </c>
      <c r="F14" s="331" t="inlineStr">
        <is>
          <t>The Call Service returns Good (ResponseHeader.ServiceResult = Good); CallMethodResult.StatusCode = Bad_ArgumentsMissing. OutputArguments is empty, so no Status or StatusMessage output is returned.</t>
        </is>
      </c>
      <c r="G14" s="331" t="inlineStr">
        <is>
          <t>Good</t>
        </is>
      </c>
      <c r="H14" s="331" t="inlineStr">
        <is>
          <t>CallMethodResult.StatusCode = Bad_ArgumentsMissing; no output arguments</t>
        </is>
      </c>
      <c r="I14" s="331" t="n"/>
      <c r="J14" s="331" t="inlineStr">
        <is>
          <t>OPC 40450-1 Section 7.8 Table 136; Section 7.4 status</t>
        </is>
      </c>
      <c r="K14" s="332" t="n"/>
      <c r="L14" s="25" t="n"/>
      <c r="M14" s="26" t="n"/>
      <c r="N14" s="26" t="n"/>
    </row>
    <row r="15" ht="49" customHeight="1" s="173"/>
    <row r="16" ht="64" customHeight="1" s="173"/>
    <row r="17" ht="34" customHeight="1" s="173"/>
    <row r="18" ht="64" customHeight="1" s="173"/>
    <row r="19" ht="34" customFormat="1" customHeight="1" s="2"/>
    <row r="20" ht="64" customHeight="1" s="173"/>
    <row r="21" ht="34" customHeight="1" s="173"/>
    <row r="22" ht="49" customHeight="1" s="173"/>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100">
    <tabColor rgb="FF2E75B6"/>
    <outlinePr summaryBelow="1" summaryRight="1"/>
    <pageSetUpPr/>
  </sheetPr>
  <dimension ref="A1:N1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CU-113: IJT Get Joint Design List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CU-113 — IJT Get Joint Design List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GetJointDesignList method signature</t>
        </is>
      </c>
      <c r="E4" s="304" t="n"/>
      <c r="F4" s="304" t="n"/>
      <c r="G4" s="304" t="n"/>
      <c r="H4" s="304" t="n"/>
      <c r="I4" s="304" t="inlineStr">
        <is>
          <t>n</t>
        </is>
      </c>
      <c r="J4" s="304" t="inlineStr">
        <is>
          <t>OPC 40450-1 Section 7.8 Table 146; Section 7.4 status</t>
        </is>
      </c>
      <c r="K4" s="305" t="inlineStr"/>
      <c r="L4" s="25" t="n"/>
      <c r="M4" s="26" t="n"/>
      <c r="N4" s="26" t="n"/>
    </row>
    <row r="5" ht="64" customHeight="1" s="173">
      <c r="A5" s="329" t="n"/>
      <c r="B5" s="330" t="n"/>
      <c r="C5" s="331" t="n">
        <v>1</v>
      </c>
      <c r="D5" s="331" t="inlineStr">
        <is>
          <t>Browse the asset MethodSet for GetJointDesignList and read its InputArguments and OutputArguments.</t>
        </is>
      </c>
      <c r="E5" s="331" t="inlineStr">
        <is>
          <t>The Server exposes the GetJointDesignList method.</t>
        </is>
      </c>
      <c r="F5" s="331" t="inlineStr">
        <is>
          <t>GetJointDesignList is a Method. InputArguments = ProductInstanceUri (String). OutputArguments = JointDesignList (JointDesignDataType[]), Status (Int64), StatusMessage (LocalizedText).</t>
        </is>
      </c>
      <c r="G5" s="331" t="inlineStr">
        <is>
          <t>Good</t>
        </is>
      </c>
      <c r="H5" s="331" t="inlineStr">
        <is>
          <t>Good</t>
        </is>
      </c>
      <c r="I5" s="331" t="n"/>
      <c r="J5" s="331" t="inlineStr">
        <is>
          <t>OPC 40450-1 Section 7.8 Table 146; Section 7.4 status</t>
        </is>
      </c>
      <c r="K5" s="332" t="n"/>
      <c r="L5" s="25" t="n"/>
      <c r="M5" s="26" t="n"/>
      <c r="N5" s="26" t="n"/>
    </row>
    <row r="6" ht="49" customHeight="1" s="173">
      <c r="A6" s="302" t="inlineStr">
        <is>
          <t>y</t>
        </is>
      </c>
      <c r="B6" s="303" t="n">
        <v>2</v>
      </c>
      <c r="C6" s="304" t="n">
        <v>0</v>
      </c>
      <c r="D6" s="304" t="inlineStr">
        <is>
          <t>Call GetJointDesignList and verify the outcome</t>
        </is>
      </c>
      <c r="E6" s="304" t="n"/>
      <c r="F6" s="304" t="n"/>
      <c r="G6" s="304" t="n"/>
      <c r="H6" s="304" t="n"/>
      <c r="I6" s="304" t="inlineStr">
        <is>
          <t>n</t>
        </is>
      </c>
      <c r="J6" s="304" t="inlineStr">
        <is>
          <t>OPC 40450-1 Section 7.8 Table 146; Section 7.4 status</t>
        </is>
      </c>
      <c r="K6" s="305" t="n"/>
      <c r="L6" s="25" t="n"/>
      <c r="M6" s="26" t="n"/>
      <c r="N6" s="26" t="n"/>
    </row>
    <row r="7" ht="49" customHeight="1" s="173">
      <c r="A7" s="329" t="n"/>
      <c r="B7" s="330" t="n"/>
      <c r="C7" s="331" t="n">
        <v>1</v>
      </c>
      <c r="D7" s="331" t="inlineStr">
        <is>
          <t>Call GetJointDesignList with valid input arguments (a valid ProductInstanceUri of an asset exposed by the Server).</t>
        </is>
      </c>
      <c r="E7" s="331" t="inlineStr">
        <is>
          <t>The GetJointDesignList method is callable.</t>
        </is>
      </c>
      <c r="F7" s="331" t="inlineStr">
        <is>
          <t>The Call Service returns Good; Status = 0 (OK) with a StatusMessage. JointDesignList returns the joint designs available in the system.</t>
        </is>
      </c>
      <c r="G7" s="331" t="inlineStr">
        <is>
          <t>Good</t>
        </is>
      </c>
      <c r="H7" s="331" t="inlineStr">
        <is>
          <t>Status = 0 (OK)</t>
        </is>
      </c>
      <c r="I7" s="331" t="n"/>
      <c r="J7" s="331" t="inlineStr">
        <is>
          <t>OPC 40450-1 Section 7.8 Table 146;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GetJointDesignList rejects an invalid ProductInstanceUri</t>
        </is>
      </c>
      <c r="E9" s="374" t="n"/>
      <c r="F9" s="374" t="n"/>
      <c r="G9" s="374" t="n"/>
      <c r="H9" s="374" t="n"/>
      <c r="I9" s="374" t="inlineStr">
        <is>
          <t>n</t>
        </is>
      </c>
      <c r="J9" s="374" t="inlineStr">
        <is>
          <t>OPC 40450-1 Section 7.8 Table 146; Section 7.4 status</t>
        </is>
      </c>
      <c r="K9" s="375" t="n"/>
      <c r="L9" s="25" t="n"/>
      <c r="M9" s="26" t="n"/>
      <c r="N9" s="26" t="n"/>
    </row>
    <row r="10" ht="64" customHeight="1" s="173">
      <c r="A10" s="329" t="n"/>
      <c r="B10" s="330" t="n"/>
      <c r="C10" s="331" t="n">
        <v>1</v>
      </c>
      <c r="D10" s="331" t="inlineStr">
        <is>
          <t>Call GetJointDesignList with a ProductInstanceUri that is not exposed by the Server; all other arguments valid.</t>
        </is>
      </c>
      <c r="E10" s="331" t="inlineStr">
        <is>
          <t>The GetJointDesignList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7.8 Table 146; Section 7.4 status</t>
        </is>
      </c>
      <c r="K10" s="332" t="n"/>
      <c r="L10" s="25" t="n"/>
      <c r="M10" s="26" t="n"/>
      <c r="N10" s="26" t="n"/>
    </row>
    <row r="11" ht="49" customHeight="1" s="173"/>
    <row r="12" ht="64" customHeight="1" s="173"/>
    <row r="13" ht="34" customHeight="1" s="173"/>
    <row r="14" ht="64" customHeight="1" s="173"/>
    <row r="15" ht="34" customHeight="1" s="173"/>
    <row r="16" ht="34" customHeight="1" s="173"/>
    <row r="17" ht="34" customHeight="1" s="173"/>
    <row r="18" ht="64" customHeight="1" s="173"/>
    <row r="19" ht="34" customFormat="1" customHeight="1" s="2"/>
    <row r="20" ht="49" customHeight="1" s="173"/>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1">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CU-114: IJT Get Joint Design</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CU-114 — IJT Get Joint Design</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GetJointDesign method signature</t>
        </is>
      </c>
      <c r="E4" s="304" t="n"/>
      <c r="F4" s="304" t="n"/>
      <c r="G4" s="304" t="n"/>
      <c r="H4" s="304" t="n"/>
      <c r="I4" s="304" t="inlineStr">
        <is>
          <t>n</t>
        </is>
      </c>
      <c r="J4" s="304" t="inlineStr">
        <is>
          <t>OPC 40450-1 Section 7.8 Table 152; Section 7.4 status</t>
        </is>
      </c>
      <c r="K4" s="305" t="inlineStr"/>
      <c r="L4" s="25" t="n"/>
      <c r="M4" s="26" t="n"/>
      <c r="N4" s="26" t="n"/>
    </row>
    <row r="5" ht="64" customHeight="1" s="173">
      <c r="A5" s="329" t="n"/>
      <c r="B5" s="330" t="n"/>
      <c r="C5" s="331" t="n">
        <v>1</v>
      </c>
      <c r="D5" s="331" t="inlineStr">
        <is>
          <t>Browse the asset MethodSet for GetJointDesign and read its InputArguments and OutputArguments.</t>
        </is>
      </c>
      <c r="E5" s="331" t="inlineStr">
        <is>
          <t>The Server exposes the GetJointDesign method.</t>
        </is>
      </c>
      <c r="F5" s="331" t="inlineStr">
        <is>
          <t>GetJointDesign is a Method. InputArguments = ProductInstanceUri (String), JointDesignId (TrimmedString). OutputArguments = JointDesign (JointDesignDataType), Status (Int64), StatusMessage (LocalizedText).</t>
        </is>
      </c>
      <c r="G5" s="331" t="inlineStr">
        <is>
          <t>Good</t>
        </is>
      </c>
      <c r="H5" s="331" t="inlineStr">
        <is>
          <t>Good</t>
        </is>
      </c>
      <c r="I5" s="331" t="n"/>
      <c r="J5" s="331" t="inlineStr">
        <is>
          <t>OPC 40450-1 Section 7.8 Table 152; Section 7.4 status</t>
        </is>
      </c>
      <c r="K5" s="332" t="n"/>
      <c r="L5" s="25" t="n"/>
      <c r="M5" s="26" t="n"/>
      <c r="N5" s="26" t="n"/>
    </row>
    <row r="6" ht="49" customHeight="1" s="173">
      <c r="A6" s="302" t="inlineStr">
        <is>
          <t>y</t>
        </is>
      </c>
      <c r="B6" s="303" t="n">
        <v>2</v>
      </c>
      <c r="C6" s="304" t="n">
        <v>0</v>
      </c>
      <c r="D6" s="304" t="inlineStr">
        <is>
          <t>Call GetJointDesign and verify the outcome</t>
        </is>
      </c>
      <c r="E6" s="304" t="n"/>
      <c r="F6" s="304" t="n"/>
      <c r="G6" s="304" t="n"/>
      <c r="H6" s="304" t="n"/>
      <c r="I6" s="304" t="inlineStr">
        <is>
          <t>n</t>
        </is>
      </c>
      <c r="J6" s="304" t="inlineStr">
        <is>
          <t>OPC 40450-1 Section 7.8 Table 152; Section 7.4 status</t>
        </is>
      </c>
      <c r="K6" s="305" t="n"/>
      <c r="L6" s="25" t="n"/>
      <c r="M6" s="26" t="n"/>
      <c r="N6" s="26" t="n"/>
    </row>
    <row r="7" ht="49" customHeight="1" s="173">
      <c r="A7" s="329" t="n"/>
      <c r="B7" s="330" t="n"/>
      <c r="C7" s="331" t="n">
        <v>1</v>
      </c>
      <c r="D7" s="331" t="inlineStr">
        <is>
          <t>Call GetJointDesign with valid input arguments (a valid ProductInstanceUri of an asset exposed by the Server).</t>
        </is>
      </c>
      <c r="E7" s="331" t="inlineStr">
        <is>
          <t>The GetJointDesign method is callable.</t>
        </is>
      </c>
      <c r="F7" s="331" t="inlineStr">
        <is>
          <t>The Call Service returns Good; Status = 0 (OK) with a StatusMessage. JointDesign returns the joint design for JointDesignId.</t>
        </is>
      </c>
      <c r="G7" s="331" t="inlineStr">
        <is>
          <t>Good</t>
        </is>
      </c>
      <c r="H7" s="331" t="inlineStr">
        <is>
          <t>Status = 0 (OK)</t>
        </is>
      </c>
      <c r="I7" s="331" t="n"/>
      <c r="J7" s="331" t="inlineStr">
        <is>
          <t>OPC 40450-1 Section 7.8 Table 152;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GetJointDesign rejects an invalid ProductInstanceUri</t>
        </is>
      </c>
      <c r="E9" s="374" t="n"/>
      <c r="F9" s="374" t="n"/>
      <c r="G9" s="374" t="n"/>
      <c r="H9" s="374" t="n"/>
      <c r="I9" s="374" t="inlineStr">
        <is>
          <t>n</t>
        </is>
      </c>
      <c r="J9" s="374" t="inlineStr">
        <is>
          <t>OPC 40450-1 Section 7.8 Table 152; Section 7.4 status</t>
        </is>
      </c>
      <c r="K9" s="375" t="n"/>
      <c r="L9" s="25" t="n"/>
      <c r="M9" s="26" t="n"/>
      <c r="N9" s="26" t="n"/>
    </row>
    <row r="10" ht="64" customHeight="1" s="173">
      <c r="A10" s="329" t="n"/>
      <c r="B10" s="330" t="n"/>
      <c r="C10" s="331" t="n">
        <v>1</v>
      </c>
      <c r="D10" s="331" t="inlineStr">
        <is>
          <t>Call GetJointDesign with a ProductInstanceUri that is not exposed by the Server; all other arguments valid.</t>
        </is>
      </c>
      <c r="E10" s="331" t="inlineStr">
        <is>
          <t>The GetJointDesign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7.8 Table 152; Section 7.4 status</t>
        </is>
      </c>
      <c r="K10" s="332" t="n"/>
      <c r="L10" s="25" t="n"/>
      <c r="M10" s="26" t="n"/>
      <c r="N10" s="26" t="n"/>
    </row>
    <row r="11" ht="49" customHeight="1" s="173">
      <c r="A11" s="372" t="inlineStr">
        <is>
          <t>y</t>
        </is>
      </c>
      <c r="B11" s="373" t="n">
        <v>4</v>
      </c>
      <c r="C11" s="374" t="n">
        <v>0</v>
      </c>
      <c r="D11" s="374" t="inlineStr">
        <is>
          <t>Verify GetJointDesign rejects an unknown JointDesignId</t>
        </is>
      </c>
      <c r="E11" s="374" t="n"/>
      <c r="F11" s="374" t="n"/>
      <c r="G11" s="374" t="n"/>
      <c r="H11" s="374" t="n"/>
      <c r="I11" s="374" t="inlineStr">
        <is>
          <t>n</t>
        </is>
      </c>
      <c r="J11" s="374" t="inlineStr">
        <is>
          <t>OPC 40450-1 Section 7.8 Table 152; Section 7.4 status</t>
        </is>
      </c>
      <c r="K11" s="375" t="n"/>
      <c r="L11" s="25" t="n"/>
      <c r="M11" s="26" t="n"/>
      <c r="N11" s="26" t="n"/>
    </row>
    <row r="12" ht="64" customHeight="1" s="173">
      <c r="A12" s="329" t="n"/>
      <c r="B12" s="330" t="n"/>
      <c r="C12" s="331" t="n">
        <v>1</v>
      </c>
      <c r="D12" s="331" t="inlineStr">
        <is>
          <t>Call GetJointDesign with a JointDesignId that does not exist on the Server; ProductInstanceUri and all other arguments valid.</t>
        </is>
      </c>
      <c r="E12" s="331" t="inlineStr">
        <is>
          <t>The GetJointDesign method is exposed.</t>
        </is>
      </c>
      <c r="F12" s="331" t="inlineStr">
        <is>
          <t>The Call Service returns Good (ResponseHeader.ServiceResult = Good); CallMethodResult.StatusCode = Uncertain; Status output = 4 (Input identifier/entity not found) with a StatusMessage.</t>
        </is>
      </c>
      <c r="G12" s="331" t="inlineStr">
        <is>
          <t>Good</t>
        </is>
      </c>
      <c r="H12" s="331" t="inlineStr">
        <is>
          <t>CallMethodResult.StatusCode = Uncertain; Status output = 4</t>
        </is>
      </c>
      <c r="I12" s="331" t="n"/>
      <c r="J12" s="331" t="inlineStr">
        <is>
          <t>OPC 40450-1 Section 7.8 Table 152; Section 7.4 status</t>
        </is>
      </c>
      <c r="K12" s="332" t="n"/>
      <c r="L12" s="25" t="n"/>
      <c r="M12" s="26" t="n"/>
      <c r="N12" s="26" t="n"/>
    </row>
    <row r="13" ht="49" customHeight="1" s="173"/>
    <row r="14" ht="64" customHeight="1" s="173"/>
    <row r="15" ht="26.1" customHeight="1" s="173"/>
    <row r="16" ht="38.7" customHeight="1" s="173"/>
    <row r="18" ht="25.8" customHeight="1" s="173"/>
    <row r="19" customFormat="1" s="2"/>
    <row r="20" ht="38.7" customHeight="1" s="173"/>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102">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CU-115: IJT Joint Design Data</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CU-115 — IJT Joint Design Data</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joint design content</t>
        </is>
      </c>
      <c r="E4" s="304" t="n"/>
      <c r="F4" s="304" t="n"/>
      <c r="G4" s="304" t="n"/>
      <c r="H4" s="304" t="n"/>
      <c r="I4" s="304" t="inlineStr">
        <is>
          <t>n</t>
        </is>
      </c>
      <c r="J4" s="304" t="inlineStr">
        <is>
          <t>OPC 40450-1 Section 10.16 Table 238 (JointDesignDataType)</t>
        </is>
      </c>
      <c r="K4" s="305" t="n"/>
    </row>
    <row r="5" ht="49" customFormat="1" customHeight="1" s="2">
      <c r="A5" s="329" t="n"/>
      <c r="B5" s="307" t="n"/>
      <c r="C5" s="307" t="n">
        <v>1</v>
      </c>
      <c r="D5" s="307" t="inlineStr">
        <is>
          <t>Retrieve a joint design via GetJointDesign or GetJointDesignList (or inspect the joint design used in SendJointDesign) and inspect its content.</t>
        </is>
      </c>
      <c r="E5" s="307" t="inlineStr">
        <is>
          <t>A joint design is available in the system.</t>
        </is>
      </c>
      <c r="F5" s="307" t="inlineStr">
        <is>
          <t>The JointDesignDataType contains at least JointDesignId and JointDesignContent (DesignValueDataType[]).</t>
        </is>
      </c>
      <c r="G5" s="307" t="inlineStr">
        <is>
          <t>Good</t>
        </is>
      </c>
      <c r="H5" s="307" t="inlineStr">
        <is>
          <t>Good</t>
        </is>
      </c>
      <c r="I5" s="307" t="n"/>
      <c r="J5" s="307" t="inlineStr">
        <is>
          <t>OPC 40450-1 Section 10.16 Table 238 (JointDesignDataType)</t>
        </is>
      </c>
      <c r="K5" s="332" t="n"/>
    </row>
    <row r="6" ht="49" customHeight="1" s="173">
      <c r="A6" s="323" t="inlineStr">
        <is>
          <t>y</t>
        </is>
      </c>
      <c r="B6" s="324" t="n">
        <v>2</v>
      </c>
      <c r="C6" s="325" t="n">
        <v>0</v>
      </c>
      <c r="D6" s="325" t="inlineStr">
        <is>
          <t>Verify JointComponentIdList when the JointComponent feature is supported</t>
        </is>
      </c>
      <c r="E6" s="325" t="n"/>
      <c r="F6" s="325" t="n"/>
      <c r="G6" s="325" t="n"/>
      <c r="H6" s="325" t="n"/>
      <c r="I6" s="325" t="inlineStr">
        <is>
          <t>n</t>
        </is>
      </c>
      <c r="J6" s="325" t="inlineStr">
        <is>
          <t>OPC 40450-1 Section 10.16 Table 238 (JointDesignDataType)</t>
        </is>
      </c>
      <c r="K6" s="326" t="n"/>
    </row>
    <row r="7" ht="49" customHeight="1" s="173">
      <c r="A7" s="307" t="n"/>
      <c r="B7" s="307" t="n"/>
      <c r="C7" s="307" t="n">
        <v>1</v>
      </c>
      <c r="D7" s="307" t="inlineStr">
        <is>
          <t>If the JointComponent feature is supported, inspect JointDesign.JointComponentIdList.</t>
        </is>
      </c>
      <c r="E7" s="307" t="inlineStr">
        <is>
          <t>The optional components and properties described in the test case are supported. The JointComponent feature is supported.</t>
        </is>
      </c>
      <c r="F7" s="307" t="inlineStr">
        <is>
          <t>The JointDesignDataType includes JointComponentIdList (TrimmedString[]) referencing the associated joint components.</t>
        </is>
      </c>
      <c r="G7" s="307" t="inlineStr">
        <is>
          <t>Good</t>
        </is>
      </c>
      <c r="H7" s="307" t="inlineStr">
        <is>
          <t>Good</t>
        </is>
      </c>
      <c r="I7" s="307" t="n"/>
      <c r="J7" s="307" t="inlineStr">
        <is>
          <t>OPC 40450-1 Section 10.16 Table 238 (JointDesignDataType)</t>
        </is>
      </c>
      <c r="K7" s="307" t="n"/>
    </row>
    <row r="8" ht="34" customHeight="1" s="173"/>
    <row r="9" ht="49" customHeight="1" s="173"/>
    <row r="10" ht="34" customHeight="1" s="173"/>
    <row r="11" ht="49" customHeight="1" s="173"/>
    <row r="12" ht="20.05" customHeight="1" s="173"/>
    <row r="13" ht="34" customHeight="1" s="173"/>
    <row r="14" ht="79" customHeight="1" s="173"/>
    <row r="15" ht="34" customHeight="1" s="173"/>
    <row r="16" ht="49" customHeight="1" s="173"/>
    <row r="17" ht="34" customHeight="1" s="173"/>
    <row r="18" ht="49" customHeight="1" s="173"/>
    <row r="19" ht="34" customHeight="1" s="173"/>
    <row r="20" ht="49" customHeight="1" s="173"/>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8">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CU-116: IJT Delete Joint Design</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CU-116 — IJT Delete Joint Design</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DeleteJointDesign method signature</t>
        </is>
      </c>
      <c r="E4" s="304" t="n"/>
      <c r="F4" s="304" t="n"/>
      <c r="G4" s="304" t="n"/>
      <c r="H4" s="304" t="n"/>
      <c r="I4" s="304" t="inlineStr">
        <is>
          <t>n</t>
        </is>
      </c>
      <c r="J4" s="304" t="inlineStr">
        <is>
          <t>OPC 40450-1 Section 7.8 Table 158; Section 7.4 status</t>
        </is>
      </c>
      <c r="K4" s="305" t="inlineStr"/>
      <c r="L4" s="25" t="n"/>
      <c r="M4" s="26" t="n"/>
      <c r="N4" s="26" t="n"/>
    </row>
    <row r="5" ht="64" customHeight="1" s="173">
      <c r="A5" s="329" t="n"/>
      <c r="B5" s="330" t="n"/>
      <c r="C5" s="331" t="n">
        <v>1</v>
      </c>
      <c r="D5" s="331" t="inlineStr">
        <is>
          <t>Browse the asset MethodSet for DeleteJointDesign and read its InputArguments and OutputArguments.</t>
        </is>
      </c>
      <c r="E5" s="331" t="inlineStr">
        <is>
          <t>The Server exposes the DeleteJointDesign method.</t>
        </is>
      </c>
      <c r="F5" s="331" t="inlineStr">
        <is>
          <t>DeleteJointDesign is a Method. InputArguments = ProductInstanceUri (String), JointDesignId (TrimmedString). OutputArguments = Status (Int64), StatusMessage (LocalizedText).</t>
        </is>
      </c>
      <c r="G5" s="331" t="inlineStr">
        <is>
          <t>Good</t>
        </is>
      </c>
      <c r="H5" s="331" t="inlineStr">
        <is>
          <t>Good</t>
        </is>
      </c>
      <c r="I5" s="331" t="n"/>
      <c r="J5" s="331" t="inlineStr">
        <is>
          <t>OPC 40450-1 Section 7.8 Table 158; Section 7.4 status</t>
        </is>
      </c>
      <c r="K5" s="332" t="n"/>
      <c r="L5" s="25" t="n"/>
      <c r="M5" s="26" t="n"/>
      <c r="N5" s="26" t="n"/>
    </row>
    <row r="6" ht="49" customHeight="1" s="173">
      <c r="A6" s="302" t="inlineStr">
        <is>
          <t>y</t>
        </is>
      </c>
      <c r="B6" s="303" t="n">
        <v>2</v>
      </c>
      <c r="C6" s="304" t="n">
        <v>0</v>
      </c>
      <c r="D6" s="304" t="inlineStr">
        <is>
          <t>Call DeleteJointDesign and verify the outcome</t>
        </is>
      </c>
      <c r="E6" s="304" t="n"/>
      <c r="F6" s="304" t="n"/>
      <c r="G6" s="304" t="n"/>
      <c r="H6" s="304" t="n"/>
      <c r="I6" s="304" t="inlineStr">
        <is>
          <t>n</t>
        </is>
      </c>
      <c r="J6" s="304" t="inlineStr">
        <is>
          <t>OPC 40450-1 Section 7.8 Table 158; Section 7.4 status</t>
        </is>
      </c>
      <c r="K6" s="305" t="n"/>
      <c r="L6" s="25" t="n"/>
      <c r="M6" s="26" t="n"/>
      <c r="N6" s="26" t="n"/>
    </row>
    <row r="7" ht="49" customHeight="1" s="173">
      <c r="A7" s="329" t="n"/>
      <c r="B7" s="330" t="n"/>
      <c r="C7" s="331" t="n">
        <v>1</v>
      </c>
      <c r="D7" s="331" t="inlineStr">
        <is>
          <t>Call DeleteJointDesign with valid input arguments (a valid ProductInstanceUri of an asset exposed by the Server).</t>
        </is>
      </c>
      <c r="E7" s="331" t="inlineStr">
        <is>
          <t>The DeleteJointDesign method is callable.</t>
        </is>
      </c>
      <c r="F7" s="331" t="inlineStr">
        <is>
          <t>The Call Service returns Good; Status = 0 (OK) with a StatusMessage. The identified joint design is deleted.</t>
        </is>
      </c>
      <c r="G7" s="331" t="inlineStr">
        <is>
          <t>Good</t>
        </is>
      </c>
      <c r="H7" s="331" t="inlineStr">
        <is>
          <t>Status = 0 (OK)</t>
        </is>
      </c>
      <c r="I7" s="331" t="n"/>
      <c r="J7" s="331" t="inlineStr">
        <is>
          <t>OPC 40450-1 Section 7.8 Table 158;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DeleteJointDesign rejects an invalid ProductInstanceUri</t>
        </is>
      </c>
      <c r="E9" s="374" t="n"/>
      <c r="F9" s="374" t="n"/>
      <c r="G9" s="374" t="n"/>
      <c r="H9" s="374" t="n"/>
      <c r="I9" s="374" t="inlineStr">
        <is>
          <t>n</t>
        </is>
      </c>
      <c r="J9" s="374" t="inlineStr">
        <is>
          <t>OPC 40450-1 Section 7.8 Table 158; Section 7.4 status</t>
        </is>
      </c>
      <c r="K9" s="375" t="n"/>
      <c r="L9" s="25" t="n"/>
      <c r="M9" s="26" t="n"/>
      <c r="N9" s="26" t="n"/>
    </row>
    <row r="10" ht="64" customHeight="1" s="173">
      <c r="A10" s="329" t="n"/>
      <c r="B10" s="330" t="n"/>
      <c r="C10" s="331" t="n">
        <v>1</v>
      </c>
      <c r="D10" s="331" t="inlineStr">
        <is>
          <t>Call DeleteJointDesign with a ProductInstanceUri that is not exposed by the Server; all other arguments valid.</t>
        </is>
      </c>
      <c r="E10" s="331" t="inlineStr">
        <is>
          <t>The DeleteJointDesign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7.8 Table 158; Section 7.4 status</t>
        </is>
      </c>
      <c r="K10" s="332" t="n"/>
      <c r="L10" s="25" t="n"/>
      <c r="M10" s="26" t="n"/>
      <c r="N10" s="26" t="n"/>
    </row>
    <row r="11" ht="49" customHeight="1" s="173">
      <c r="A11" s="372" t="inlineStr">
        <is>
          <t>y</t>
        </is>
      </c>
      <c r="B11" s="373" t="n">
        <v>4</v>
      </c>
      <c r="C11" s="374" t="n">
        <v>0</v>
      </c>
      <c r="D11" s="374" t="inlineStr">
        <is>
          <t>Verify DeleteJointDesign rejects an unknown JointDesignId</t>
        </is>
      </c>
      <c r="E11" s="374" t="n"/>
      <c r="F11" s="374" t="n"/>
      <c r="G11" s="374" t="n"/>
      <c r="H11" s="374" t="n"/>
      <c r="I11" s="374" t="inlineStr">
        <is>
          <t>n</t>
        </is>
      </c>
      <c r="J11" s="374" t="inlineStr">
        <is>
          <t>OPC 40450-1 Section 7.8 Table 158; Section 7.4 status</t>
        </is>
      </c>
      <c r="K11" s="375" t="n"/>
      <c r="L11" s="25" t="n"/>
      <c r="M11" s="26" t="n"/>
      <c r="N11" s="26" t="n"/>
    </row>
    <row r="12" ht="64" customHeight="1" s="173">
      <c r="A12" s="329" t="n"/>
      <c r="B12" s="330" t="n"/>
      <c r="C12" s="331" t="n">
        <v>1</v>
      </c>
      <c r="D12" s="331" t="inlineStr">
        <is>
          <t>Call DeleteJointDesign with a JointDesignId that does not exist on the Server; ProductInstanceUri and all other arguments valid.</t>
        </is>
      </c>
      <c r="E12" s="331" t="inlineStr">
        <is>
          <t>The DeleteJointDesign method is exposed.</t>
        </is>
      </c>
      <c r="F12" s="331" t="inlineStr">
        <is>
          <t>The Call Service returns Good (ResponseHeader.ServiceResult = Good); CallMethodResult.StatusCode = Uncertain; Status output = 4 (Input identifier/entity not found) with a StatusMessage.</t>
        </is>
      </c>
      <c r="G12" s="331" t="inlineStr">
        <is>
          <t>Good</t>
        </is>
      </c>
      <c r="H12" s="331" t="inlineStr">
        <is>
          <t>CallMethodResult.StatusCode = Uncertain; Status output = 4</t>
        </is>
      </c>
      <c r="I12" s="331" t="n"/>
      <c r="J12" s="331" t="inlineStr">
        <is>
          <t>OPC 40450-1 Section 7.8 Table 158; Section 7.4 status</t>
        </is>
      </c>
      <c r="K12" s="332" t="n"/>
      <c r="L12" s="25" t="n"/>
      <c r="M12" s="26" t="n"/>
      <c r="N12" s="26" t="n"/>
    </row>
    <row r="13" ht="49" customHeight="1" s="173"/>
    <row r="14" ht="64" customHeight="1" s="173"/>
    <row r="15" ht="34" customHeight="1" s="173"/>
    <row r="16" ht="90" customHeight="1" s="173"/>
    <row r="17" ht="34" customHeight="1" s="173"/>
    <row r="18" ht="64" customHeight="1" s="173"/>
    <row r="19" customFormat="1" s="2"/>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3">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CU-117: IJT Send Joint Component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CU-117 — IJT Send Joint Component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SendJointComponent method signature</t>
        </is>
      </c>
      <c r="E4" s="304" t="n"/>
      <c r="F4" s="304" t="n"/>
      <c r="G4" s="304" t="n"/>
      <c r="H4" s="304" t="n"/>
      <c r="I4" s="304" t="inlineStr">
        <is>
          <t>n</t>
        </is>
      </c>
      <c r="J4" s="304" t="inlineStr">
        <is>
          <t>OPC 40450-1 Section 7.8 Table 138; Section 7.4 status</t>
        </is>
      </c>
      <c r="K4" s="305" t="inlineStr"/>
      <c r="L4" s="25" t="n"/>
      <c r="M4" s="26" t="n"/>
      <c r="N4" s="26" t="n"/>
    </row>
    <row r="5" ht="64" customHeight="1" s="173">
      <c r="A5" s="329" t="n"/>
      <c r="B5" s="330" t="n"/>
      <c r="C5" s="331" t="n">
        <v>1</v>
      </c>
      <c r="D5" s="331" t="inlineStr">
        <is>
          <t>Browse the asset MethodSet for SendJointComponent and read its InputArguments and OutputArguments.</t>
        </is>
      </c>
      <c r="E5" s="331" t="inlineStr">
        <is>
          <t>The Server exposes the SendJointComponent method.</t>
        </is>
      </c>
      <c r="F5" s="331" t="inlineStr">
        <is>
          <t>SendJointComponent is a Method. InputArguments = ProductInstanceUri (String), JointComponent (JointComponentDataType). OutputArguments = Status (Int64), StatusMessage (LocalizedText).</t>
        </is>
      </c>
      <c r="G5" s="331" t="inlineStr">
        <is>
          <t>Good</t>
        </is>
      </c>
      <c r="H5" s="331" t="inlineStr">
        <is>
          <t>Good</t>
        </is>
      </c>
      <c r="I5" s="331" t="n"/>
      <c r="J5" s="331" t="inlineStr">
        <is>
          <t>OPC 40450-1 Section 7.8 Table 138; Section 7.4 status</t>
        </is>
      </c>
      <c r="K5" s="332" t="n"/>
      <c r="L5" s="25" t="n"/>
      <c r="M5" s="26" t="n"/>
      <c r="N5" s="26" t="n"/>
    </row>
    <row r="6" ht="49" customHeight="1" s="173">
      <c r="A6" s="302" t="inlineStr">
        <is>
          <t>y</t>
        </is>
      </c>
      <c r="B6" s="303" t="n">
        <v>2</v>
      </c>
      <c r="C6" s="304" t="n">
        <v>0</v>
      </c>
      <c r="D6" s="304" t="inlineStr">
        <is>
          <t>Call SendJointComponent and verify the outcome</t>
        </is>
      </c>
      <c r="E6" s="304" t="n"/>
      <c r="F6" s="304" t="n"/>
      <c r="G6" s="304" t="n"/>
      <c r="H6" s="304" t="n"/>
      <c r="I6" s="304" t="inlineStr">
        <is>
          <t>n</t>
        </is>
      </c>
      <c r="J6" s="304" t="inlineStr">
        <is>
          <t>OPC 40450-1 Section 7.8 Table 138; Section 7.4 status</t>
        </is>
      </c>
      <c r="K6" s="305" t="n"/>
      <c r="L6" s="25" t="n"/>
      <c r="M6" s="26" t="n"/>
      <c r="N6" s="26" t="n"/>
    </row>
    <row r="7" ht="49" customHeight="1" s="173">
      <c r="A7" s="329" t="n"/>
      <c r="B7" s="330" t="n"/>
      <c r="C7" s="331" t="n">
        <v>1</v>
      </c>
      <c r="D7" s="331" t="inlineStr">
        <is>
          <t>Call SendJointComponent with valid input arguments (a valid ProductInstanceUri of an asset exposed by the Server).</t>
        </is>
      </c>
      <c r="E7" s="331" t="inlineStr">
        <is>
          <t>The SendJointComponent method is callable.</t>
        </is>
      </c>
      <c r="F7" s="331" t="inlineStr">
        <is>
          <t>The Call Service returns Good; Status = 0 (OK) with a StatusMessage. The joint component content is stored (an existing joint component is overwritten).</t>
        </is>
      </c>
      <c r="G7" s="331" t="inlineStr">
        <is>
          <t>Good</t>
        </is>
      </c>
      <c r="H7" s="331" t="inlineStr">
        <is>
          <t>Status = 0 (OK)</t>
        </is>
      </c>
      <c r="I7" s="331" t="n"/>
      <c r="J7" s="331" t="inlineStr">
        <is>
          <t>OPC 40450-1 Section 7.8 Table 138;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SendJointComponent rejects an invalid ProductInstanceUri</t>
        </is>
      </c>
      <c r="E9" s="374" t="n"/>
      <c r="F9" s="374" t="n"/>
      <c r="G9" s="374" t="n"/>
      <c r="H9" s="374" t="n"/>
      <c r="I9" s="374" t="inlineStr">
        <is>
          <t>n</t>
        </is>
      </c>
      <c r="J9" s="374" t="inlineStr">
        <is>
          <t>OPC 40450-1 Section 7.8 Table 138; Section 7.4 status</t>
        </is>
      </c>
      <c r="K9" s="375" t="n"/>
      <c r="L9" s="25" t="n"/>
      <c r="M9" s="26" t="n"/>
      <c r="N9" s="26" t="n"/>
    </row>
    <row r="10" ht="64" customHeight="1" s="173">
      <c r="A10" s="329" t="n"/>
      <c r="B10" s="330" t="n"/>
      <c r="C10" s="331" t="n">
        <v>1</v>
      </c>
      <c r="D10" s="331" t="inlineStr">
        <is>
          <t>Call SendJointComponent with a ProductInstanceUri that is not exposed by the Server; all other arguments valid.</t>
        </is>
      </c>
      <c r="E10" s="331" t="inlineStr">
        <is>
          <t>The SendJointComponent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7.8 Table 138; Section 7.4 status</t>
        </is>
      </c>
      <c r="K10" s="332" t="n"/>
      <c r="L10" s="25" t="n"/>
      <c r="M10" s="26" t="n"/>
      <c r="N10" s="26" t="n"/>
    </row>
    <row r="11" ht="49" customHeight="1" s="173">
      <c r="A11" s="372" t="inlineStr">
        <is>
          <t>y</t>
        </is>
      </c>
      <c r="B11" s="373" t="n">
        <v>4</v>
      </c>
      <c r="C11" s="374" t="n">
        <v>0</v>
      </c>
      <c r="D11" s="374" t="inlineStr">
        <is>
          <t>Verify SendJointComponent rejects a present but invalid input value</t>
        </is>
      </c>
      <c r="E11" s="374" t="n"/>
      <c r="F11" s="374" t="n"/>
      <c r="G11" s="374" t="n"/>
      <c r="H11" s="374" t="n"/>
      <c r="I11" s="374" t="inlineStr">
        <is>
          <t>n</t>
        </is>
      </c>
      <c r="J11" s="374" t="inlineStr">
        <is>
          <t>OPC 40450-1 Section 7.8 Table 138; Section 7.4 status</t>
        </is>
      </c>
      <c r="K11" s="375" t="n"/>
      <c r="L11" s="25" t="n"/>
      <c r="M11" s="26" t="n"/>
      <c r="N11" s="26" t="n"/>
    </row>
    <row r="12" ht="64" customHeight="1" s="173">
      <c r="A12" s="329" t="n"/>
      <c r="B12" s="330" t="n"/>
      <c r="C12" s="331" t="n">
        <v>1</v>
      </c>
      <c r="D12" s="331" t="inlineStr">
        <is>
          <t>Call SendJointComponent with a decodable JointComponentDataType whose mandatory JointComponentId is empty.</t>
        </is>
      </c>
      <c r="E12" s="331" t="inlineStr">
        <is>
          <t>The SendJointComponent method is exposed.</t>
        </is>
      </c>
      <c r="F12" s="331" t="inlineStr">
        <is>
          <t>The Call Service returns Good (ResponseHeader.ServiceResult = Good); CallMethodResult.StatusCode = Uncertain; Status output = 5 (Invalid input) with a StatusMessage.</t>
        </is>
      </c>
      <c r="G12" s="331" t="inlineStr">
        <is>
          <t>Good</t>
        </is>
      </c>
      <c r="H12" s="331" t="inlineStr">
        <is>
          <t>CallMethodResult.StatusCode = Uncertain; Status output = 5</t>
        </is>
      </c>
      <c r="I12" s="331" t="n"/>
      <c r="J12" s="331" t="inlineStr">
        <is>
          <t>OPC 40450-1 Section 7.8 Table 138; Section 7.4 status</t>
        </is>
      </c>
      <c r="K12" s="332" t="n"/>
      <c r="L12" s="25" t="n"/>
      <c r="M12" s="26" t="n"/>
      <c r="N12" s="26" t="n"/>
    </row>
    <row r="13" ht="49" customHeight="1" s="173">
      <c r="A13" s="372" t="inlineStr">
        <is>
          <t>y</t>
        </is>
      </c>
      <c r="B13" s="373" t="n">
        <v>5</v>
      </c>
      <c r="C13" s="374" t="n">
        <v>0</v>
      </c>
      <c r="D13" s="374" t="inlineStr">
        <is>
          <t>Verify SendJointComponent rejects a missing mandatory input argument</t>
        </is>
      </c>
      <c r="E13" s="374" t="n"/>
      <c r="F13" s="374" t="n"/>
      <c r="G13" s="374" t="n"/>
      <c r="H13" s="374" t="n"/>
      <c r="I13" s="374" t="inlineStr">
        <is>
          <t>n</t>
        </is>
      </c>
      <c r="J13" s="374" t="inlineStr">
        <is>
          <t>OPC 40450-1 Section 7.8 Table 138; Section 7.4 status</t>
        </is>
      </c>
      <c r="K13" s="375" t="n"/>
      <c r="L13" s="25" t="n"/>
      <c r="M13" s="26" t="n"/>
      <c r="N13" s="26" t="n"/>
    </row>
    <row r="14" ht="64" customHeight="1" s="173">
      <c r="A14" s="329" t="n"/>
      <c r="B14" s="330" t="n"/>
      <c r="C14" s="331" t="n">
        <v>1</v>
      </c>
      <c r="D14" s="331" t="inlineStr">
        <is>
          <t>Invoke SendJointComponent with one mandatory input argument omitted from the Call request.</t>
        </is>
      </c>
      <c r="E14" s="331" t="inlineStr">
        <is>
          <t>The SendJointComponent method is exposed and its complete InputArguments signature is known.</t>
        </is>
      </c>
      <c r="F14" s="331" t="inlineStr">
        <is>
          <t>The Call Service returns Good (ResponseHeader.ServiceResult = Good); CallMethodResult.StatusCode = Bad_ArgumentsMissing. OutputArguments is empty, so no Status or StatusMessage output is returned.</t>
        </is>
      </c>
      <c r="G14" s="331" t="inlineStr">
        <is>
          <t>Good</t>
        </is>
      </c>
      <c r="H14" s="331" t="inlineStr">
        <is>
          <t>CallMethodResult.StatusCode = Bad_ArgumentsMissing; no output arguments</t>
        </is>
      </c>
      <c r="I14" s="331" t="n"/>
      <c r="J14" s="331" t="inlineStr">
        <is>
          <t>OPC 40450-1 Section 7.8 Table 138; Section 7.4 status</t>
        </is>
      </c>
      <c r="K14" s="332" t="n"/>
      <c r="L14" s="25" t="n"/>
      <c r="M14" s="26" t="n"/>
      <c r="N14" s="26" t="n"/>
    </row>
    <row r="15" ht="49" customHeight="1" s="173"/>
    <row r="16" ht="64" customHeight="1" s="173"/>
    <row r="17" ht="34" customHeight="1" s="173"/>
    <row r="18" ht="64" customHeight="1" s="173"/>
    <row r="19" ht="34" customFormat="1" customHeight="1" s="2"/>
    <row r="20" ht="49" customHeight="1" s="173"/>
    <row r="21" ht="34" customHeight="1" s="173"/>
    <row r="22" ht="49" customHeight="1" s="173"/>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4">
    <tabColor rgb="FF2E75B6"/>
    <outlinePr summaryBelow="1" summaryRight="1"/>
    <pageSetUpPr/>
  </sheetPr>
  <dimension ref="A1:N1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CU-118: IJT Get Joint Component List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CU-118 — IJT Get Joint Component List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GetJointComponentList method signature</t>
        </is>
      </c>
      <c r="E4" s="304" t="n"/>
      <c r="F4" s="304" t="n"/>
      <c r="G4" s="304" t="n"/>
      <c r="H4" s="304" t="n"/>
      <c r="I4" s="304" t="inlineStr">
        <is>
          <t>n</t>
        </is>
      </c>
      <c r="J4" s="304" t="inlineStr">
        <is>
          <t>OPC 40450-1 Section 7.8 Table 148; Section 7.4 status</t>
        </is>
      </c>
      <c r="K4" s="305" t="inlineStr"/>
      <c r="L4" s="25" t="n"/>
      <c r="M4" s="26" t="n"/>
      <c r="N4" s="26" t="n"/>
    </row>
    <row r="5" ht="64" customHeight="1" s="173">
      <c r="A5" s="329" t="n"/>
      <c r="B5" s="330" t="n"/>
      <c r="C5" s="331" t="n">
        <v>1</v>
      </c>
      <c r="D5" s="331" t="inlineStr">
        <is>
          <t>Browse the asset MethodSet for GetJointComponentList and read its InputArguments and OutputArguments.</t>
        </is>
      </c>
      <c r="E5" s="331" t="inlineStr">
        <is>
          <t>The Server exposes the GetJointComponentList method.</t>
        </is>
      </c>
      <c r="F5" s="331" t="inlineStr">
        <is>
          <t>GetJointComponentList is a Method. InputArguments = ProductInstanceUri (String). OutputArguments = JointComponentList (JointComponentDataType[]), Status (Int64), StatusMessage (LocalizedText).</t>
        </is>
      </c>
      <c r="G5" s="331" t="inlineStr">
        <is>
          <t>Good</t>
        </is>
      </c>
      <c r="H5" s="331" t="inlineStr">
        <is>
          <t>Good</t>
        </is>
      </c>
      <c r="I5" s="331" t="n"/>
      <c r="J5" s="331" t="inlineStr">
        <is>
          <t>OPC 40450-1 Section 7.8 Table 148; Section 7.4 status</t>
        </is>
      </c>
      <c r="K5" s="332" t="n"/>
      <c r="L5" s="25" t="n"/>
      <c r="M5" s="26" t="n"/>
      <c r="N5" s="26" t="n"/>
    </row>
    <row r="6" ht="49" customHeight="1" s="173">
      <c r="A6" s="302" t="inlineStr">
        <is>
          <t>y</t>
        </is>
      </c>
      <c r="B6" s="303" t="n">
        <v>2</v>
      </c>
      <c r="C6" s="304" t="n">
        <v>0</v>
      </c>
      <c r="D6" s="304" t="inlineStr">
        <is>
          <t>Call GetJointComponentList and verify the outcome</t>
        </is>
      </c>
      <c r="E6" s="304" t="n"/>
      <c r="F6" s="304" t="n"/>
      <c r="G6" s="304" t="n"/>
      <c r="H6" s="304" t="n"/>
      <c r="I6" s="304" t="inlineStr">
        <is>
          <t>n</t>
        </is>
      </c>
      <c r="J6" s="304" t="inlineStr">
        <is>
          <t>OPC 40450-1 Section 7.8 Table 148; Section 7.4 status</t>
        </is>
      </c>
      <c r="K6" s="305" t="n"/>
      <c r="L6" s="25" t="n"/>
      <c r="M6" s="26" t="n"/>
      <c r="N6" s="26" t="n"/>
    </row>
    <row r="7" ht="49" customHeight="1" s="173">
      <c r="A7" s="329" t="n"/>
      <c r="B7" s="330" t="n"/>
      <c r="C7" s="331" t="n">
        <v>1</v>
      </c>
      <c r="D7" s="331" t="inlineStr">
        <is>
          <t>Call GetJointComponentList with valid input arguments (a valid ProductInstanceUri of an asset exposed by the Server).</t>
        </is>
      </c>
      <c r="E7" s="331" t="inlineStr">
        <is>
          <t>The GetJointComponentList method is callable.</t>
        </is>
      </c>
      <c r="F7" s="331" t="inlineStr">
        <is>
          <t>The Call Service returns Good; Status = 0 (OK) with a StatusMessage. JointComponentList returns the joint components available in the system.</t>
        </is>
      </c>
      <c r="G7" s="331" t="inlineStr">
        <is>
          <t>Good</t>
        </is>
      </c>
      <c r="H7" s="331" t="inlineStr">
        <is>
          <t>Status = 0 (OK)</t>
        </is>
      </c>
      <c r="I7" s="331" t="n"/>
      <c r="J7" s="331" t="inlineStr">
        <is>
          <t>OPC 40450-1 Section 7.8 Table 148;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GetJointComponentList rejects an invalid ProductInstanceUri</t>
        </is>
      </c>
      <c r="E9" s="374" t="n"/>
      <c r="F9" s="374" t="n"/>
      <c r="G9" s="374" t="n"/>
      <c r="H9" s="374" t="n"/>
      <c r="I9" s="374" t="inlineStr">
        <is>
          <t>n</t>
        </is>
      </c>
      <c r="J9" s="374" t="inlineStr">
        <is>
          <t>OPC 40450-1 Section 7.8 Table 148; Section 7.4 status</t>
        </is>
      </c>
      <c r="K9" s="375" t="n"/>
      <c r="L9" s="25" t="n"/>
      <c r="M9" s="26" t="n"/>
      <c r="N9" s="26" t="n"/>
    </row>
    <row r="10" ht="64" customHeight="1" s="173">
      <c r="A10" s="329" t="n"/>
      <c r="B10" s="330" t="n"/>
      <c r="C10" s="331" t="n">
        <v>1</v>
      </c>
      <c r="D10" s="331" t="inlineStr">
        <is>
          <t>Call GetJointComponentList with a ProductInstanceUri that is not exposed by the Server; all other arguments valid.</t>
        </is>
      </c>
      <c r="E10" s="331" t="inlineStr">
        <is>
          <t>The GetJointComponentList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7.8 Table 148; Section 7.4 status</t>
        </is>
      </c>
      <c r="K10" s="332" t="n"/>
      <c r="L10" s="25" t="n"/>
      <c r="M10" s="26" t="n"/>
      <c r="N10" s="26" t="n"/>
    </row>
    <row r="11" ht="49" customHeight="1" s="173"/>
    <row r="12" ht="64" customHeight="1" s="173"/>
    <row r="13" ht="34" customHeight="1" s="173"/>
    <row r="14" ht="64" customHeight="1" s="173"/>
    <row r="15" ht="34" customHeight="1" s="173"/>
    <row r="16" ht="34" customHeight="1" s="173"/>
    <row r="17" ht="34" customHeight="1" s="173"/>
    <row r="18" ht="49" customHeight="1" s="173"/>
    <row r="19" ht="34" customFormat="1" customHeight="1" s="2"/>
    <row r="20" ht="64" customHeight="1" s="173"/>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5">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CU-119: IJT Get Joint Component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CU-119 — IJT Get Joint Component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GetJointComponent method signature</t>
        </is>
      </c>
      <c r="E4" s="304" t="n"/>
      <c r="F4" s="304" t="n"/>
      <c r="G4" s="304" t="n"/>
      <c r="H4" s="304" t="n"/>
      <c r="I4" s="304" t="inlineStr">
        <is>
          <t>n</t>
        </is>
      </c>
      <c r="J4" s="304" t="inlineStr">
        <is>
          <t>OPC 40450-1 Section 7.8 Table 154; Section 7.4 status</t>
        </is>
      </c>
      <c r="K4" s="305" t="inlineStr"/>
      <c r="L4" s="25" t="n"/>
      <c r="M4" s="26" t="n"/>
      <c r="N4" s="26" t="n"/>
    </row>
    <row r="5" ht="79" customHeight="1" s="173">
      <c r="A5" s="329" t="n"/>
      <c r="B5" s="330" t="n"/>
      <c r="C5" s="331" t="n">
        <v>1</v>
      </c>
      <c r="D5" s="331" t="inlineStr">
        <is>
          <t>Browse the asset MethodSet for GetJointComponent and read its InputArguments and OutputArguments.</t>
        </is>
      </c>
      <c r="E5" s="331" t="inlineStr">
        <is>
          <t>The Server exposes the GetJointComponent method.</t>
        </is>
      </c>
      <c r="F5" s="331" t="inlineStr">
        <is>
          <t>GetJointComponent is a Method. InputArguments = ProductInstanceUri (String), JointComponentId (TrimmedString). OutputArguments = JointComponent (JointComponentDataType), Status (Int64), StatusMessage (LocalizedText).</t>
        </is>
      </c>
      <c r="G5" s="331" t="inlineStr">
        <is>
          <t>Good</t>
        </is>
      </c>
      <c r="H5" s="331" t="inlineStr">
        <is>
          <t>Good</t>
        </is>
      </c>
      <c r="I5" s="331" t="n"/>
      <c r="J5" s="331" t="inlineStr">
        <is>
          <t>OPC 40450-1 Section 7.8 Table 154; Section 7.4 status</t>
        </is>
      </c>
      <c r="K5" s="332" t="n"/>
      <c r="L5" s="25" t="n"/>
      <c r="M5" s="26" t="n"/>
      <c r="N5" s="26" t="n"/>
    </row>
    <row r="6" ht="49" customHeight="1" s="173">
      <c r="A6" s="302" t="inlineStr">
        <is>
          <t>y</t>
        </is>
      </c>
      <c r="B6" s="303" t="n">
        <v>2</v>
      </c>
      <c r="C6" s="304" t="n">
        <v>0</v>
      </c>
      <c r="D6" s="304" t="inlineStr">
        <is>
          <t>Call GetJointComponent and verify the outcome</t>
        </is>
      </c>
      <c r="E6" s="304" t="n"/>
      <c r="F6" s="304" t="n"/>
      <c r="G6" s="304" t="n"/>
      <c r="H6" s="304" t="n"/>
      <c r="I6" s="304" t="inlineStr">
        <is>
          <t>n</t>
        </is>
      </c>
      <c r="J6" s="304" t="inlineStr">
        <is>
          <t>OPC 40450-1 Section 7.8 Table 154; Section 7.4 status</t>
        </is>
      </c>
      <c r="K6" s="305" t="n"/>
      <c r="L6" s="25" t="n"/>
      <c r="M6" s="26" t="n"/>
      <c r="N6" s="26" t="n"/>
    </row>
    <row r="7" ht="49" customHeight="1" s="173">
      <c r="A7" s="329" t="n"/>
      <c r="B7" s="330" t="n"/>
      <c r="C7" s="331" t="n">
        <v>1</v>
      </c>
      <c r="D7" s="331" t="inlineStr">
        <is>
          <t>Call GetJointComponent with valid input arguments (a valid ProductInstanceUri of an asset exposed by the Server).</t>
        </is>
      </c>
      <c r="E7" s="331" t="inlineStr">
        <is>
          <t>The GetJointComponent method is callable.</t>
        </is>
      </c>
      <c r="F7" s="331" t="inlineStr">
        <is>
          <t>The Call Service returns Good; Status = 0 (OK) with a StatusMessage. JointComponent returns the joint component for JointComponentId.</t>
        </is>
      </c>
      <c r="G7" s="331" t="inlineStr">
        <is>
          <t>Good</t>
        </is>
      </c>
      <c r="H7" s="331" t="inlineStr">
        <is>
          <t>Status = 0 (OK)</t>
        </is>
      </c>
      <c r="I7" s="331" t="n"/>
      <c r="J7" s="331" t="inlineStr">
        <is>
          <t>OPC 40450-1 Section 7.8 Table 154;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GetJointComponent rejects an invalid ProductInstanceUri</t>
        </is>
      </c>
      <c r="E9" s="374" t="n"/>
      <c r="F9" s="374" t="n"/>
      <c r="G9" s="374" t="n"/>
      <c r="H9" s="374" t="n"/>
      <c r="I9" s="374" t="inlineStr">
        <is>
          <t>n</t>
        </is>
      </c>
      <c r="J9" s="374" t="inlineStr">
        <is>
          <t>OPC 40450-1 Section 7.8 Table 154; Section 7.4 status</t>
        </is>
      </c>
      <c r="K9" s="375" t="n"/>
      <c r="L9" s="25" t="n"/>
      <c r="M9" s="26" t="n"/>
      <c r="N9" s="26" t="n"/>
    </row>
    <row r="10" ht="64" customHeight="1" s="173">
      <c r="A10" s="329" t="n"/>
      <c r="B10" s="330" t="n"/>
      <c r="C10" s="331" t="n">
        <v>1</v>
      </c>
      <c r="D10" s="331" t="inlineStr">
        <is>
          <t>Call GetJointComponent with a ProductInstanceUri that is not exposed by the Server; all other arguments valid.</t>
        </is>
      </c>
      <c r="E10" s="331" t="inlineStr">
        <is>
          <t>The GetJointComponent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7.8 Table 154; Section 7.4 status</t>
        </is>
      </c>
      <c r="K10" s="332" t="n"/>
      <c r="L10" s="25" t="n"/>
      <c r="M10" s="26" t="n"/>
      <c r="N10" s="26" t="n"/>
    </row>
    <row r="11" ht="49" customHeight="1" s="173">
      <c r="A11" s="372" t="inlineStr">
        <is>
          <t>y</t>
        </is>
      </c>
      <c r="B11" s="373" t="n">
        <v>4</v>
      </c>
      <c r="C11" s="374" t="n">
        <v>0</v>
      </c>
      <c r="D11" s="374" t="inlineStr">
        <is>
          <t>Verify GetJointComponent rejects an unknown JointComponentId</t>
        </is>
      </c>
      <c r="E11" s="374" t="n"/>
      <c r="F11" s="374" t="n"/>
      <c r="G11" s="374" t="n"/>
      <c r="H11" s="374" t="n"/>
      <c r="I11" s="374" t="inlineStr">
        <is>
          <t>n</t>
        </is>
      </c>
      <c r="J11" s="374" t="inlineStr">
        <is>
          <t>OPC 40450-1 Section 7.8 Table 154; Section 7.4 status</t>
        </is>
      </c>
      <c r="K11" s="375" t="n"/>
      <c r="L11" s="25" t="n"/>
      <c r="M11" s="26" t="n"/>
      <c r="N11" s="26" t="n"/>
    </row>
    <row r="12" ht="64" customHeight="1" s="173">
      <c r="A12" s="329" t="n"/>
      <c r="B12" s="330" t="n"/>
      <c r="C12" s="331" t="n">
        <v>1</v>
      </c>
      <c r="D12" s="331" t="inlineStr">
        <is>
          <t>Call GetJointComponent with a JointComponentId that does not exist on the Server; ProductInstanceUri and all other arguments valid.</t>
        </is>
      </c>
      <c r="E12" s="331" t="inlineStr">
        <is>
          <t>The GetJointComponent method is exposed.</t>
        </is>
      </c>
      <c r="F12" s="331" t="inlineStr">
        <is>
          <t>The Call Service returns Good (ResponseHeader.ServiceResult = Good); CallMethodResult.StatusCode = Uncertain; Status output = 4 (Input identifier/entity not found) with a StatusMessage.</t>
        </is>
      </c>
      <c r="G12" s="331" t="inlineStr">
        <is>
          <t>Good</t>
        </is>
      </c>
      <c r="H12" s="331" t="inlineStr">
        <is>
          <t>CallMethodResult.StatusCode = Uncertain; Status output = 4</t>
        </is>
      </c>
      <c r="I12" s="331" t="n"/>
      <c r="J12" s="331" t="inlineStr">
        <is>
          <t>OPC 40450-1 Section 7.8 Table 154; Section 7.4 status</t>
        </is>
      </c>
      <c r="K12" s="332" t="n"/>
      <c r="L12" s="25" t="n"/>
      <c r="M12" s="26" t="n"/>
      <c r="N12" s="26" t="n"/>
    </row>
    <row r="13" ht="49" customHeight="1" s="173"/>
    <row r="14" ht="64" customHeight="1" s="173"/>
    <row r="15" ht="26.1" customHeight="1" s="173"/>
    <row r="16" ht="38.7" customHeight="1" s="173"/>
    <row r="18" ht="25.8" customHeight="1" s="173"/>
    <row r="19" customFormat="1" s="2"/>
    <row r="20" ht="25.8" customHeight="1" s="173"/>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6">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CU-120: IJT Joint Component Data</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CU-120 — IJT Joint Component Data</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joint component content</t>
        </is>
      </c>
      <c r="E4" s="304" t="n"/>
      <c r="F4" s="304" t="n"/>
      <c r="G4" s="304" t="n"/>
      <c r="H4" s="304" t="n"/>
      <c r="I4" s="304" t="inlineStr">
        <is>
          <t>n</t>
        </is>
      </c>
      <c r="J4" s="304" t="inlineStr">
        <is>
          <t>OPC 40450-1 Section 10.17 Table 240 (JointComponentDataType)</t>
        </is>
      </c>
      <c r="K4" s="305" t="n"/>
    </row>
    <row r="5" ht="49" customFormat="1" customHeight="1" s="2">
      <c r="A5" s="329" t="n"/>
      <c r="B5" s="307" t="n"/>
      <c r="C5" s="307" t="n">
        <v>1</v>
      </c>
      <c r="D5" s="307" t="inlineStr">
        <is>
          <t>Retrieve a joint component via GetJointComponent or GetJointComponentList (or inspect the joint component used in SendJointComponent) and inspect its content.</t>
        </is>
      </c>
      <c r="E5" s="307" t="inlineStr">
        <is>
          <t>A joint component is available in the system.</t>
        </is>
      </c>
      <c r="F5" s="307" t="inlineStr">
        <is>
          <t>The JointComponentDataType contains at least JointComponentId, Manufacturer and ManufacturerUri.</t>
        </is>
      </c>
      <c r="G5" s="307" t="inlineStr">
        <is>
          <t>Good</t>
        </is>
      </c>
      <c r="H5" s="307" t="inlineStr">
        <is>
          <t>Good</t>
        </is>
      </c>
      <c r="I5" s="307" t="n"/>
      <c r="J5" s="307" t="inlineStr">
        <is>
          <t>OPC 40450-1 Section 10.17 Table 240 (JointComponentDataType)</t>
        </is>
      </c>
      <c r="K5" s="332" t="n"/>
    </row>
    <row r="6" ht="49" customHeight="1" s="173">
      <c r="A6" s="323" t="inlineStr">
        <is>
          <t>y</t>
        </is>
      </c>
      <c r="B6" s="324" t="n">
        <v>2</v>
      </c>
      <c r="C6" s="325" t="n">
        <v>0</v>
      </c>
      <c r="D6" s="325" t="inlineStr">
        <is>
          <t>Verify JointComponentContent when a specific component definition is supported</t>
        </is>
      </c>
      <c r="E6" s="325" t="n"/>
      <c r="F6" s="325" t="n"/>
      <c r="G6" s="325" t="n"/>
      <c r="H6" s="325" t="n"/>
      <c r="I6" s="325" t="inlineStr">
        <is>
          <t>n</t>
        </is>
      </c>
      <c r="J6" s="325" t="inlineStr">
        <is>
          <t>OPC 40450-1 Section 10.17 Table 240 (JointComponentDataType)</t>
        </is>
      </c>
      <c r="K6" s="326" t="n"/>
    </row>
    <row r="7" ht="64" customHeight="1" s="173">
      <c r="A7" s="307" t="n"/>
      <c r="B7" s="307" t="n"/>
      <c r="C7" s="307" t="n">
        <v>1</v>
      </c>
      <c r="D7" s="307" t="inlineStr">
        <is>
          <t>If the application supports a specific joint-component definition (for example Bolt or Rivet), inspect JointComponent.JointComponentContent.</t>
        </is>
      </c>
      <c r="E7" s="307" t="inlineStr">
        <is>
          <t>The optional components and properties described in the test case are supported. The application supports a specific joint-component definition.</t>
        </is>
      </c>
      <c r="F7" s="307" t="inlineStr">
        <is>
          <t>The JointComponentDataType includes JointComponentContent carrying the application-specific component definition.</t>
        </is>
      </c>
      <c r="G7" s="307" t="inlineStr">
        <is>
          <t>Good</t>
        </is>
      </c>
      <c r="H7" s="307" t="inlineStr">
        <is>
          <t>Good</t>
        </is>
      </c>
      <c r="I7" s="307" t="n"/>
      <c r="J7" s="307" t="inlineStr">
        <is>
          <t>OPC 40450-1 Section 10.17 Table 240 (JointComponentDataType)</t>
        </is>
      </c>
      <c r="K7" s="307" t="n"/>
    </row>
    <row r="8" ht="34" customHeight="1" s="173"/>
    <row r="9" ht="49" customHeight="1" s="173"/>
    <row r="10" ht="34" customHeight="1" s="173"/>
    <row r="11" ht="49" customHeight="1" s="173"/>
    <row r="12" ht="20.05" customHeight="1" s="173"/>
    <row r="13" ht="34" customHeight="1" s="173"/>
    <row r="14" ht="79" customHeight="1" s="173"/>
    <row r="15" ht="34" customHeight="1" s="173"/>
    <row r="16" ht="34" customHeight="1" s="173"/>
    <row r="17" ht="34" customHeight="1" s="173"/>
    <row r="18" ht="49" customHeight="1" s="173"/>
    <row r="19" ht="60" customHeight="1" s="173"/>
    <row r="20" ht="49" customHeight="1" s="173"/>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9">
    <tabColor rgb="FF2E75B6"/>
    <outlinePr summaryBelow="1" summaryRight="1"/>
    <pageSetUpPr/>
  </sheetPr>
  <dimension ref="A1:N1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CU-121: IJT Delete Joint Component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CU-121 — IJT Delete Joint Component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DeleteJointComponent method signature</t>
        </is>
      </c>
      <c r="E4" s="304" t="n"/>
      <c r="F4" s="304" t="n"/>
      <c r="G4" s="304" t="n"/>
      <c r="H4" s="304" t="n"/>
      <c r="I4" s="304" t="inlineStr">
        <is>
          <t>n</t>
        </is>
      </c>
      <c r="J4" s="304" t="inlineStr">
        <is>
          <t>OPC 40450-1 Section 7.8 Table 160; Section 7.4 status</t>
        </is>
      </c>
      <c r="K4" s="305" t="inlineStr"/>
      <c r="L4" s="25" t="n"/>
      <c r="M4" s="26" t="n"/>
      <c r="N4" s="26" t="n"/>
    </row>
    <row r="5" ht="64" customHeight="1" s="173">
      <c r="A5" s="329" t="n"/>
      <c r="B5" s="330" t="n"/>
      <c r="C5" s="331" t="n">
        <v>1</v>
      </c>
      <c r="D5" s="331" t="inlineStr">
        <is>
          <t>Browse the asset MethodSet for DeleteJointComponent and read its InputArguments and OutputArguments.</t>
        </is>
      </c>
      <c r="E5" s="331" t="inlineStr">
        <is>
          <t>The Server exposes the DeleteJointComponent method.</t>
        </is>
      </c>
      <c r="F5" s="331" t="inlineStr">
        <is>
          <t>DeleteJointComponent is a Method. InputArguments = ProductInstanceUri (String), JointComponentId (TrimmedString). OutputArguments = Status (Int64), StatusMessage (LocalizedText).</t>
        </is>
      </c>
      <c r="G5" s="331" t="inlineStr">
        <is>
          <t>Good</t>
        </is>
      </c>
      <c r="H5" s="331" t="inlineStr">
        <is>
          <t>Good</t>
        </is>
      </c>
      <c r="I5" s="331" t="n"/>
      <c r="J5" s="331" t="inlineStr">
        <is>
          <t>OPC 40450-1 Section 7.8 Table 160; Section 7.4 status</t>
        </is>
      </c>
      <c r="K5" s="332" t="n"/>
      <c r="L5" s="25" t="n"/>
      <c r="M5" s="26" t="n"/>
      <c r="N5" s="26" t="n"/>
    </row>
    <row r="6" ht="49" customHeight="1" s="173">
      <c r="A6" s="302" t="inlineStr">
        <is>
          <t>y</t>
        </is>
      </c>
      <c r="B6" s="303" t="n">
        <v>2</v>
      </c>
      <c r="C6" s="304" t="n">
        <v>0</v>
      </c>
      <c r="D6" s="304" t="inlineStr">
        <is>
          <t>Call DeleteJointComponent and verify the outcome</t>
        </is>
      </c>
      <c r="E6" s="304" t="n"/>
      <c r="F6" s="304" t="n"/>
      <c r="G6" s="304" t="n"/>
      <c r="H6" s="304" t="n"/>
      <c r="I6" s="304" t="inlineStr">
        <is>
          <t>n</t>
        </is>
      </c>
      <c r="J6" s="304" t="inlineStr">
        <is>
          <t>OPC 40450-1 Section 7.8 Table 160; Section 7.4 status</t>
        </is>
      </c>
      <c r="K6" s="305" t="n"/>
      <c r="L6" s="25" t="n"/>
      <c r="M6" s="26" t="n"/>
      <c r="N6" s="26" t="n"/>
    </row>
    <row r="7" ht="49" customHeight="1" s="173">
      <c r="A7" s="329" t="n"/>
      <c r="B7" s="330" t="n"/>
      <c r="C7" s="331" t="n">
        <v>1</v>
      </c>
      <c r="D7" s="331" t="inlineStr">
        <is>
          <t>Call DeleteJointComponent with valid input arguments (a valid ProductInstanceUri of an asset exposed by the Server).</t>
        </is>
      </c>
      <c r="E7" s="331" t="inlineStr">
        <is>
          <t>The DeleteJointComponent method is callable.</t>
        </is>
      </c>
      <c r="F7" s="331" t="inlineStr">
        <is>
          <t>The Call Service returns Good; Status = 0 (OK) with a StatusMessage. The identified joint component is deleted.</t>
        </is>
      </c>
      <c r="G7" s="331" t="inlineStr">
        <is>
          <t>Good</t>
        </is>
      </c>
      <c r="H7" s="331" t="inlineStr">
        <is>
          <t>Status = 0 (OK)</t>
        </is>
      </c>
      <c r="I7" s="331" t="n"/>
      <c r="J7" s="331" t="inlineStr">
        <is>
          <t>OPC 40450-1 Section 7.8 Table 160;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y</t>
        </is>
      </c>
      <c r="B9" s="373" t="n">
        <v>3</v>
      </c>
      <c r="C9" s="374" t="n">
        <v>0</v>
      </c>
      <c r="D9" s="374" t="inlineStr">
        <is>
          <t>Verify DeleteJointComponent rejects an invalid ProductInstanceUri</t>
        </is>
      </c>
      <c r="E9" s="374" t="n"/>
      <c r="F9" s="374" t="n"/>
      <c r="G9" s="374" t="n"/>
      <c r="H9" s="374" t="n"/>
      <c r="I9" s="374" t="inlineStr">
        <is>
          <t>n</t>
        </is>
      </c>
      <c r="J9" s="374" t="inlineStr">
        <is>
          <t>OPC 40450-1 Section 7.8 Table 160; Section 7.4 status</t>
        </is>
      </c>
      <c r="K9" s="375" t="n"/>
      <c r="L9" s="25" t="n"/>
      <c r="M9" s="26" t="n"/>
      <c r="N9" s="26" t="n"/>
    </row>
    <row r="10" ht="64" customHeight="1" s="173">
      <c r="A10" s="329" t="n"/>
      <c r="B10" s="330" t="n"/>
      <c r="C10" s="331" t="n">
        <v>1</v>
      </c>
      <c r="D10" s="331" t="inlineStr">
        <is>
          <t>Call DeleteJointComponent with a ProductInstanceUri that is not exposed by the Server; all other arguments valid.</t>
        </is>
      </c>
      <c r="E10" s="331" t="inlineStr">
        <is>
          <t>The DeleteJointComponent method is exposed.</t>
        </is>
      </c>
      <c r="F10" s="331" t="inlineStr">
        <is>
          <t>The Call Service returns Good (ResponseHeader.ServiceResult = Good); CallMethodResult.StatusCode = Uncertain; Status output = 2 (ProductInstanceUri not found) with a StatusMessage.</t>
        </is>
      </c>
      <c r="G10" s="331" t="inlineStr">
        <is>
          <t>Good</t>
        </is>
      </c>
      <c r="H10" s="331" t="inlineStr">
        <is>
          <t>CallMethodResult.StatusCode = Uncertain; Status output = 2</t>
        </is>
      </c>
      <c r="I10" s="331" t="n"/>
      <c r="J10" s="331" t="inlineStr">
        <is>
          <t>OPC 40450-1 Section 7.8 Table 160; Section 7.4 status</t>
        </is>
      </c>
      <c r="K10" s="332" t="n"/>
      <c r="L10" s="25" t="n"/>
      <c r="M10" s="26" t="n"/>
      <c r="N10" s="26" t="n"/>
    </row>
    <row r="11" ht="49" customHeight="1" s="173">
      <c r="A11" s="372" t="inlineStr">
        <is>
          <t>y</t>
        </is>
      </c>
      <c r="B11" s="373" t="n">
        <v>4</v>
      </c>
      <c r="C11" s="374" t="n">
        <v>0</v>
      </c>
      <c r="D11" s="374" t="inlineStr">
        <is>
          <t>Verify DeleteJointComponent rejects an unknown JointComponentId</t>
        </is>
      </c>
      <c r="E11" s="374" t="n"/>
      <c r="F11" s="374" t="n"/>
      <c r="G11" s="374" t="n"/>
      <c r="H11" s="374" t="n"/>
      <c r="I11" s="374" t="inlineStr">
        <is>
          <t>n</t>
        </is>
      </c>
      <c r="J11" s="374" t="inlineStr">
        <is>
          <t>OPC 40450-1 Section 7.8 Table 160; Section 7.4 status</t>
        </is>
      </c>
      <c r="K11" s="375" t="n"/>
      <c r="L11" s="25" t="n"/>
      <c r="M11" s="26" t="n"/>
      <c r="N11" s="26" t="n"/>
    </row>
    <row r="12" ht="64" customHeight="1" s="173">
      <c r="A12" s="329" t="n"/>
      <c r="B12" s="330" t="n"/>
      <c r="C12" s="331" t="n">
        <v>1</v>
      </c>
      <c r="D12" s="331" t="inlineStr">
        <is>
          <t>Call DeleteJointComponent with a JointComponentId that does not exist on the Server; ProductInstanceUri and all other arguments valid.</t>
        </is>
      </c>
      <c r="E12" s="331" t="inlineStr">
        <is>
          <t>The DeleteJointComponent method is exposed.</t>
        </is>
      </c>
      <c r="F12" s="331" t="inlineStr">
        <is>
          <t>The Call Service returns Good (ResponseHeader.ServiceResult = Good); CallMethodResult.StatusCode = Uncertain; Status output = 4 (Input identifier/entity not found) with a StatusMessage.</t>
        </is>
      </c>
      <c r="G12" s="331" t="inlineStr">
        <is>
          <t>Good</t>
        </is>
      </c>
      <c r="H12" s="331" t="inlineStr">
        <is>
          <t>CallMethodResult.StatusCode = Uncertain; Status output = 4</t>
        </is>
      </c>
      <c r="I12" s="331" t="n"/>
      <c r="J12" s="331" t="inlineStr">
        <is>
          <t>OPC 40450-1 Section 7.8 Table 160; Section 7.4 status</t>
        </is>
      </c>
      <c r="K12" s="332" t="n"/>
      <c r="L12" s="25" t="n"/>
      <c r="M12" s="26" t="n"/>
      <c r="N12" s="26" t="n"/>
    </row>
    <row r="13" ht="49" customHeight="1" s="173"/>
    <row r="14" ht="64" customHeight="1" s="173"/>
    <row r="15" ht="34" customHeight="1" s="173"/>
    <row r="16" ht="90" customHeight="1" s="173"/>
    <row r="17" ht="34" customHeight="1" s="173"/>
    <row r="18" ht="64" customHeight="1" s="173"/>
    <row r="19" customFormat="1" s="2"/>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tabColor rgb="FF2E75B6"/>
    <outlinePr summaryBelow="1" summaryRight="1"/>
    <pageSetUpPr/>
  </sheetPr>
  <dimension ref="A1:K12"/>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CU-122: IJT Get Joint Revision List</t>
        </is>
      </c>
    </row>
    <row r="2" ht="22" customHeight="1" s="173">
      <c r="A2" s="340">
        <f>HYPERLINK("#'Home'!A1","⌂ Home")</f>
        <v/>
      </c>
      <c r="C2" s="341" t="inlineStr">
        <is>
          <t>CU-122 — IJT Get Joint Revision List</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GetJointRevisionList method signature</t>
        </is>
      </c>
      <c r="E4" s="313" t="n"/>
      <c r="F4" s="313" t="n"/>
      <c r="G4" s="313" t="n"/>
      <c r="H4" s="313" t="n"/>
      <c r="I4" s="313" t="inlineStr">
        <is>
          <t>n</t>
        </is>
      </c>
      <c r="J4" s="313" t="inlineStr">
        <is>
          <t>OPC 40450-1 Section 7.8 Table 144; Section 7.4 status</t>
        </is>
      </c>
      <c r="K4" s="313" t="inlineStr"/>
    </row>
    <row r="5" ht="64" customHeight="1" s="173">
      <c r="A5" s="307" t="n"/>
      <c r="B5" s="307" t="n"/>
      <c r="C5" s="307" t="n">
        <v>1</v>
      </c>
      <c r="D5" s="307" t="inlineStr">
        <is>
          <t>Browse the asset MethodSet for GetJointRevisionList and read its InputArguments and OutputArguments.</t>
        </is>
      </c>
      <c r="E5" s="307" t="inlineStr">
        <is>
          <t>The Server exposes the GetJointRevisionList method.</t>
        </is>
      </c>
      <c r="F5" s="307" t="inlineStr">
        <is>
          <t>GetJointRevisionList is a Method. InputArguments = ProductInstanceUri (String), JointOriginId (TrimmedString). OutputArguments = JointList (JointDataType[]), Status (Int64), StatusMessage (LocalizedText).</t>
        </is>
      </c>
      <c r="G5" s="307" t="inlineStr">
        <is>
          <t>Good</t>
        </is>
      </c>
      <c r="H5" s="307" t="inlineStr">
        <is>
          <t>Good</t>
        </is>
      </c>
      <c r="I5" s="307" t="n"/>
      <c r="J5" s="307" t="inlineStr">
        <is>
          <t>OPC 40450-1 Section 7.8 Table 144; Section 7.4 status</t>
        </is>
      </c>
      <c r="K5" s="307" t="n"/>
    </row>
    <row r="6" ht="49" customHeight="1" s="173">
      <c r="A6" s="313" t="inlineStr">
        <is>
          <t>y</t>
        </is>
      </c>
      <c r="B6" s="313" t="n">
        <v>2</v>
      </c>
      <c r="C6" s="313" t="n">
        <v>0</v>
      </c>
      <c r="D6" s="313" t="inlineStr">
        <is>
          <t>Call GetJointRevisionList and verify the outcome</t>
        </is>
      </c>
      <c r="E6" s="313" t="n"/>
      <c r="F6" s="313" t="n"/>
      <c r="G6" s="313" t="n"/>
      <c r="H6" s="313" t="n"/>
      <c r="I6" s="313" t="inlineStr">
        <is>
          <t>n</t>
        </is>
      </c>
      <c r="J6" s="313" t="inlineStr">
        <is>
          <t>OPC 40450-1 Section 7.8 Table 144; Section 7.4 status</t>
        </is>
      </c>
      <c r="K6" s="313" t="n"/>
    </row>
    <row r="7" ht="49" customHeight="1" s="173">
      <c r="A7" s="307" t="n"/>
      <c r="B7" s="307" t="n"/>
      <c r="C7" s="307" t="n">
        <v>1</v>
      </c>
      <c r="D7" s="307" t="inlineStr">
        <is>
          <t>Call GetJointRevisionList with valid input arguments (a valid ProductInstanceUri of an asset exposed by the Server).</t>
        </is>
      </c>
      <c r="E7" s="307" t="inlineStr">
        <is>
          <t>The GetJointRevisionList method is callable.</t>
        </is>
      </c>
      <c r="F7" s="307" t="inlineStr">
        <is>
          <t>The Call Service returns Good; Status = 0 (OK) with a StatusMessage. JointList returns the available revisions for JointOriginId.</t>
        </is>
      </c>
      <c r="G7" s="307" t="inlineStr">
        <is>
          <t>Good</t>
        </is>
      </c>
      <c r="H7" s="307" t="inlineStr">
        <is>
          <t>Status = 0 (OK)</t>
        </is>
      </c>
      <c r="I7" s="307" t="n"/>
      <c r="J7" s="307" t="inlineStr">
        <is>
          <t>OPC 40450-1 Section 7.8 Table 144;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y</t>
        </is>
      </c>
      <c r="B9" s="366" t="n">
        <v>3</v>
      </c>
      <c r="C9" s="366" t="n">
        <v>0</v>
      </c>
      <c r="D9" s="366" t="inlineStr">
        <is>
          <t>Verify GetJointRevisionList rejects an invalid ProductInstanceUri</t>
        </is>
      </c>
      <c r="E9" s="366" t="n"/>
      <c r="F9" s="366" t="n"/>
      <c r="G9" s="366" t="n"/>
      <c r="H9" s="366" t="n"/>
      <c r="I9" s="366" t="inlineStr">
        <is>
          <t>n</t>
        </is>
      </c>
      <c r="J9" s="366" t="inlineStr">
        <is>
          <t>OPC 40450-1 Section 7.8 Table 144; Section 7.4 status</t>
        </is>
      </c>
      <c r="K9" s="366" t="n"/>
    </row>
    <row r="10" ht="64" customHeight="1" s="173">
      <c r="A10" s="307" t="n"/>
      <c r="B10" s="307" t="n"/>
      <c r="C10" s="307" t="n">
        <v>1</v>
      </c>
      <c r="D10" s="307" t="inlineStr">
        <is>
          <t>Call GetJointRevisionList with a ProductInstanceUri that is not exposed by the Server; all other arguments valid.</t>
        </is>
      </c>
      <c r="E10" s="307" t="inlineStr">
        <is>
          <t>The GetJointRevisionList method is exposed.</t>
        </is>
      </c>
      <c r="F10" s="307" t="inlineStr">
        <is>
          <t>The Call Service returns Good (ResponseHeader.ServiceResult = Good); CallMethodResult.StatusCode = Uncertain; Status output = 2 (ProductInstanceUri not found) with a StatusMessage.</t>
        </is>
      </c>
      <c r="G10" s="307" t="inlineStr">
        <is>
          <t>Good</t>
        </is>
      </c>
      <c r="H10" s="307" t="inlineStr">
        <is>
          <t>CallMethodResult.StatusCode = Uncertain; Status output = 2</t>
        </is>
      </c>
      <c r="I10" s="307" t="n"/>
      <c r="J10" s="307" t="inlineStr">
        <is>
          <t>OPC 40450-1 Section 7.8 Table 144; Section 7.4 status</t>
        </is>
      </c>
      <c r="K10" s="307" t="n"/>
    </row>
    <row r="11" ht="49" customHeight="1" s="173">
      <c r="A11" s="366" t="inlineStr">
        <is>
          <t>y</t>
        </is>
      </c>
      <c r="B11" s="366" t="n">
        <v>4</v>
      </c>
      <c r="C11" s="366" t="n">
        <v>0</v>
      </c>
      <c r="D11" s="366" t="inlineStr">
        <is>
          <t>Verify GetJointRevisionList rejects an unknown JointOriginId</t>
        </is>
      </c>
      <c r="E11" s="366" t="n"/>
      <c r="F11" s="366" t="n"/>
      <c r="G11" s="366" t="n"/>
      <c r="H11" s="366" t="n"/>
      <c r="I11" s="366" t="inlineStr">
        <is>
          <t>n</t>
        </is>
      </c>
      <c r="J11" s="366" t="inlineStr">
        <is>
          <t>OPC 40450-1 Section 7.8 Table 144; Section 7.4 status</t>
        </is>
      </c>
      <c r="K11" s="366" t="n"/>
    </row>
    <row r="12" ht="64" customHeight="1" s="173">
      <c r="A12" s="307" t="n"/>
      <c r="B12" s="307" t="n"/>
      <c r="C12" s="307" t="n">
        <v>1</v>
      </c>
      <c r="D12" s="307" t="inlineStr">
        <is>
          <t>Call GetJointRevisionList with a JointOriginId that does not exist on the Server; ProductInstanceUri and all other arguments valid.</t>
        </is>
      </c>
      <c r="E12" s="307" t="inlineStr">
        <is>
          <t>The GetJointRevisionList method is exposed.</t>
        </is>
      </c>
      <c r="F12" s="307" t="inlineStr">
        <is>
          <t>The Call Service returns Good (ResponseHeader.ServiceResult = Good); CallMethodResult.StatusCode = Uncertain; Status output = 4 (Input identifier/entity not found) with a StatusMessage.</t>
        </is>
      </c>
      <c r="G12" s="307" t="inlineStr">
        <is>
          <t>Good</t>
        </is>
      </c>
      <c r="H12" s="307" t="inlineStr">
        <is>
          <t>CallMethodResult.StatusCode = Uncertain; Status output = 4</t>
        </is>
      </c>
      <c r="I12" s="307" t="n"/>
      <c r="J12" s="307" t="inlineStr">
        <is>
          <t>OPC 40450-1 Section 7.8 Table 144; Section 7.4 status</t>
        </is>
      </c>
      <c r="K12" s="307" t="n"/>
    </row>
    <row r="13" ht="49" customHeight="1" s="173"/>
    <row r="14" ht="64" customHeight="1" s="173"/>
    <row r="15" ht="34" customHeight="1" s="173"/>
    <row r="16" ht="49" customHeight="1" s="173"/>
    <row r="18" ht="38.7" customHeight="1" s="173"/>
    <row r="20" ht="38.7" customHeight="1" s="173"/>
  </sheetData>
  <mergeCells count="2">
    <mergeCell ref="A1:K1"/>
    <mergeCell ref="C2:J2"/>
  </mergeCells>
  <pageMargins left="0.75" right="0.75" top="1" bottom="1" header="0.5" footer="0.5"/>
</worksheet>
</file>

<file path=xl/worksheets/sheet126.xml><?xml version="1.0" encoding="utf-8"?>
<worksheet xmlns="http://schemas.openxmlformats.org/spreadsheetml/2006/main">
  <sheetPr codeName="Sheet4">
    <tabColor rgb="FF2E75B6"/>
    <outlinePr summaryBelow="1" summaryRight="1"/>
    <pageSetUpPr/>
  </sheetPr>
  <dimension ref="A1:N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CU-123: IJT Engineering Units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CU-123 — IJT Engineering Units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EngineeringUnits on the value structures</t>
        </is>
      </c>
      <c r="E4" s="304" t="n"/>
      <c r="F4" s="304" t="n"/>
      <c r="G4" s="304" t="n"/>
      <c r="H4" s="304" t="n"/>
      <c r="I4" s="304" t="inlineStr">
        <is>
          <t>n</t>
        </is>
      </c>
      <c r="J4" s="304" t="inlineStr">
        <is>
          <t>OPC 40450-1 Section 10 (EngineeringUnits); Tables 212/224/230/242</t>
        </is>
      </c>
      <c r="K4" s="305" t="n"/>
    </row>
    <row r="5" ht="49" customFormat="1" customHeight="1" s="2">
      <c r="A5" s="329" t="n"/>
      <c r="B5" s="307" t="n"/>
      <c r="C5" s="307" t="n">
        <v>1</v>
      </c>
      <c r="D5" s="307" t="inlineStr">
        <is>
          <t>For instances of ResultValueDataType, TraceContentDataType, ReportedValueDataType and DesignValueDataType that carry a physical-quantity value, inspect the EngineeringUnits field.</t>
        </is>
      </c>
      <c r="E5" s="307" t="inlineStr">
        <is>
          <t>The optional components and properties described in the test case are supported. A value with a physical quantity is available.</t>
        </is>
      </c>
      <c r="F5" s="307" t="inlineStr">
        <is>
          <t>Each such instance provides the EngineeringUnits (EUInformation) with an appropriate value for the reported physical quantity.</t>
        </is>
      </c>
      <c r="G5" s="307" t="inlineStr">
        <is>
          <t>Good</t>
        </is>
      </c>
      <c r="H5" s="307" t="inlineStr">
        <is>
          <t>Good</t>
        </is>
      </c>
      <c r="I5" s="307" t="n"/>
      <c r="J5" s="307" t="inlineStr">
        <is>
          <t>OPC 40450-1 Section 10 (EngineeringUnits); Tables 212/224/230/242</t>
        </is>
      </c>
      <c r="K5" s="332" t="n"/>
    </row>
    <row r="6" ht="49" customHeight="1" s="173">
      <c r="A6" s="323" t="inlineStr">
        <is>
          <t>y</t>
        </is>
      </c>
      <c r="B6" s="324" t="n">
        <v>2</v>
      </c>
      <c r="C6" s="325" t="n">
        <v>0</v>
      </c>
      <c r="D6" s="325" t="inlineStr">
        <is>
          <t>Verify EngineeringUnits on JoiningDataVariableType variables</t>
        </is>
      </c>
      <c r="E6" s="325" t="n"/>
      <c r="F6" s="325" t="n"/>
      <c r="G6" s="325" t="n"/>
      <c r="H6" s="325" t="n"/>
      <c r="I6" s="325" t="inlineStr">
        <is>
          <t>n</t>
        </is>
      </c>
      <c r="J6" s="325" t="inlineStr">
        <is>
          <t>OPC 40450-1 Section 10 (EngineeringUnits); Tables 212/224/230/242</t>
        </is>
      </c>
      <c r="K6" s="326" t="n"/>
    </row>
    <row r="7" ht="49" customHeight="1" s="173">
      <c r="A7" s="307" t="n"/>
      <c r="B7" s="307" t="n"/>
      <c r="C7" s="307" t="n">
        <v>1</v>
      </c>
      <c r="D7" s="307" t="inlineStr">
        <is>
          <t>For any variable with TypeDefinition JoiningDataVariableType, inspect its EngineeringUnits property.</t>
        </is>
      </c>
      <c r="E7" s="307" t="inlineStr">
        <is>
          <t>The optional components and properties described in the test case are supported. A JoiningDataVariableType variable is exposed.</t>
        </is>
      </c>
      <c r="F7" s="307" t="inlineStr">
        <is>
          <t>The variable exposes the EngineeringUnits property with an appropriate value.</t>
        </is>
      </c>
      <c r="G7" s="307" t="inlineStr">
        <is>
          <t>Good</t>
        </is>
      </c>
      <c r="H7" s="307" t="inlineStr">
        <is>
          <t>Good</t>
        </is>
      </c>
      <c r="I7" s="307" t="n"/>
      <c r="J7" s="307" t="inlineStr">
        <is>
          <t>OPC 40450-1 Section 10 (EngineeringUnits); Tables 212/224/230/242</t>
        </is>
      </c>
      <c r="K7" s="307" t="n"/>
    </row>
    <row r="8" ht="34" customHeight="1" s="173"/>
    <row r="9" ht="64" customHeight="1" s="173"/>
    <row r="10" ht="34" customHeight="1" s="173"/>
    <row r="11" ht="79" customHeight="1" s="173"/>
    <row r="12" ht="34" customHeight="1" s="173"/>
    <row r="13" ht="79" customHeight="1" s="173"/>
    <row r="14" ht="20.05" customHeight="1" s="173"/>
    <row r="15" ht="34" customHeight="1" s="173"/>
    <row r="16" ht="79" customHeight="1" s="173"/>
    <row r="17" ht="34" customHeight="1" s="173"/>
    <row r="18" ht="64" customHeight="1" s="173"/>
    <row r="19" ht="34" customHeight="1" s="173"/>
    <row r="20" ht="49" customHeight="1" s="173"/>
    <row r="21" ht="34" customHeight="1" s="173"/>
    <row r="22" ht="49" customHeight="1" s="173"/>
    <row r="23" ht="34" customHeight="1" s="173"/>
    <row r="24" ht="49" customHeight="1" s="173"/>
  </sheetData>
  <mergeCells count="2">
    <mergeCell ref="A1:K1"/>
    <mergeCell ref="C2:J2"/>
  </mergeCells>
  <pageMargins left="0.7" right="0.7" top="0.75" bottom="0.75" header="0.3" footer="0.3"/>
</worksheet>
</file>

<file path=docMetadata/LabelInfo.xml><?xml version="1.0" encoding="utf-8"?>
<clbl:labelList xmlns:clbl="http://schemas.microsoft.com/office/2020/mipLabelMetadata">
  <clbl:label id="{259b2f41-b7a2-4d29-8988-f4e3425ef689}" enabled="1" method="Privileged" siteId="{556e6b1f-b49d-4278-8baf-db06eeefc8e9}" contentBits="0" removed="0"/>
</clbl:labelLis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2026-08-07T13:06:47Z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